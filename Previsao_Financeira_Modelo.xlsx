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13_ncr:1_{5D0A76B7-E6C8-41C2-856C-51F27E6761D0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Previsão Financeira" sheetId="1" r:id="rId1"/>
    <sheet name="Planilha1" sheetId="2" r:id="rId2"/>
    <sheet name="Config_Carteiras" sheetId="3" r:id="rId3"/>
    <sheet name="Dias_Sem_Compensacao" sheetId="4" r:id="rId4"/>
    <sheet name="Detalhamento" sheetId="5" r:id="rId5"/>
  </sheets>
  <definedNames>
    <definedName name="_xlnm._FilterDatabase" localSheetId="4" hidden="1">Detalhamento!$A$1:$K$4804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6" i="2" l="1"/>
  <c r="A80" i="2"/>
  <c r="A27" i="2"/>
  <c r="A19" i="2"/>
  <c r="A45" i="2"/>
  <c r="G4804" i="5"/>
  <c r="E4804" i="5"/>
  <c r="G4803" i="5"/>
  <c r="E4803" i="5"/>
  <c r="G4802" i="5"/>
  <c r="E4802" i="5"/>
  <c r="G4801" i="5"/>
  <c r="E4801" i="5"/>
  <c r="G4800" i="5"/>
  <c r="E4800" i="5"/>
  <c r="G4799" i="5"/>
  <c r="E4799" i="5"/>
  <c r="G4798" i="5"/>
  <c r="E4798" i="5"/>
  <c r="G4797" i="5"/>
  <c r="E4797" i="5"/>
  <c r="G4796" i="5"/>
  <c r="E4796" i="5"/>
  <c r="G4795" i="5"/>
  <c r="E4795" i="5"/>
  <c r="G4794" i="5"/>
  <c r="E4794" i="5"/>
  <c r="G4793" i="5"/>
  <c r="E4793" i="5"/>
  <c r="G4792" i="5"/>
  <c r="E4792" i="5"/>
  <c r="G4791" i="5"/>
  <c r="E4791" i="5"/>
  <c r="G4790" i="5"/>
  <c r="E4790" i="5"/>
  <c r="G4789" i="5"/>
  <c r="E4789" i="5"/>
  <c r="G4788" i="5"/>
  <c r="E4788" i="5"/>
  <c r="G4787" i="5"/>
  <c r="E4787" i="5"/>
  <c r="G4786" i="5"/>
  <c r="E4786" i="5"/>
  <c r="G4785" i="5"/>
  <c r="E4785" i="5"/>
  <c r="G4784" i="5"/>
  <c r="E4784" i="5"/>
  <c r="G4783" i="5"/>
  <c r="E4783" i="5"/>
  <c r="G4782" i="5"/>
  <c r="E4782" i="5"/>
  <c r="G4781" i="5"/>
  <c r="E4781" i="5"/>
  <c r="G4780" i="5"/>
  <c r="E4780" i="5"/>
  <c r="G4779" i="5"/>
  <c r="E4779" i="5"/>
  <c r="G4778" i="5"/>
  <c r="E4778" i="5"/>
  <c r="G4777" i="5"/>
  <c r="E4777" i="5"/>
  <c r="G4776" i="5"/>
  <c r="E4776" i="5"/>
  <c r="G4775" i="5"/>
  <c r="E4775" i="5"/>
  <c r="G4774" i="5"/>
  <c r="E4774" i="5"/>
  <c r="G4773" i="5"/>
  <c r="E4773" i="5"/>
  <c r="G4772" i="5"/>
  <c r="E4772" i="5"/>
  <c r="G4771" i="5"/>
  <c r="E4771" i="5"/>
  <c r="G4770" i="5"/>
  <c r="E4770" i="5"/>
  <c r="G4769" i="5"/>
  <c r="E4769" i="5"/>
  <c r="E4768" i="5"/>
  <c r="G4768" i="5" s="1"/>
  <c r="E4767" i="5"/>
  <c r="G4767" i="5" s="1"/>
  <c r="E4766" i="5"/>
  <c r="G4766" i="5" s="1"/>
  <c r="E4765" i="5"/>
  <c r="G4765" i="5" s="1"/>
  <c r="E4764" i="5"/>
  <c r="G4764" i="5" s="1"/>
  <c r="E4763" i="5"/>
  <c r="G4763" i="5" s="1"/>
  <c r="E4762" i="5"/>
  <c r="G4762" i="5" s="1"/>
  <c r="E4761" i="5"/>
  <c r="G4761" i="5" s="1"/>
  <c r="E4760" i="5"/>
  <c r="G4760" i="5" s="1"/>
  <c r="E4759" i="5"/>
  <c r="G4759" i="5" s="1"/>
  <c r="E4758" i="5"/>
  <c r="G4758" i="5" s="1"/>
  <c r="E4757" i="5"/>
  <c r="G4757" i="5" s="1"/>
  <c r="E4756" i="5"/>
  <c r="G4756" i="5" s="1"/>
  <c r="E4755" i="5"/>
  <c r="G4755" i="5" s="1"/>
  <c r="E4754" i="5"/>
  <c r="G4754" i="5" s="1"/>
  <c r="G4753" i="5"/>
  <c r="E4753" i="5"/>
  <c r="G4752" i="5"/>
  <c r="E4752" i="5"/>
  <c r="G4751" i="5"/>
  <c r="E4751" i="5"/>
  <c r="G4750" i="5"/>
  <c r="E4750" i="5"/>
  <c r="G4749" i="5"/>
  <c r="E4749" i="5"/>
  <c r="G4748" i="5"/>
  <c r="E4748" i="5"/>
  <c r="G4747" i="5"/>
  <c r="E4747" i="5"/>
  <c r="G4746" i="5"/>
  <c r="E4746" i="5"/>
  <c r="G4745" i="5"/>
  <c r="E4745" i="5"/>
  <c r="G4744" i="5"/>
  <c r="E4744" i="5"/>
  <c r="G4743" i="5"/>
  <c r="E4743" i="5"/>
  <c r="G4742" i="5"/>
  <c r="E4742" i="5"/>
  <c r="G4741" i="5"/>
  <c r="E4741" i="5"/>
  <c r="G4740" i="5"/>
  <c r="E4740" i="5"/>
  <c r="G4739" i="5"/>
  <c r="E4739" i="5"/>
  <c r="G4738" i="5"/>
  <c r="E4738" i="5"/>
  <c r="G4737" i="5"/>
  <c r="E4737" i="5"/>
  <c r="G4736" i="5"/>
  <c r="E4736" i="5"/>
  <c r="G4735" i="5"/>
  <c r="E4735" i="5"/>
  <c r="G4734" i="5"/>
  <c r="E4734" i="5"/>
  <c r="G4733" i="5"/>
  <c r="E4733" i="5"/>
  <c r="G4732" i="5"/>
  <c r="E4732" i="5"/>
  <c r="G4731" i="5"/>
  <c r="E4731" i="5"/>
  <c r="G4730" i="5"/>
  <c r="E4730" i="5"/>
  <c r="G4729" i="5"/>
  <c r="E4729" i="5"/>
  <c r="G4728" i="5"/>
  <c r="E4728" i="5"/>
  <c r="G4727" i="5"/>
  <c r="E4727" i="5"/>
  <c r="G4726" i="5"/>
  <c r="E4726" i="5"/>
  <c r="G4725" i="5"/>
  <c r="E4725" i="5"/>
  <c r="G4724" i="5"/>
  <c r="E4724" i="5"/>
  <c r="G4723" i="5"/>
  <c r="E4723" i="5"/>
  <c r="G4722" i="5"/>
  <c r="E4722" i="5"/>
  <c r="G4721" i="5"/>
  <c r="E4721" i="5"/>
  <c r="G4720" i="5"/>
  <c r="E4720" i="5"/>
  <c r="G4719" i="5"/>
  <c r="E4719" i="5"/>
  <c r="G4718" i="5"/>
  <c r="E4718" i="5"/>
  <c r="G4717" i="5"/>
  <c r="E4717" i="5"/>
  <c r="G4716" i="5"/>
  <c r="E4716" i="5"/>
  <c r="G4715" i="5"/>
  <c r="E4715" i="5"/>
  <c r="G4714" i="5"/>
  <c r="E4714" i="5"/>
  <c r="G4713" i="5"/>
  <c r="E4713" i="5"/>
  <c r="G4712" i="5"/>
  <c r="E4712" i="5"/>
  <c r="G4711" i="5"/>
  <c r="E4711" i="5"/>
  <c r="G4710" i="5"/>
  <c r="E4710" i="5"/>
  <c r="G4709" i="5"/>
  <c r="E4709" i="5"/>
  <c r="G4708" i="5"/>
  <c r="E4708" i="5"/>
  <c r="G4707" i="5"/>
  <c r="E4707" i="5"/>
  <c r="G4706" i="5"/>
  <c r="E4706" i="5"/>
  <c r="G4705" i="5"/>
  <c r="E4705" i="5"/>
  <c r="G4704" i="5"/>
  <c r="E4704" i="5"/>
  <c r="G4703" i="5"/>
  <c r="E4703" i="5"/>
  <c r="G4702" i="5"/>
  <c r="E4702" i="5"/>
  <c r="G4701" i="5"/>
  <c r="E4701" i="5"/>
  <c r="G4700" i="5"/>
  <c r="E4700" i="5"/>
  <c r="G4699" i="5"/>
  <c r="E4699" i="5"/>
  <c r="G4698" i="5"/>
  <c r="E4698" i="5"/>
  <c r="G4697" i="5"/>
  <c r="E4697" i="5"/>
  <c r="G4696" i="5"/>
  <c r="E4696" i="5"/>
  <c r="G4695" i="5"/>
  <c r="E4695" i="5"/>
  <c r="G4694" i="5"/>
  <c r="E4694" i="5"/>
  <c r="G4693" i="5"/>
  <c r="E4693" i="5"/>
  <c r="G4692" i="5"/>
  <c r="E4692" i="5"/>
  <c r="G4691" i="5"/>
  <c r="E4691" i="5"/>
  <c r="G4690" i="5"/>
  <c r="E4690" i="5"/>
  <c r="G4689" i="5"/>
  <c r="E4689" i="5"/>
  <c r="G4688" i="5"/>
  <c r="E4688" i="5"/>
  <c r="G4687" i="5"/>
  <c r="E4687" i="5"/>
  <c r="G4686" i="5"/>
  <c r="E4686" i="5"/>
  <c r="G4685" i="5"/>
  <c r="E4685" i="5"/>
  <c r="G4684" i="5"/>
  <c r="E4684" i="5"/>
  <c r="G4683" i="5"/>
  <c r="E4683" i="5"/>
  <c r="G4682" i="5"/>
  <c r="E4682" i="5"/>
  <c r="G4681" i="5"/>
  <c r="E4681" i="5"/>
  <c r="G4680" i="5"/>
  <c r="E4680" i="5"/>
  <c r="E4679" i="5"/>
  <c r="G4679" i="5" s="1"/>
  <c r="E4678" i="5"/>
  <c r="G4678" i="5" s="1"/>
  <c r="E4677" i="5"/>
  <c r="G4677" i="5" s="1"/>
  <c r="E4676" i="5"/>
  <c r="G4676" i="5" s="1"/>
  <c r="E4675" i="5"/>
  <c r="G4675" i="5" s="1"/>
  <c r="E4674" i="5"/>
  <c r="G4674" i="5" s="1"/>
  <c r="E4673" i="5"/>
  <c r="G4673" i="5" s="1"/>
  <c r="E4672" i="5"/>
  <c r="G4672" i="5" s="1"/>
  <c r="E4671" i="5"/>
  <c r="G4671" i="5" s="1"/>
  <c r="E4670" i="5"/>
  <c r="G4670" i="5" s="1"/>
  <c r="E4669" i="5"/>
  <c r="G4669" i="5" s="1"/>
  <c r="E4668" i="5"/>
  <c r="G4668" i="5" s="1"/>
  <c r="E4667" i="5"/>
  <c r="G4667" i="5" s="1"/>
  <c r="E4666" i="5"/>
  <c r="G4666" i="5" s="1"/>
  <c r="E4665" i="5"/>
  <c r="G4665" i="5" s="1"/>
  <c r="E4664" i="5"/>
  <c r="G4664" i="5" s="1"/>
  <c r="E4663" i="5"/>
  <c r="G4663" i="5" s="1"/>
  <c r="E4662" i="5"/>
  <c r="G4662" i="5" s="1"/>
  <c r="E4661" i="5"/>
  <c r="G4661" i="5" s="1"/>
  <c r="E4660" i="5"/>
  <c r="G4660" i="5" s="1"/>
  <c r="E4659" i="5"/>
  <c r="G4659" i="5" s="1"/>
  <c r="E4658" i="5"/>
  <c r="G4658" i="5" s="1"/>
  <c r="E4657" i="5"/>
  <c r="G4657" i="5" s="1"/>
  <c r="E4656" i="5"/>
  <c r="G4656" i="5" s="1"/>
  <c r="E4655" i="5"/>
  <c r="G4655" i="5" s="1"/>
  <c r="E4654" i="5"/>
  <c r="G4654" i="5" s="1"/>
  <c r="E4653" i="5"/>
  <c r="G4653" i="5" s="1"/>
  <c r="E4652" i="5"/>
  <c r="G4652" i="5" s="1"/>
  <c r="E4651" i="5"/>
  <c r="G4651" i="5" s="1"/>
  <c r="E4650" i="5"/>
  <c r="G4650" i="5" s="1"/>
  <c r="E4649" i="5"/>
  <c r="G4649" i="5" s="1"/>
  <c r="E4648" i="5"/>
  <c r="G4648" i="5" s="1"/>
  <c r="E4647" i="5"/>
  <c r="G4647" i="5" s="1"/>
  <c r="E4646" i="5"/>
  <c r="G4646" i="5" s="1"/>
  <c r="E4645" i="5"/>
  <c r="G4645" i="5" s="1"/>
  <c r="E4644" i="5"/>
  <c r="G4644" i="5" s="1"/>
  <c r="E4643" i="5"/>
  <c r="G4643" i="5" s="1"/>
  <c r="E4642" i="5"/>
  <c r="G4642" i="5" s="1"/>
  <c r="E4641" i="5"/>
  <c r="G4641" i="5" s="1"/>
  <c r="E4640" i="5"/>
  <c r="G4640" i="5" s="1"/>
  <c r="E4639" i="5"/>
  <c r="G4639" i="5" s="1"/>
  <c r="E4638" i="5"/>
  <c r="G4638" i="5" s="1"/>
  <c r="E4637" i="5"/>
  <c r="G4637" i="5" s="1"/>
  <c r="E4636" i="5"/>
  <c r="G4636" i="5" s="1"/>
  <c r="E4635" i="5"/>
  <c r="G4635" i="5" s="1"/>
  <c r="E4634" i="5"/>
  <c r="G4634" i="5" s="1"/>
  <c r="E4633" i="5"/>
  <c r="G4633" i="5" s="1"/>
  <c r="E4632" i="5"/>
  <c r="G4632" i="5" s="1"/>
  <c r="E4631" i="5"/>
  <c r="G4631" i="5" s="1"/>
  <c r="E4630" i="5"/>
  <c r="G4630" i="5" s="1"/>
  <c r="E4629" i="5"/>
  <c r="G4629" i="5" s="1"/>
  <c r="E4628" i="5"/>
  <c r="G4628" i="5" s="1"/>
  <c r="E4627" i="5"/>
  <c r="G4627" i="5" s="1"/>
  <c r="E4626" i="5"/>
  <c r="G4626" i="5" s="1"/>
  <c r="E4625" i="5"/>
  <c r="G4625" i="5" s="1"/>
  <c r="E4624" i="5"/>
  <c r="G4624" i="5" s="1"/>
  <c r="E4623" i="5"/>
  <c r="G4623" i="5" s="1"/>
  <c r="E4622" i="5"/>
  <c r="G4622" i="5" s="1"/>
  <c r="E4621" i="5"/>
  <c r="G4621" i="5" s="1"/>
  <c r="E4620" i="5"/>
  <c r="G4620" i="5" s="1"/>
  <c r="E4619" i="5"/>
  <c r="G4619" i="5" s="1"/>
  <c r="E4618" i="5"/>
  <c r="G4618" i="5" s="1"/>
  <c r="E4617" i="5"/>
  <c r="G4617" i="5" s="1"/>
  <c r="E4616" i="5"/>
  <c r="G4616" i="5" s="1"/>
  <c r="E4615" i="5"/>
  <c r="G4615" i="5" s="1"/>
  <c r="E4614" i="5"/>
  <c r="G4614" i="5" s="1"/>
  <c r="E4613" i="5"/>
  <c r="G4613" i="5" s="1"/>
  <c r="E4612" i="5"/>
  <c r="G4612" i="5" s="1"/>
  <c r="E4611" i="5"/>
  <c r="G4611" i="5" s="1"/>
  <c r="E4610" i="5"/>
  <c r="G4610" i="5" s="1"/>
  <c r="E4609" i="5"/>
  <c r="G4609" i="5" s="1"/>
  <c r="E4608" i="5"/>
  <c r="G4608" i="5" s="1"/>
  <c r="E4607" i="5"/>
  <c r="G4607" i="5" s="1"/>
  <c r="E4606" i="5"/>
  <c r="G4606" i="5" s="1"/>
  <c r="E4605" i="5"/>
  <c r="G4605" i="5" s="1"/>
  <c r="E4604" i="5"/>
  <c r="G4604" i="5" s="1"/>
  <c r="E4603" i="5"/>
  <c r="G4603" i="5" s="1"/>
  <c r="E4602" i="5"/>
  <c r="G4602" i="5" s="1"/>
  <c r="E4601" i="5"/>
  <c r="G4601" i="5" s="1"/>
  <c r="E4600" i="5"/>
  <c r="G4600" i="5" s="1"/>
  <c r="E4599" i="5"/>
  <c r="G4599" i="5" s="1"/>
  <c r="E4598" i="5"/>
  <c r="G4598" i="5" s="1"/>
  <c r="E4597" i="5"/>
  <c r="G4597" i="5" s="1"/>
  <c r="E4596" i="5"/>
  <c r="G4596" i="5" s="1"/>
  <c r="E4595" i="5"/>
  <c r="G4595" i="5" s="1"/>
  <c r="E4594" i="5"/>
  <c r="G4594" i="5" s="1"/>
  <c r="E4593" i="5"/>
  <c r="G4593" i="5" s="1"/>
  <c r="E4592" i="5"/>
  <c r="G4592" i="5" s="1"/>
  <c r="E4591" i="5"/>
  <c r="G4591" i="5" s="1"/>
  <c r="E4590" i="5"/>
  <c r="G4590" i="5" s="1"/>
  <c r="E4589" i="5"/>
  <c r="G4589" i="5" s="1"/>
  <c r="E4588" i="5"/>
  <c r="G4588" i="5" s="1"/>
  <c r="E4587" i="5"/>
  <c r="G4587" i="5" s="1"/>
  <c r="E4586" i="5"/>
  <c r="G4586" i="5" s="1"/>
  <c r="E4585" i="5"/>
  <c r="G4585" i="5" s="1"/>
  <c r="E4584" i="5"/>
  <c r="G4584" i="5" s="1"/>
  <c r="E4583" i="5"/>
  <c r="G4583" i="5" s="1"/>
  <c r="E4582" i="5"/>
  <c r="G4582" i="5" s="1"/>
  <c r="E4581" i="5"/>
  <c r="G4581" i="5" s="1"/>
  <c r="E4580" i="5"/>
  <c r="G4580" i="5" s="1"/>
  <c r="E4579" i="5"/>
  <c r="G4579" i="5" s="1"/>
  <c r="E4578" i="5"/>
  <c r="G4578" i="5" s="1"/>
  <c r="E4577" i="5"/>
  <c r="G4577" i="5" s="1"/>
  <c r="E4576" i="5"/>
  <c r="G4576" i="5" s="1"/>
  <c r="E4575" i="5"/>
  <c r="G4575" i="5" s="1"/>
  <c r="E4574" i="5"/>
  <c r="G4574" i="5" s="1"/>
  <c r="E4573" i="5"/>
  <c r="G4573" i="5" s="1"/>
  <c r="E4572" i="5"/>
  <c r="G4572" i="5" s="1"/>
  <c r="E4571" i="5"/>
  <c r="G4571" i="5" s="1"/>
  <c r="E4570" i="5"/>
  <c r="G4570" i="5" s="1"/>
  <c r="E4569" i="5"/>
  <c r="G4569" i="5" s="1"/>
  <c r="E4568" i="5"/>
  <c r="G4568" i="5" s="1"/>
  <c r="E4567" i="5"/>
  <c r="G4567" i="5" s="1"/>
  <c r="E4566" i="5"/>
  <c r="G4566" i="5" s="1"/>
  <c r="E4565" i="5"/>
  <c r="G4565" i="5" s="1"/>
  <c r="E4564" i="5"/>
  <c r="G4564" i="5" s="1"/>
  <c r="E4563" i="5"/>
  <c r="G4563" i="5" s="1"/>
  <c r="E4562" i="5"/>
  <c r="G4562" i="5" s="1"/>
  <c r="G4561" i="5"/>
  <c r="E4561" i="5"/>
  <c r="G4560" i="5"/>
  <c r="E4560" i="5"/>
  <c r="G4559" i="5"/>
  <c r="E4559" i="5"/>
  <c r="E4558" i="5"/>
  <c r="G4558" i="5" s="1"/>
  <c r="E4557" i="5"/>
  <c r="G4557" i="5" s="1"/>
  <c r="E4556" i="5"/>
  <c r="G4556" i="5" s="1"/>
  <c r="E4555" i="5"/>
  <c r="G4555" i="5" s="1"/>
  <c r="E4554" i="5"/>
  <c r="G4554" i="5" s="1"/>
  <c r="E4553" i="5"/>
  <c r="G4553" i="5" s="1"/>
  <c r="E4552" i="5"/>
  <c r="G4552" i="5" s="1"/>
  <c r="E4551" i="5"/>
  <c r="G4551" i="5" s="1"/>
  <c r="E4550" i="5"/>
  <c r="G4550" i="5" s="1"/>
  <c r="E4549" i="5"/>
  <c r="G4549" i="5" s="1"/>
  <c r="E4548" i="5"/>
  <c r="G4548" i="5" s="1"/>
  <c r="E4547" i="5"/>
  <c r="G4547" i="5" s="1"/>
  <c r="E4546" i="5"/>
  <c r="G4546" i="5" s="1"/>
  <c r="E4545" i="5"/>
  <c r="G4545" i="5" s="1"/>
  <c r="E4544" i="5"/>
  <c r="G4544" i="5" s="1"/>
  <c r="E4543" i="5"/>
  <c r="G4543" i="5" s="1"/>
  <c r="E4542" i="5"/>
  <c r="G4542" i="5" s="1"/>
  <c r="E4541" i="5"/>
  <c r="G4541" i="5" s="1"/>
  <c r="E4540" i="5"/>
  <c r="G4540" i="5" s="1"/>
  <c r="E4539" i="5"/>
  <c r="G4539" i="5" s="1"/>
  <c r="E4538" i="5"/>
  <c r="G4538" i="5" s="1"/>
  <c r="E4537" i="5"/>
  <c r="G4537" i="5" s="1"/>
  <c r="E4536" i="5"/>
  <c r="G4536" i="5" s="1"/>
  <c r="E4535" i="5"/>
  <c r="G4535" i="5" s="1"/>
  <c r="E4534" i="5"/>
  <c r="G4534" i="5" s="1"/>
  <c r="E4533" i="5"/>
  <c r="G4533" i="5" s="1"/>
  <c r="E4532" i="5"/>
  <c r="G4532" i="5" s="1"/>
  <c r="E4531" i="5"/>
  <c r="G4531" i="5" s="1"/>
  <c r="E4530" i="5"/>
  <c r="G4530" i="5" s="1"/>
  <c r="E4529" i="5"/>
  <c r="G4529" i="5" s="1"/>
  <c r="E4528" i="5"/>
  <c r="G4528" i="5" s="1"/>
  <c r="E4527" i="5"/>
  <c r="G4527" i="5" s="1"/>
  <c r="E4526" i="5"/>
  <c r="G4526" i="5" s="1"/>
  <c r="E4525" i="5"/>
  <c r="G4525" i="5" s="1"/>
  <c r="E4524" i="5"/>
  <c r="G4524" i="5" s="1"/>
  <c r="E4523" i="5"/>
  <c r="G4523" i="5" s="1"/>
  <c r="E4522" i="5"/>
  <c r="G4522" i="5" s="1"/>
  <c r="E4521" i="5"/>
  <c r="G4521" i="5" s="1"/>
  <c r="E4520" i="5"/>
  <c r="G4520" i="5" s="1"/>
  <c r="E4519" i="5"/>
  <c r="G4519" i="5" s="1"/>
  <c r="E4518" i="5"/>
  <c r="G4518" i="5" s="1"/>
  <c r="E4517" i="5"/>
  <c r="G4517" i="5" s="1"/>
  <c r="E4516" i="5"/>
  <c r="G4516" i="5" s="1"/>
  <c r="E4515" i="5"/>
  <c r="G4515" i="5" s="1"/>
  <c r="E4514" i="5"/>
  <c r="G4514" i="5" s="1"/>
  <c r="E4513" i="5"/>
  <c r="G4513" i="5" s="1"/>
  <c r="E4512" i="5"/>
  <c r="G4512" i="5" s="1"/>
  <c r="E4511" i="5"/>
  <c r="G4511" i="5" s="1"/>
  <c r="E4510" i="5"/>
  <c r="G4510" i="5" s="1"/>
  <c r="E4509" i="5"/>
  <c r="G4509" i="5" s="1"/>
  <c r="E4508" i="5"/>
  <c r="G4508" i="5" s="1"/>
  <c r="E4507" i="5"/>
  <c r="G4507" i="5" s="1"/>
  <c r="E4506" i="5"/>
  <c r="G4506" i="5" s="1"/>
  <c r="E4505" i="5"/>
  <c r="G4505" i="5" s="1"/>
  <c r="E4504" i="5"/>
  <c r="G4504" i="5" s="1"/>
  <c r="E4503" i="5"/>
  <c r="G4503" i="5" s="1"/>
  <c r="E4502" i="5"/>
  <c r="G4502" i="5" s="1"/>
  <c r="E4501" i="5"/>
  <c r="G4501" i="5" s="1"/>
  <c r="E4500" i="5"/>
  <c r="G4500" i="5" s="1"/>
  <c r="E4499" i="5"/>
  <c r="G4499" i="5" s="1"/>
  <c r="E4498" i="5"/>
  <c r="G4498" i="5" s="1"/>
  <c r="E4497" i="5"/>
  <c r="G4497" i="5" s="1"/>
  <c r="E4496" i="5"/>
  <c r="G4496" i="5" s="1"/>
  <c r="E4495" i="5"/>
  <c r="G4495" i="5" s="1"/>
  <c r="E4494" i="5"/>
  <c r="G4494" i="5" s="1"/>
  <c r="E4493" i="5"/>
  <c r="G4493" i="5" s="1"/>
  <c r="E4492" i="5"/>
  <c r="G4492" i="5" s="1"/>
  <c r="E4491" i="5"/>
  <c r="G4491" i="5" s="1"/>
  <c r="E4490" i="5"/>
  <c r="G4490" i="5" s="1"/>
  <c r="E4489" i="5"/>
  <c r="G4489" i="5" s="1"/>
  <c r="E4488" i="5"/>
  <c r="G4488" i="5" s="1"/>
  <c r="E4487" i="5"/>
  <c r="G4487" i="5" s="1"/>
  <c r="E4486" i="5"/>
  <c r="G4486" i="5" s="1"/>
  <c r="E4485" i="5"/>
  <c r="G4485" i="5" s="1"/>
  <c r="E4484" i="5"/>
  <c r="G4484" i="5" s="1"/>
  <c r="E4483" i="5"/>
  <c r="G4483" i="5" s="1"/>
  <c r="E4482" i="5"/>
  <c r="G4482" i="5" s="1"/>
  <c r="E4481" i="5"/>
  <c r="G4481" i="5" s="1"/>
  <c r="E4480" i="5"/>
  <c r="G4480" i="5" s="1"/>
  <c r="G4479" i="5"/>
  <c r="E4479" i="5"/>
  <c r="G4478" i="5"/>
  <c r="E4478" i="5"/>
  <c r="G4477" i="5"/>
  <c r="E4477" i="5"/>
  <c r="G4476" i="5"/>
  <c r="E4476" i="5"/>
  <c r="G4475" i="5"/>
  <c r="E4475" i="5"/>
  <c r="G4474" i="5"/>
  <c r="E4474" i="5"/>
  <c r="G4473" i="5"/>
  <c r="E4473" i="5"/>
  <c r="G4472" i="5"/>
  <c r="E4472" i="5"/>
  <c r="G4471" i="5"/>
  <c r="E4471" i="5"/>
  <c r="G4470" i="5"/>
  <c r="E4470" i="5"/>
  <c r="G4469" i="5"/>
  <c r="E4469" i="5"/>
  <c r="G4468" i="5"/>
  <c r="E4468" i="5"/>
  <c r="G4467" i="5"/>
  <c r="E4467" i="5"/>
  <c r="G4466" i="5"/>
  <c r="E4466" i="5"/>
  <c r="G4465" i="5"/>
  <c r="E4465" i="5"/>
  <c r="G4464" i="5"/>
  <c r="E4464" i="5"/>
  <c r="G4463" i="5"/>
  <c r="E4463" i="5"/>
  <c r="G4462" i="5"/>
  <c r="E4462" i="5"/>
  <c r="G4461" i="5"/>
  <c r="E4461" i="5"/>
  <c r="G4460" i="5"/>
  <c r="E4460" i="5"/>
  <c r="G4459" i="5"/>
  <c r="E4459" i="5"/>
  <c r="G4458" i="5"/>
  <c r="E4458" i="5"/>
  <c r="G4457" i="5"/>
  <c r="E4457" i="5"/>
  <c r="G4456" i="5"/>
  <c r="E4456" i="5"/>
  <c r="G4455" i="5"/>
  <c r="E4455" i="5"/>
  <c r="G4454" i="5"/>
  <c r="E4454" i="5"/>
  <c r="G4453" i="5"/>
  <c r="E4453" i="5"/>
  <c r="G4452" i="5"/>
  <c r="E4452" i="5"/>
  <c r="G4451" i="5"/>
  <c r="E4451" i="5"/>
  <c r="G4450" i="5"/>
  <c r="E4450" i="5"/>
  <c r="G4449" i="5"/>
  <c r="E4449" i="5"/>
  <c r="G4448" i="5"/>
  <c r="E4448" i="5"/>
  <c r="G4447" i="5"/>
  <c r="E4447" i="5"/>
  <c r="G4446" i="5"/>
  <c r="E4446" i="5"/>
  <c r="G4445" i="5"/>
  <c r="E4445" i="5"/>
  <c r="G4444" i="5"/>
  <c r="E4444" i="5"/>
  <c r="G4443" i="5"/>
  <c r="E4443" i="5"/>
  <c r="G4442" i="5"/>
  <c r="E4442" i="5"/>
  <c r="G4441" i="5"/>
  <c r="E4441" i="5"/>
  <c r="G4440" i="5"/>
  <c r="E4440" i="5"/>
  <c r="G4439" i="5"/>
  <c r="E4439" i="5"/>
  <c r="G4438" i="5"/>
  <c r="E4438" i="5"/>
  <c r="G4437" i="5"/>
  <c r="E4437" i="5"/>
  <c r="G4436" i="5"/>
  <c r="E4436" i="5"/>
  <c r="G4435" i="5"/>
  <c r="E4435" i="5"/>
  <c r="G4434" i="5"/>
  <c r="E4434" i="5"/>
  <c r="G4433" i="5"/>
  <c r="E4433" i="5"/>
  <c r="G4432" i="5"/>
  <c r="E4432" i="5"/>
  <c r="G4431" i="5"/>
  <c r="E4431" i="5"/>
  <c r="G4430" i="5"/>
  <c r="E4430" i="5"/>
  <c r="G4429" i="5"/>
  <c r="E4429" i="5"/>
  <c r="G4428" i="5"/>
  <c r="E4428" i="5"/>
  <c r="G4427" i="5"/>
  <c r="E4427" i="5"/>
  <c r="G4426" i="5"/>
  <c r="E4426" i="5"/>
  <c r="G4425" i="5"/>
  <c r="E4425" i="5"/>
  <c r="G4424" i="5"/>
  <c r="E4424" i="5"/>
  <c r="G4423" i="5"/>
  <c r="E4423" i="5"/>
  <c r="G4422" i="5"/>
  <c r="E4422" i="5"/>
  <c r="G4421" i="5"/>
  <c r="E4421" i="5"/>
  <c r="G4420" i="5"/>
  <c r="E4420" i="5"/>
  <c r="G4419" i="5"/>
  <c r="E4419" i="5"/>
  <c r="G4418" i="5"/>
  <c r="E4418" i="5"/>
  <c r="G4417" i="5"/>
  <c r="E4417" i="5"/>
  <c r="G4416" i="5"/>
  <c r="E4416" i="5"/>
  <c r="G4415" i="5"/>
  <c r="E4415" i="5"/>
  <c r="G4414" i="5"/>
  <c r="E4414" i="5"/>
  <c r="G4413" i="5"/>
  <c r="E4413" i="5"/>
  <c r="G4412" i="5"/>
  <c r="E4412" i="5"/>
  <c r="G4411" i="5"/>
  <c r="E4411" i="5"/>
  <c r="G4410" i="5"/>
  <c r="E4410" i="5"/>
  <c r="G4409" i="5"/>
  <c r="E4409" i="5"/>
  <c r="G4408" i="5"/>
  <c r="E4408" i="5"/>
  <c r="G4407" i="5"/>
  <c r="E4407" i="5"/>
  <c r="G4406" i="5"/>
  <c r="E4406" i="5"/>
  <c r="G4405" i="5"/>
  <c r="E4405" i="5"/>
  <c r="G4404" i="5"/>
  <c r="E4404" i="5"/>
  <c r="G4403" i="5"/>
  <c r="E4403" i="5"/>
  <c r="G4402" i="5"/>
  <c r="E4402" i="5"/>
  <c r="G4401" i="5"/>
  <c r="E4401" i="5"/>
  <c r="G4400" i="5"/>
  <c r="E4400" i="5"/>
  <c r="G4399" i="5"/>
  <c r="E4399" i="5"/>
  <c r="G4398" i="5"/>
  <c r="E4398" i="5"/>
  <c r="G4397" i="5"/>
  <c r="E4397" i="5"/>
  <c r="G4396" i="5"/>
  <c r="E4396" i="5"/>
  <c r="G4395" i="5"/>
  <c r="E4395" i="5"/>
  <c r="G4394" i="5"/>
  <c r="E4394" i="5"/>
  <c r="G4393" i="5"/>
  <c r="E4393" i="5"/>
  <c r="G4392" i="5"/>
  <c r="E4392" i="5"/>
  <c r="G4391" i="5"/>
  <c r="E4391" i="5"/>
  <c r="G4390" i="5"/>
  <c r="E4390" i="5"/>
  <c r="G4389" i="5"/>
  <c r="E4389" i="5"/>
  <c r="G4388" i="5"/>
  <c r="E4388" i="5"/>
  <c r="G4387" i="5"/>
  <c r="E4387" i="5"/>
  <c r="G4386" i="5"/>
  <c r="E4386" i="5"/>
  <c r="G4385" i="5"/>
  <c r="E4385" i="5"/>
  <c r="G4384" i="5"/>
  <c r="E4384" i="5"/>
  <c r="G4383" i="5"/>
  <c r="E4383" i="5"/>
  <c r="G4382" i="5"/>
  <c r="E4382" i="5"/>
  <c r="G4381" i="5"/>
  <c r="E4381" i="5"/>
  <c r="G4380" i="5"/>
  <c r="E4380" i="5"/>
  <c r="G4379" i="5"/>
  <c r="E4379" i="5"/>
  <c r="G4378" i="5"/>
  <c r="E4378" i="5"/>
  <c r="G4377" i="5"/>
  <c r="E4377" i="5"/>
  <c r="G4376" i="5"/>
  <c r="E4376" i="5"/>
  <c r="G4375" i="5"/>
  <c r="E4375" i="5"/>
  <c r="G4374" i="5"/>
  <c r="E4374" i="5"/>
  <c r="G4373" i="5"/>
  <c r="E4373" i="5"/>
  <c r="G4372" i="5"/>
  <c r="E4372" i="5"/>
  <c r="G4371" i="5"/>
  <c r="E4371" i="5"/>
  <c r="G4370" i="5"/>
  <c r="E4370" i="5"/>
  <c r="G4369" i="5"/>
  <c r="E4369" i="5"/>
  <c r="G4368" i="5"/>
  <c r="E4368" i="5"/>
  <c r="G4367" i="5"/>
  <c r="E4367" i="5"/>
  <c r="G4366" i="5"/>
  <c r="E4366" i="5"/>
  <c r="G4365" i="5"/>
  <c r="E4365" i="5"/>
  <c r="G4364" i="5"/>
  <c r="E4364" i="5"/>
  <c r="G4363" i="5"/>
  <c r="E4363" i="5"/>
  <c r="G4362" i="5"/>
  <c r="E4362" i="5"/>
  <c r="G4361" i="5"/>
  <c r="E4361" i="5"/>
  <c r="G4360" i="5"/>
  <c r="E4360" i="5"/>
  <c r="G4359" i="5"/>
  <c r="E4359" i="5"/>
  <c r="G4358" i="5"/>
  <c r="E4358" i="5"/>
  <c r="G4357" i="5"/>
  <c r="E4357" i="5"/>
  <c r="G4356" i="5"/>
  <c r="E4356" i="5"/>
  <c r="G4355" i="5"/>
  <c r="E4355" i="5"/>
  <c r="G4354" i="5"/>
  <c r="E4354" i="5"/>
  <c r="G4353" i="5"/>
  <c r="E4353" i="5"/>
  <c r="G4352" i="5"/>
  <c r="E4352" i="5"/>
  <c r="G4351" i="5"/>
  <c r="E4351" i="5"/>
  <c r="G4350" i="5"/>
  <c r="E4350" i="5"/>
  <c r="G4349" i="5"/>
  <c r="E4349" i="5"/>
  <c r="G4348" i="5"/>
  <c r="E4348" i="5"/>
  <c r="G4347" i="5"/>
  <c r="E4347" i="5"/>
  <c r="G4346" i="5"/>
  <c r="E4346" i="5"/>
  <c r="G4345" i="5"/>
  <c r="E4345" i="5"/>
  <c r="G4344" i="5"/>
  <c r="E4344" i="5"/>
  <c r="G4343" i="5"/>
  <c r="E4343" i="5"/>
  <c r="G4342" i="5"/>
  <c r="E4342" i="5"/>
  <c r="G4341" i="5"/>
  <c r="E4341" i="5"/>
  <c r="G4340" i="5"/>
  <c r="E4340" i="5"/>
  <c r="G4339" i="5"/>
  <c r="E4339" i="5"/>
  <c r="G4338" i="5"/>
  <c r="E4338" i="5"/>
  <c r="G4337" i="5"/>
  <c r="E4337" i="5"/>
  <c r="G4336" i="5"/>
  <c r="E4336" i="5"/>
  <c r="G4335" i="5"/>
  <c r="E4335" i="5"/>
  <c r="G4334" i="5"/>
  <c r="E4334" i="5"/>
  <c r="G4333" i="5"/>
  <c r="E4333" i="5"/>
  <c r="G4332" i="5"/>
  <c r="E4332" i="5"/>
  <c r="G4331" i="5"/>
  <c r="E4331" i="5"/>
  <c r="G4330" i="5"/>
  <c r="E4330" i="5"/>
  <c r="G4329" i="5"/>
  <c r="E4329" i="5"/>
  <c r="G4328" i="5"/>
  <c r="E4328" i="5"/>
  <c r="G4327" i="5"/>
  <c r="E4327" i="5"/>
  <c r="G4326" i="5"/>
  <c r="E4326" i="5"/>
  <c r="G4325" i="5"/>
  <c r="E4325" i="5"/>
  <c r="G4324" i="5"/>
  <c r="E4324" i="5"/>
  <c r="G4323" i="5"/>
  <c r="E4323" i="5"/>
  <c r="G4322" i="5"/>
  <c r="E4322" i="5"/>
  <c r="G4321" i="5"/>
  <c r="E4321" i="5"/>
  <c r="G4320" i="5"/>
  <c r="E4320" i="5"/>
  <c r="G4319" i="5"/>
  <c r="E4319" i="5"/>
  <c r="G4318" i="5"/>
  <c r="E4318" i="5"/>
  <c r="G4317" i="5"/>
  <c r="E4317" i="5"/>
  <c r="G4316" i="5"/>
  <c r="E4316" i="5"/>
  <c r="G4315" i="5"/>
  <c r="E4315" i="5"/>
  <c r="G4314" i="5"/>
  <c r="E4314" i="5"/>
  <c r="G4313" i="5"/>
  <c r="E4313" i="5"/>
  <c r="G4312" i="5"/>
  <c r="E4312" i="5"/>
  <c r="G4311" i="5"/>
  <c r="E4311" i="5"/>
  <c r="G4310" i="5"/>
  <c r="E4310" i="5"/>
  <c r="G4309" i="5"/>
  <c r="E4309" i="5"/>
  <c r="G4308" i="5"/>
  <c r="E4308" i="5"/>
  <c r="G4307" i="5"/>
  <c r="E4307" i="5"/>
  <c r="G4306" i="5"/>
  <c r="E4306" i="5"/>
  <c r="G4305" i="5"/>
  <c r="E4305" i="5"/>
  <c r="G4304" i="5"/>
  <c r="E4304" i="5"/>
  <c r="G4303" i="5"/>
  <c r="E4303" i="5"/>
  <c r="G4302" i="5"/>
  <c r="E4302" i="5"/>
  <c r="G4301" i="5"/>
  <c r="E4301" i="5"/>
  <c r="G4300" i="5"/>
  <c r="E4300" i="5"/>
  <c r="G4299" i="5"/>
  <c r="E4299" i="5"/>
  <c r="G4298" i="5"/>
  <c r="E4298" i="5"/>
  <c r="G4297" i="5"/>
  <c r="E4297" i="5"/>
  <c r="G4296" i="5"/>
  <c r="E4296" i="5"/>
  <c r="G4295" i="5"/>
  <c r="E4295" i="5"/>
  <c r="G4294" i="5"/>
  <c r="E4294" i="5"/>
  <c r="G4293" i="5"/>
  <c r="E4293" i="5"/>
  <c r="G4292" i="5"/>
  <c r="E4292" i="5"/>
  <c r="G4291" i="5"/>
  <c r="E4291" i="5"/>
  <c r="G4290" i="5"/>
  <c r="E4290" i="5"/>
  <c r="G4289" i="5"/>
  <c r="E4289" i="5"/>
  <c r="G4288" i="5"/>
  <c r="E4288" i="5"/>
  <c r="G4287" i="5"/>
  <c r="E4287" i="5"/>
  <c r="G4286" i="5"/>
  <c r="E4286" i="5"/>
  <c r="G4285" i="5"/>
  <c r="E4285" i="5"/>
  <c r="G4284" i="5"/>
  <c r="E4284" i="5"/>
  <c r="G4283" i="5"/>
  <c r="E4283" i="5"/>
  <c r="G4282" i="5"/>
  <c r="E4282" i="5"/>
  <c r="G4281" i="5"/>
  <c r="E4281" i="5"/>
  <c r="G4280" i="5"/>
  <c r="E4280" i="5"/>
  <c r="G4279" i="5"/>
  <c r="E4279" i="5"/>
  <c r="G4278" i="5"/>
  <c r="E4278" i="5"/>
  <c r="G4277" i="5"/>
  <c r="E4277" i="5"/>
  <c r="G4276" i="5"/>
  <c r="E4276" i="5"/>
  <c r="G4275" i="5"/>
  <c r="E4275" i="5"/>
  <c r="G4274" i="5"/>
  <c r="E4274" i="5"/>
  <c r="G4273" i="5"/>
  <c r="E4273" i="5"/>
  <c r="G4272" i="5"/>
  <c r="E4272" i="5"/>
  <c r="G4271" i="5"/>
  <c r="E4271" i="5"/>
  <c r="G4270" i="5"/>
  <c r="E4270" i="5"/>
  <c r="G4269" i="5"/>
  <c r="E4269" i="5"/>
  <c r="G4268" i="5"/>
  <c r="E4268" i="5"/>
  <c r="G4267" i="5"/>
  <c r="E4267" i="5"/>
  <c r="G4266" i="5"/>
  <c r="E4266" i="5"/>
  <c r="G4265" i="5"/>
  <c r="E4265" i="5"/>
  <c r="G4264" i="5"/>
  <c r="E4264" i="5"/>
  <c r="G4263" i="5"/>
  <c r="E4263" i="5"/>
  <c r="G4262" i="5"/>
  <c r="E4262" i="5"/>
  <c r="G4261" i="5"/>
  <c r="E4261" i="5"/>
  <c r="G4260" i="5"/>
  <c r="E4260" i="5"/>
  <c r="G4259" i="5"/>
  <c r="E4259" i="5"/>
  <c r="G4258" i="5"/>
  <c r="E4258" i="5"/>
  <c r="G4257" i="5"/>
  <c r="E4257" i="5"/>
  <c r="G4256" i="5"/>
  <c r="E4256" i="5"/>
  <c r="G4255" i="5"/>
  <c r="E4255" i="5"/>
  <c r="G4254" i="5"/>
  <c r="E4254" i="5"/>
  <c r="G4253" i="5"/>
  <c r="E4253" i="5"/>
  <c r="G4252" i="5"/>
  <c r="E4252" i="5"/>
  <c r="G4251" i="5"/>
  <c r="E4251" i="5"/>
  <c r="G4250" i="5"/>
  <c r="E4250" i="5"/>
  <c r="G4249" i="5"/>
  <c r="E4249" i="5"/>
  <c r="G4248" i="5"/>
  <c r="E4248" i="5"/>
  <c r="G4247" i="5"/>
  <c r="E4247" i="5"/>
  <c r="G4246" i="5"/>
  <c r="E4246" i="5"/>
  <c r="G4245" i="5"/>
  <c r="E4245" i="5"/>
  <c r="G4244" i="5"/>
  <c r="E4244" i="5"/>
  <c r="G4243" i="5"/>
  <c r="E4243" i="5"/>
  <c r="G4242" i="5"/>
  <c r="E4242" i="5"/>
  <c r="G4241" i="5"/>
  <c r="E4241" i="5"/>
  <c r="G4240" i="5"/>
  <c r="E4240" i="5"/>
  <c r="G4239" i="5"/>
  <c r="E4239" i="5"/>
  <c r="G4238" i="5"/>
  <c r="E4238" i="5"/>
  <c r="G4237" i="5"/>
  <c r="E4237" i="5"/>
  <c r="G4236" i="5"/>
  <c r="E4236" i="5"/>
  <c r="G4235" i="5"/>
  <c r="E4235" i="5"/>
  <c r="G4234" i="5"/>
  <c r="E4234" i="5"/>
  <c r="G4233" i="5"/>
  <c r="E4233" i="5"/>
  <c r="G4232" i="5"/>
  <c r="E4232" i="5"/>
  <c r="G4231" i="5"/>
  <c r="E4231" i="5"/>
  <c r="G4230" i="5"/>
  <c r="E4230" i="5"/>
  <c r="G4229" i="5"/>
  <c r="E4229" i="5"/>
  <c r="G4228" i="5"/>
  <c r="E4228" i="5"/>
  <c r="G4227" i="5"/>
  <c r="E4227" i="5"/>
  <c r="G4226" i="5"/>
  <c r="E4226" i="5"/>
  <c r="G4225" i="5"/>
  <c r="E4225" i="5"/>
  <c r="G4224" i="5"/>
  <c r="E4224" i="5"/>
  <c r="G4223" i="5"/>
  <c r="E4223" i="5"/>
  <c r="G4222" i="5"/>
  <c r="E4222" i="5"/>
  <c r="G4221" i="5"/>
  <c r="E4221" i="5"/>
  <c r="G4220" i="5"/>
  <c r="E4220" i="5"/>
  <c r="G4219" i="5"/>
  <c r="E4219" i="5"/>
  <c r="G4218" i="5"/>
  <c r="E4218" i="5"/>
  <c r="G4217" i="5"/>
  <c r="E4217" i="5"/>
  <c r="G4216" i="5"/>
  <c r="E4216" i="5"/>
  <c r="G4215" i="5"/>
  <c r="E4215" i="5"/>
  <c r="G4214" i="5"/>
  <c r="E4214" i="5"/>
  <c r="G4213" i="5"/>
  <c r="E4213" i="5"/>
  <c r="G4212" i="5"/>
  <c r="E4212" i="5"/>
  <c r="G4211" i="5"/>
  <c r="E4211" i="5"/>
  <c r="G4210" i="5"/>
  <c r="E4210" i="5"/>
  <c r="G4209" i="5"/>
  <c r="E4209" i="5"/>
  <c r="G4208" i="5"/>
  <c r="E4208" i="5"/>
  <c r="G4207" i="5"/>
  <c r="E4207" i="5"/>
  <c r="G4206" i="5"/>
  <c r="E4206" i="5"/>
  <c r="G4205" i="5"/>
  <c r="E4205" i="5"/>
  <c r="G4204" i="5"/>
  <c r="E4204" i="5"/>
  <c r="G4203" i="5"/>
  <c r="E4203" i="5"/>
  <c r="G4202" i="5"/>
  <c r="E4202" i="5"/>
  <c r="G4201" i="5"/>
  <c r="E4201" i="5"/>
  <c r="G4200" i="5"/>
  <c r="E4200" i="5"/>
  <c r="G4199" i="5"/>
  <c r="E4199" i="5"/>
  <c r="G4198" i="5"/>
  <c r="E4198" i="5"/>
  <c r="G4197" i="5"/>
  <c r="E4197" i="5"/>
  <c r="G4196" i="5"/>
  <c r="E4196" i="5"/>
  <c r="G4195" i="5"/>
  <c r="E4195" i="5"/>
  <c r="G4194" i="5"/>
  <c r="E4194" i="5"/>
  <c r="G4193" i="5"/>
  <c r="E4193" i="5"/>
  <c r="G4192" i="5"/>
  <c r="E4192" i="5"/>
  <c r="G4191" i="5"/>
  <c r="E4191" i="5"/>
  <c r="G4190" i="5"/>
  <c r="E4190" i="5"/>
  <c r="G4189" i="5"/>
  <c r="E4189" i="5"/>
  <c r="G4188" i="5"/>
  <c r="E4188" i="5"/>
  <c r="G4187" i="5"/>
  <c r="E4187" i="5"/>
  <c r="G4186" i="5"/>
  <c r="E4186" i="5"/>
  <c r="G4185" i="5"/>
  <c r="E4185" i="5"/>
  <c r="G4184" i="5"/>
  <c r="E4184" i="5"/>
  <c r="G4183" i="5"/>
  <c r="E4183" i="5"/>
  <c r="G4182" i="5"/>
  <c r="E4182" i="5"/>
  <c r="G4181" i="5"/>
  <c r="E4181" i="5"/>
  <c r="G4180" i="5"/>
  <c r="E4180" i="5"/>
  <c r="G4179" i="5"/>
  <c r="E4179" i="5"/>
  <c r="G4178" i="5"/>
  <c r="E4178" i="5"/>
  <c r="G4177" i="5"/>
  <c r="E4177" i="5"/>
  <c r="G4176" i="5"/>
  <c r="E4176" i="5"/>
  <c r="G4175" i="5"/>
  <c r="E4175" i="5"/>
  <c r="G4174" i="5"/>
  <c r="E4174" i="5"/>
  <c r="G4173" i="5"/>
  <c r="E4173" i="5"/>
  <c r="G4172" i="5"/>
  <c r="E4172" i="5"/>
  <c r="G4171" i="5"/>
  <c r="E4171" i="5"/>
  <c r="G4170" i="5"/>
  <c r="E4170" i="5"/>
  <c r="G4169" i="5"/>
  <c r="E4169" i="5"/>
  <c r="G4168" i="5"/>
  <c r="E4168" i="5"/>
  <c r="G4167" i="5"/>
  <c r="E4167" i="5"/>
  <c r="G4166" i="5"/>
  <c r="E4166" i="5"/>
  <c r="G4165" i="5"/>
  <c r="E4165" i="5"/>
  <c r="G4164" i="5"/>
  <c r="E4164" i="5"/>
  <c r="G4163" i="5"/>
  <c r="E4163" i="5"/>
  <c r="G4162" i="5"/>
  <c r="E4162" i="5"/>
  <c r="G4161" i="5"/>
  <c r="E4161" i="5"/>
  <c r="G4160" i="5"/>
  <c r="E4160" i="5"/>
  <c r="G4159" i="5"/>
  <c r="E4159" i="5"/>
  <c r="G4158" i="5"/>
  <c r="E4158" i="5"/>
  <c r="G4157" i="5"/>
  <c r="E4157" i="5"/>
  <c r="G4156" i="5"/>
  <c r="E4156" i="5"/>
  <c r="G4155" i="5"/>
  <c r="E4155" i="5"/>
  <c r="G4154" i="5"/>
  <c r="E4154" i="5"/>
  <c r="G4153" i="5"/>
  <c r="E4153" i="5"/>
  <c r="G4152" i="5"/>
  <c r="E4152" i="5"/>
  <c r="G4151" i="5"/>
  <c r="E4151" i="5"/>
  <c r="G4150" i="5"/>
  <c r="E4150" i="5"/>
  <c r="G4149" i="5"/>
  <c r="E4149" i="5"/>
  <c r="G4148" i="5"/>
  <c r="E4148" i="5"/>
  <c r="G4147" i="5"/>
  <c r="E4147" i="5"/>
  <c r="G4146" i="5"/>
  <c r="E4146" i="5"/>
  <c r="G4145" i="5"/>
  <c r="E4145" i="5"/>
  <c r="G4144" i="5"/>
  <c r="E4144" i="5"/>
  <c r="G4143" i="5"/>
  <c r="E4143" i="5"/>
  <c r="G4142" i="5"/>
  <c r="E4142" i="5"/>
  <c r="G4141" i="5"/>
  <c r="E4141" i="5"/>
  <c r="G4140" i="5"/>
  <c r="E4140" i="5"/>
  <c r="G4139" i="5"/>
  <c r="E4139" i="5"/>
  <c r="G4138" i="5"/>
  <c r="E4138" i="5"/>
  <c r="G4137" i="5"/>
  <c r="E4137" i="5"/>
  <c r="G4136" i="5"/>
  <c r="E4136" i="5"/>
  <c r="G4135" i="5"/>
  <c r="E4135" i="5"/>
  <c r="G4134" i="5"/>
  <c r="E4134" i="5"/>
  <c r="G4133" i="5"/>
  <c r="E4133" i="5"/>
  <c r="G4132" i="5"/>
  <c r="E4132" i="5"/>
  <c r="G4131" i="5"/>
  <c r="E4131" i="5"/>
  <c r="G4130" i="5"/>
  <c r="E4130" i="5"/>
  <c r="G4129" i="5"/>
  <c r="E4129" i="5"/>
  <c r="G4128" i="5"/>
  <c r="E4128" i="5"/>
  <c r="G4127" i="5"/>
  <c r="E4127" i="5"/>
  <c r="G4126" i="5"/>
  <c r="E4126" i="5"/>
  <c r="G4125" i="5"/>
  <c r="E4125" i="5"/>
  <c r="G4124" i="5"/>
  <c r="E4124" i="5"/>
  <c r="G4123" i="5"/>
  <c r="E4123" i="5"/>
  <c r="G4122" i="5"/>
  <c r="E4122" i="5"/>
  <c r="G4121" i="5"/>
  <c r="E4121" i="5"/>
  <c r="G4120" i="5"/>
  <c r="E4120" i="5"/>
  <c r="G4119" i="5"/>
  <c r="E4119" i="5"/>
  <c r="G4118" i="5"/>
  <c r="E4118" i="5"/>
  <c r="G4117" i="5"/>
  <c r="E4117" i="5"/>
  <c r="G4116" i="5"/>
  <c r="E4116" i="5"/>
  <c r="G4115" i="5"/>
  <c r="E4115" i="5"/>
  <c r="G4114" i="5"/>
  <c r="E4114" i="5"/>
  <c r="G4113" i="5"/>
  <c r="E4113" i="5"/>
  <c r="G4112" i="5"/>
  <c r="E4112" i="5"/>
  <c r="G4111" i="5"/>
  <c r="E4111" i="5"/>
  <c r="G4110" i="5"/>
  <c r="E4110" i="5"/>
  <c r="G4109" i="5"/>
  <c r="E4109" i="5"/>
  <c r="G4108" i="5"/>
  <c r="E4108" i="5"/>
  <c r="G4107" i="5"/>
  <c r="E4107" i="5"/>
  <c r="G4106" i="5"/>
  <c r="E4106" i="5"/>
  <c r="G4105" i="5"/>
  <c r="E4105" i="5"/>
  <c r="G4104" i="5"/>
  <c r="E4104" i="5"/>
  <c r="G4103" i="5"/>
  <c r="E4103" i="5"/>
  <c r="G4102" i="5"/>
  <c r="E4102" i="5"/>
  <c r="G4101" i="5"/>
  <c r="E4101" i="5"/>
  <c r="G4100" i="5"/>
  <c r="E4100" i="5"/>
  <c r="G4099" i="5"/>
  <c r="E4099" i="5"/>
  <c r="G4098" i="5"/>
  <c r="E4098" i="5"/>
  <c r="G4097" i="5"/>
  <c r="E4097" i="5"/>
  <c r="G4096" i="5"/>
  <c r="E4096" i="5"/>
  <c r="G4095" i="5"/>
  <c r="E4095" i="5"/>
  <c r="G4094" i="5"/>
  <c r="E4094" i="5"/>
  <c r="G4093" i="5"/>
  <c r="E4093" i="5"/>
  <c r="G4092" i="5"/>
  <c r="E4092" i="5"/>
  <c r="G4091" i="5"/>
  <c r="E4091" i="5"/>
  <c r="G4090" i="5"/>
  <c r="E4090" i="5"/>
  <c r="G4089" i="5"/>
  <c r="E4089" i="5"/>
  <c r="G4088" i="5"/>
  <c r="E4088" i="5"/>
  <c r="G4087" i="5"/>
  <c r="E4087" i="5"/>
  <c r="G4086" i="5"/>
  <c r="E4086" i="5"/>
  <c r="G4085" i="5"/>
  <c r="E4085" i="5"/>
  <c r="G4084" i="5"/>
  <c r="E4084" i="5"/>
  <c r="G4083" i="5"/>
  <c r="E4083" i="5"/>
  <c r="G4082" i="5"/>
  <c r="E4082" i="5"/>
  <c r="G4081" i="5"/>
  <c r="E4081" i="5"/>
  <c r="G4080" i="5"/>
  <c r="E4080" i="5"/>
  <c r="G4079" i="5"/>
  <c r="E4079" i="5"/>
  <c r="G4078" i="5"/>
  <c r="E4078" i="5"/>
  <c r="G4077" i="5"/>
  <c r="E4077" i="5"/>
  <c r="G4076" i="5"/>
  <c r="E4076" i="5"/>
  <c r="G4075" i="5"/>
  <c r="E4075" i="5"/>
  <c r="G4074" i="5"/>
  <c r="E4074" i="5"/>
  <c r="G4073" i="5"/>
  <c r="E4073" i="5"/>
  <c r="G4072" i="5"/>
  <c r="E4072" i="5"/>
  <c r="G4071" i="5"/>
  <c r="E4071" i="5"/>
  <c r="G4070" i="5"/>
  <c r="E4070" i="5"/>
  <c r="G4069" i="5"/>
  <c r="E4069" i="5"/>
  <c r="G4068" i="5"/>
  <c r="E4068" i="5"/>
  <c r="G4067" i="5"/>
  <c r="E4067" i="5"/>
  <c r="G4066" i="5"/>
  <c r="E4066" i="5"/>
  <c r="G4065" i="5"/>
  <c r="E4065" i="5"/>
  <c r="G4064" i="5"/>
  <c r="E4064" i="5"/>
  <c r="G4063" i="5"/>
  <c r="E4063" i="5"/>
  <c r="G4062" i="5"/>
  <c r="E4062" i="5"/>
  <c r="G4061" i="5"/>
  <c r="E4061" i="5"/>
  <c r="G4060" i="5"/>
  <c r="E4060" i="5"/>
  <c r="G4059" i="5"/>
  <c r="E4059" i="5"/>
  <c r="G4058" i="5"/>
  <c r="E4058" i="5"/>
  <c r="G4057" i="5"/>
  <c r="E4057" i="5"/>
  <c r="G4056" i="5"/>
  <c r="E4056" i="5"/>
  <c r="G4055" i="5"/>
  <c r="E4055" i="5"/>
  <c r="G4054" i="5"/>
  <c r="E4054" i="5"/>
  <c r="G4053" i="5"/>
  <c r="E4053" i="5"/>
  <c r="G4052" i="5"/>
  <c r="E4052" i="5"/>
  <c r="G4051" i="5"/>
  <c r="E4051" i="5"/>
  <c r="G4050" i="5"/>
  <c r="E4050" i="5"/>
  <c r="G4049" i="5"/>
  <c r="E4049" i="5"/>
  <c r="G4048" i="5"/>
  <c r="E4048" i="5"/>
  <c r="G4047" i="5"/>
  <c r="E4047" i="5"/>
  <c r="G4046" i="5"/>
  <c r="E4046" i="5"/>
  <c r="G4045" i="5"/>
  <c r="E4045" i="5"/>
  <c r="G4044" i="5"/>
  <c r="E4044" i="5"/>
  <c r="G4043" i="5"/>
  <c r="E4043" i="5"/>
  <c r="G4042" i="5"/>
  <c r="E4042" i="5"/>
  <c r="G4041" i="5"/>
  <c r="E4041" i="5"/>
  <c r="G4040" i="5"/>
  <c r="E4040" i="5"/>
  <c r="G4039" i="5"/>
  <c r="E4039" i="5"/>
  <c r="G4038" i="5"/>
  <c r="E4038" i="5"/>
  <c r="G4037" i="5"/>
  <c r="E4037" i="5"/>
  <c r="G4036" i="5"/>
  <c r="E4036" i="5"/>
  <c r="G4035" i="5"/>
  <c r="E4035" i="5"/>
  <c r="G4034" i="5"/>
  <c r="E4034" i="5"/>
  <c r="G4033" i="5"/>
  <c r="E4033" i="5"/>
  <c r="G4032" i="5"/>
  <c r="E4032" i="5"/>
  <c r="G4031" i="5"/>
  <c r="E4031" i="5"/>
  <c r="G4030" i="5"/>
  <c r="E4030" i="5"/>
  <c r="G4029" i="5"/>
  <c r="E4029" i="5"/>
  <c r="G4028" i="5"/>
  <c r="E4028" i="5"/>
  <c r="G4027" i="5"/>
  <c r="E4027" i="5"/>
  <c r="G4026" i="5"/>
  <c r="E4026" i="5"/>
  <c r="G4025" i="5"/>
  <c r="E4025" i="5"/>
  <c r="G4024" i="5"/>
  <c r="E4024" i="5"/>
  <c r="G4023" i="5"/>
  <c r="E4023" i="5"/>
  <c r="G4022" i="5"/>
  <c r="E4022" i="5"/>
  <c r="G4021" i="5"/>
  <c r="E4021" i="5"/>
  <c r="G4020" i="5"/>
  <c r="E4020" i="5"/>
  <c r="G4019" i="5"/>
  <c r="E4019" i="5"/>
  <c r="G4018" i="5"/>
  <c r="E4018" i="5"/>
  <c r="G4017" i="5"/>
  <c r="E4017" i="5"/>
  <c r="G4016" i="5"/>
  <c r="E4016" i="5"/>
  <c r="G4015" i="5"/>
  <c r="E4015" i="5"/>
  <c r="G4014" i="5"/>
  <c r="E4014" i="5"/>
  <c r="G4013" i="5"/>
  <c r="E4013" i="5"/>
  <c r="G4012" i="5"/>
  <c r="E4012" i="5"/>
  <c r="G4011" i="5"/>
  <c r="E4011" i="5"/>
  <c r="G4010" i="5"/>
  <c r="E4010" i="5"/>
  <c r="G4009" i="5"/>
  <c r="E4009" i="5"/>
  <c r="G4008" i="5"/>
  <c r="E4008" i="5"/>
  <c r="G4007" i="5"/>
  <c r="E4007" i="5"/>
  <c r="G4006" i="5"/>
  <c r="E4006" i="5"/>
  <c r="G4005" i="5"/>
  <c r="E4005" i="5"/>
  <c r="G4004" i="5"/>
  <c r="E4004" i="5"/>
  <c r="G4003" i="5"/>
  <c r="E4003" i="5"/>
  <c r="G4002" i="5"/>
  <c r="E4002" i="5"/>
  <c r="G4001" i="5"/>
  <c r="E4001" i="5"/>
  <c r="G4000" i="5"/>
  <c r="E4000" i="5"/>
  <c r="G3999" i="5"/>
  <c r="E3999" i="5"/>
  <c r="G3998" i="5"/>
  <c r="E3998" i="5"/>
  <c r="G3997" i="5"/>
  <c r="E3997" i="5"/>
  <c r="G3996" i="5"/>
  <c r="E3996" i="5"/>
  <c r="G3995" i="5"/>
  <c r="E3995" i="5"/>
  <c r="G3994" i="5"/>
  <c r="E3994" i="5"/>
  <c r="G3993" i="5"/>
  <c r="E3993" i="5"/>
  <c r="G3992" i="5"/>
  <c r="E3992" i="5"/>
  <c r="G3991" i="5"/>
  <c r="E3991" i="5"/>
  <c r="G3990" i="5"/>
  <c r="E3990" i="5"/>
  <c r="G3989" i="5"/>
  <c r="E3989" i="5"/>
  <c r="G3988" i="5"/>
  <c r="E3988" i="5"/>
  <c r="G3987" i="5"/>
  <c r="E3987" i="5"/>
  <c r="G3986" i="5"/>
  <c r="E3986" i="5"/>
  <c r="G3985" i="5"/>
  <c r="E3985" i="5"/>
  <c r="G3984" i="5"/>
  <c r="E3984" i="5"/>
  <c r="G3983" i="5"/>
  <c r="E3983" i="5"/>
  <c r="G3982" i="5"/>
  <c r="E3982" i="5"/>
  <c r="G3981" i="5"/>
  <c r="E3981" i="5"/>
  <c r="G3980" i="5"/>
  <c r="E3980" i="5"/>
  <c r="G3979" i="5"/>
  <c r="E3979" i="5"/>
  <c r="G3978" i="5"/>
  <c r="E3978" i="5"/>
  <c r="G3977" i="5"/>
  <c r="E3977" i="5"/>
  <c r="G3976" i="5"/>
  <c r="E3976" i="5"/>
  <c r="G3975" i="5"/>
  <c r="E3975" i="5"/>
  <c r="G3974" i="5"/>
  <c r="E3974" i="5"/>
  <c r="G3973" i="5"/>
  <c r="E3973" i="5"/>
  <c r="G3972" i="5"/>
  <c r="E3972" i="5"/>
  <c r="G3971" i="5"/>
  <c r="E3971" i="5"/>
  <c r="G3970" i="5"/>
  <c r="E3970" i="5"/>
  <c r="G3969" i="5"/>
  <c r="E3969" i="5"/>
  <c r="G3968" i="5"/>
  <c r="E3968" i="5"/>
  <c r="G3967" i="5"/>
  <c r="E3967" i="5"/>
  <c r="G3966" i="5"/>
  <c r="E3966" i="5"/>
  <c r="G3965" i="5"/>
  <c r="E3965" i="5"/>
  <c r="G3964" i="5"/>
  <c r="E3964" i="5"/>
  <c r="G3963" i="5"/>
  <c r="E3963" i="5"/>
  <c r="G3962" i="5"/>
  <c r="E3962" i="5"/>
  <c r="G3961" i="5"/>
  <c r="E3961" i="5"/>
  <c r="G3960" i="5"/>
  <c r="E3960" i="5"/>
  <c r="G3959" i="5"/>
  <c r="E3959" i="5"/>
  <c r="G3958" i="5"/>
  <c r="E3958" i="5"/>
  <c r="G3957" i="5"/>
  <c r="E3957" i="5"/>
  <c r="G3956" i="5"/>
  <c r="E3956" i="5"/>
  <c r="G3955" i="5"/>
  <c r="E3955" i="5"/>
  <c r="G3954" i="5"/>
  <c r="E3954" i="5"/>
  <c r="G3953" i="5"/>
  <c r="E3953" i="5"/>
  <c r="G3952" i="5"/>
  <c r="E3952" i="5"/>
  <c r="G3951" i="5"/>
  <c r="E3951" i="5"/>
  <c r="G3950" i="5"/>
  <c r="E3950" i="5"/>
  <c r="G3949" i="5"/>
  <c r="E3949" i="5"/>
  <c r="G3948" i="5"/>
  <c r="E3948" i="5"/>
  <c r="G3947" i="5"/>
  <c r="E3947" i="5"/>
  <c r="G3946" i="5"/>
  <c r="E3946" i="5"/>
  <c r="G3945" i="5"/>
  <c r="E3945" i="5"/>
  <c r="G3944" i="5"/>
  <c r="E3944" i="5"/>
  <c r="G3943" i="5"/>
  <c r="E3943" i="5"/>
  <c r="G3942" i="5"/>
  <c r="E3942" i="5"/>
  <c r="G3941" i="5"/>
  <c r="E3941" i="5"/>
  <c r="G3940" i="5"/>
  <c r="E3940" i="5"/>
  <c r="G3939" i="5"/>
  <c r="E3939" i="5"/>
  <c r="G3938" i="5"/>
  <c r="E3938" i="5"/>
  <c r="G3937" i="5"/>
  <c r="E3937" i="5"/>
  <c r="G3936" i="5"/>
  <c r="E3936" i="5"/>
  <c r="G3935" i="5"/>
  <c r="E3935" i="5"/>
  <c r="G3934" i="5"/>
  <c r="E3934" i="5"/>
  <c r="G3933" i="5"/>
  <c r="E3933" i="5"/>
  <c r="G3932" i="5"/>
  <c r="E3932" i="5"/>
  <c r="G3931" i="5"/>
  <c r="E3931" i="5"/>
  <c r="G3930" i="5"/>
  <c r="E3930" i="5"/>
  <c r="G3929" i="5"/>
  <c r="E3929" i="5"/>
  <c r="G3928" i="5"/>
  <c r="E3928" i="5"/>
  <c r="G3927" i="5"/>
  <c r="E3927" i="5"/>
  <c r="G3926" i="5"/>
  <c r="E3926" i="5"/>
  <c r="G3925" i="5"/>
  <c r="E3925" i="5"/>
  <c r="G3924" i="5"/>
  <c r="E3924" i="5"/>
  <c r="G3923" i="5"/>
  <c r="E3923" i="5"/>
  <c r="G3922" i="5"/>
  <c r="E3922" i="5"/>
  <c r="G3921" i="5"/>
  <c r="E3921" i="5"/>
  <c r="G3920" i="5"/>
  <c r="E3920" i="5"/>
  <c r="G3919" i="5"/>
  <c r="E3919" i="5"/>
  <c r="G3918" i="5"/>
  <c r="E3918" i="5"/>
  <c r="G3917" i="5"/>
  <c r="E3917" i="5"/>
  <c r="G3916" i="5"/>
  <c r="E3916" i="5"/>
  <c r="G3915" i="5"/>
  <c r="E3915" i="5"/>
  <c r="G3914" i="5"/>
  <c r="E3914" i="5"/>
  <c r="G3913" i="5"/>
  <c r="E3913" i="5"/>
  <c r="G3912" i="5"/>
  <c r="E3912" i="5"/>
  <c r="G3911" i="5"/>
  <c r="E3911" i="5"/>
  <c r="G3910" i="5"/>
  <c r="E3910" i="5"/>
  <c r="G3909" i="5"/>
  <c r="E3909" i="5"/>
  <c r="G3908" i="5"/>
  <c r="E3908" i="5"/>
  <c r="G3907" i="5"/>
  <c r="E3907" i="5"/>
  <c r="G3906" i="5"/>
  <c r="E3906" i="5"/>
  <c r="G3905" i="5"/>
  <c r="E3905" i="5"/>
  <c r="G3904" i="5"/>
  <c r="E3904" i="5"/>
  <c r="G3903" i="5"/>
  <c r="E3903" i="5"/>
  <c r="G3902" i="5"/>
  <c r="E3902" i="5"/>
  <c r="G3901" i="5"/>
  <c r="E3901" i="5"/>
  <c r="G3900" i="5"/>
  <c r="E3900" i="5"/>
  <c r="G3899" i="5"/>
  <c r="E3899" i="5"/>
  <c r="G3898" i="5"/>
  <c r="E3898" i="5"/>
  <c r="G3897" i="5"/>
  <c r="E3897" i="5"/>
  <c r="G3896" i="5"/>
  <c r="E3896" i="5"/>
  <c r="G3895" i="5"/>
  <c r="E3895" i="5"/>
  <c r="G3894" i="5"/>
  <c r="E3894" i="5"/>
  <c r="G3893" i="5"/>
  <c r="E3893" i="5"/>
  <c r="G3892" i="5"/>
  <c r="E3892" i="5"/>
  <c r="G3891" i="5"/>
  <c r="E3891" i="5"/>
  <c r="G3890" i="5"/>
  <c r="E3890" i="5"/>
  <c r="G3889" i="5"/>
  <c r="E3889" i="5"/>
  <c r="G3888" i="5"/>
  <c r="E3888" i="5"/>
  <c r="G3887" i="5"/>
  <c r="E3887" i="5"/>
  <c r="G3886" i="5"/>
  <c r="E3886" i="5"/>
  <c r="G3885" i="5"/>
  <c r="E3885" i="5"/>
  <c r="G3884" i="5"/>
  <c r="E3884" i="5"/>
  <c r="G3883" i="5"/>
  <c r="E3883" i="5"/>
  <c r="G3882" i="5"/>
  <c r="E3882" i="5"/>
  <c r="G3881" i="5"/>
  <c r="E3881" i="5"/>
  <c r="G3880" i="5"/>
  <c r="E3880" i="5"/>
  <c r="G3879" i="5"/>
  <c r="E3879" i="5"/>
  <c r="G3878" i="5"/>
  <c r="E3878" i="5"/>
  <c r="G3877" i="5"/>
  <c r="E3877" i="5"/>
  <c r="G3876" i="5"/>
  <c r="E3876" i="5"/>
  <c r="G3875" i="5"/>
  <c r="E3875" i="5"/>
  <c r="G3874" i="5"/>
  <c r="E3874" i="5"/>
  <c r="G3873" i="5"/>
  <c r="E3873" i="5"/>
  <c r="G3872" i="5"/>
  <c r="E3872" i="5"/>
  <c r="G3871" i="5"/>
  <c r="E3871" i="5"/>
  <c r="G3870" i="5"/>
  <c r="E3870" i="5"/>
  <c r="G3869" i="5"/>
  <c r="E3869" i="5"/>
  <c r="G3868" i="5"/>
  <c r="E3868" i="5"/>
  <c r="G3867" i="5"/>
  <c r="E3867" i="5"/>
  <c r="G3866" i="5"/>
  <c r="E3866" i="5"/>
  <c r="G3865" i="5"/>
  <c r="E3865" i="5"/>
  <c r="G3864" i="5"/>
  <c r="E3864" i="5"/>
  <c r="G3863" i="5"/>
  <c r="E3863" i="5"/>
  <c r="G3862" i="5"/>
  <c r="E3862" i="5"/>
  <c r="G3861" i="5"/>
  <c r="E3861" i="5"/>
  <c r="G3860" i="5"/>
  <c r="E3860" i="5"/>
  <c r="G3859" i="5"/>
  <c r="E3859" i="5"/>
  <c r="G3858" i="5"/>
  <c r="E3858" i="5"/>
  <c r="G3857" i="5"/>
  <c r="E3857" i="5"/>
  <c r="G3856" i="5"/>
  <c r="E3856" i="5"/>
  <c r="G3855" i="5"/>
  <c r="E3855" i="5"/>
  <c r="G3854" i="5"/>
  <c r="E3854" i="5"/>
  <c r="G3853" i="5"/>
  <c r="E3853" i="5"/>
  <c r="G3852" i="5"/>
  <c r="E3852" i="5"/>
  <c r="G3851" i="5"/>
  <c r="E3851" i="5"/>
  <c r="G3850" i="5"/>
  <c r="E3850" i="5"/>
  <c r="G3849" i="5"/>
  <c r="E3849" i="5"/>
  <c r="G3848" i="5"/>
  <c r="E3848" i="5"/>
  <c r="G3847" i="5"/>
  <c r="E3847" i="5"/>
  <c r="G3846" i="5"/>
  <c r="E3846" i="5"/>
  <c r="G3845" i="5"/>
  <c r="E3845" i="5"/>
  <c r="G3844" i="5"/>
  <c r="E3844" i="5"/>
  <c r="G3843" i="5"/>
  <c r="E3843" i="5"/>
  <c r="G3842" i="5"/>
  <c r="E3842" i="5"/>
  <c r="G3841" i="5"/>
  <c r="E3841" i="5"/>
  <c r="G3840" i="5"/>
  <c r="E3840" i="5"/>
  <c r="G3839" i="5"/>
  <c r="E3839" i="5"/>
  <c r="G3838" i="5"/>
  <c r="E3838" i="5"/>
  <c r="G3837" i="5"/>
  <c r="E3837" i="5"/>
  <c r="G3836" i="5"/>
  <c r="E3836" i="5"/>
  <c r="G3835" i="5"/>
  <c r="E3835" i="5"/>
  <c r="G3834" i="5"/>
  <c r="E3834" i="5"/>
  <c r="G3833" i="5"/>
  <c r="E3833" i="5"/>
  <c r="G3832" i="5"/>
  <c r="E3832" i="5"/>
  <c r="G3831" i="5"/>
  <c r="E3831" i="5"/>
  <c r="G3830" i="5"/>
  <c r="E3830" i="5"/>
  <c r="G3829" i="5"/>
  <c r="E3829" i="5"/>
  <c r="G3828" i="5"/>
  <c r="E3828" i="5"/>
  <c r="G3827" i="5"/>
  <c r="E3827" i="5"/>
  <c r="G3826" i="5"/>
  <c r="E3826" i="5"/>
  <c r="G3825" i="5"/>
  <c r="E3825" i="5"/>
  <c r="G3824" i="5"/>
  <c r="E3824" i="5"/>
  <c r="G3823" i="5"/>
  <c r="E3823" i="5"/>
  <c r="G3822" i="5"/>
  <c r="E3822" i="5"/>
  <c r="G3821" i="5"/>
  <c r="E3821" i="5"/>
  <c r="G3820" i="5"/>
  <c r="E3820" i="5"/>
  <c r="G3819" i="5"/>
  <c r="E3819" i="5"/>
  <c r="G3818" i="5"/>
  <c r="E3818" i="5"/>
  <c r="G3817" i="5"/>
  <c r="E3817" i="5"/>
  <c r="G3816" i="5"/>
  <c r="E3816" i="5"/>
  <c r="G3815" i="5"/>
  <c r="E3815" i="5"/>
  <c r="G3814" i="5"/>
  <c r="E3814" i="5"/>
  <c r="G3813" i="5"/>
  <c r="E3813" i="5"/>
  <c r="G3812" i="5"/>
  <c r="E3812" i="5"/>
  <c r="G3811" i="5"/>
  <c r="E3811" i="5"/>
  <c r="G3810" i="5"/>
  <c r="E3810" i="5"/>
  <c r="G3809" i="5"/>
  <c r="E3809" i="5"/>
  <c r="G3808" i="5"/>
  <c r="E3808" i="5"/>
  <c r="G3807" i="5"/>
  <c r="E3807" i="5"/>
  <c r="E3806" i="5"/>
  <c r="G3806" i="5" s="1"/>
  <c r="E3805" i="5"/>
  <c r="G3805" i="5" s="1"/>
  <c r="E3804" i="5"/>
  <c r="G3804" i="5" s="1"/>
  <c r="E3803" i="5"/>
  <c r="G3803" i="5" s="1"/>
  <c r="E3802" i="5"/>
  <c r="G3802" i="5" s="1"/>
  <c r="E3801" i="5"/>
  <c r="G3801" i="5" s="1"/>
  <c r="E3800" i="5"/>
  <c r="G3800" i="5" s="1"/>
  <c r="E3799" i="5"/>
  <c r="G3799" i="5" s="1"/>
  <c r="E3798" i="5"/>
  <c r="G3798" i="5" s="1"/>
  <c r="E3797" i="5"/>
  <c r="G3797" i="5" s="1"/>
  <c r="E3796" i="5"/>
  <c r="G3796" i="5" s="1"/>
  <c r="E3795" i="5"/>
  <c r="G3795" i="5" s="1"/>
  <c r="E3794" i="5"/>
  <c r="G3794" i="5" s="1"/>
  <c r="E3793" i="5"/>
  <c r="G3793" i="5" s="1"/>
  <c r="E3792" i="5"/>
  <c r="G3792" i="5" s="1"/>
  <c r="E3791" i="5"/>
  <c r="G3791" i="5" s="1"/>
  <c r="E3790" i="5"/>
  <c r="G3790" i="5" s="1"/>
  <c r="E3789" i="5"/>
  <c r="G3789" i="5" s="1"/>
  <c r="E3788" i="5"/>
  <c r="G3788" i="5" s="1"/>
  <c r="E3787" i="5"/>
  <c r="G3787" i="5" s="1"/>
  <c r="E3786" i="5"/>
  <c r="G3786" i="5" s="1"/>
  <c r="E3785" i="5"/>
  <c r="G3785" i="5" s="1"/>
  <c r="E3784" i="5"/>
  <c r="G3784" i="5" s="1"/>
  <c r="E3783" i="5"/>
  <c r="G3783" i="5" s="1"/>
  <c r="E3782" i="5"/>
  <c r="G3782" i="5" s="1"/>
  <c r="E3781" i="5"/>
  <c r="G3781" i="5" s="1"/>
  <c r="E3780" i="5"/>
  <c r="G3780" i="5" s="1"/>
  <c r="E3779" i="5"/>
  <c r="G3779" i="5" s="1"/>
  <c r="G3778" i="5"/>
  <c r="E3778" i="5"/>
  <c r="G3777" i="5"/>
  <c r="E3777" i="5"/>
  <c r="G3776" i="5"/>
  <c r="E3776" i="5"/>
  <c r="G3775" i="5"/>
  <c r="E3775" i="5"/>
  <c r="G3774" i="5"/>
  <c r="E3774" i="5"/>
  <c r="G3773" i="5"/>
  <c r="E3773" i="5"/>
  <c r="G3772" i="5"/>
  <c r="E3772" i="5"/>
  <c r="G3771" i="5"/>
  <c r="E3771" i="5"/>
  <c r="G3770" i="5"/>
  <c r="E3770" i="5"/>
  <c r="G3769" i="5"/>
  <c r="E3769" i="5"/>
  <c r="G3768" i="5"/>
  <c r="E3768" i="5"/>
  <c r="G3767" i="5"/>
  <c r="E3767" i="5"/>
  <c r="G3766" i="5"/>
  <c r="E3766" i="5"/>
  <c r="G3765" i="5"/>
  <c r="E3765" i="5"/>
  <c r="G3764" i="5"/>
  <c r="E3764" i="5"/>
  <c r="G3763" i="5"/>
  <c r="E3763" i="5"/>
  <c r="G3762" i="5"/>
  <c r="E3762" i="5"/>
  <c r="G3761" i="5"/>
  <c r="E3761" i="5"/>
  <c r="G3760" i="5"/>
  <c r="E3760" i="5"/>
  <c r="G3759" i="5"/>
  <c r="E3759" i="5"/>
  <c r="G3758" i="5"/>
  <c r="E3758" i="5"/>
  <c r="G3757" i="5"/>
  <c r="E3757" i="5"/>
  <c r="G3756" i="5"/>
  <c r="E3756" i="5"/>
  <c r="G3755" i="5"/>
  <c r="E3755" i="5"/>
  <c r="G3754" i="5"/>
  <c r="E3754" i="5"/>
  <c r="G3753" i="5"/>
  <c r="E3753" i="5"/>
  <c r="E3752" i="5"/>
  <c r="G3752" i="5" s="1"/>
  <c r="E3751" i="5"/>
  <c r="G3751" i="5" s="1"/>
  <c r="E3750" i="5"/>
  <c r="G3750" i="5" s="1"/>
  <c r="E3749" i="5"/>
  <c r="G3749" i="5" s="1"/>
  <c r="E3748" i="5"/>
  <c r="G3748" i="5" s="1"/>
  <c r="E3747" i="5"/>
  <c r="G3747" i="5" s="1"/>
  <c r="E3746" i="5"/>
  <c r="G3746" i="5" s="1"/>
  <c r="E3745" i="5"/>
  <c r="G3745" i="5" s="1"/>
  <c r="E3744" i="5"/>
  <c r="G3744" i="5" s="1"/>
  <c r="E3743" i="5"/>
  <c r="G3743" i="5" s="1"/>
  <c r="E3742" i="5"/>
  <c r="G3742" i="5" s="1"/>
  <c r="E3741" i="5"/>
  <c r="G3741" i="5" s="1"/>
  <c r="E3740" i="5"/>
  <c r="G3740" i="5" s="1"/>
  <c r="E3739" i="5"/>
  <c r="G3739" i="5" s="1"/>
  <c r="E3738" i="5"/>
  <c r="G3738" i="5" s="1"/>
  <c r="E3737" i="5"/>
  <c r="G3737" i="5" s="1"/>
  <c r="E3736" i="5"/>
  <c r="G3736" i="5" s="1"/>
  <c r="E3735" i="5"/>
  <c r="G3735" i="5" s="1"/>
  <c r="E3734" i="5"/>
  <c r="G3734" i="5" s="1"/>
  <c r="E3733" i="5"/>
  <c r="G3733" i="5" s="1"/>
  <c r="E3732" i="5"/>
  <c r="G3732" i="5" s="1"/>
  <c r="E3731" i="5"/>
  <c r="G3731" i="5" s="1"/>
  <c r="E3730" i="5"/>
  <c r="G3730" i="5" s="1"/>
  <c r="E3729" i="5"/>
  <c r="G3729" i="5" s="1"/>
  <c r="E3728" i="5"/>
  <c r="G3728" i="5" s="1"/>
  <c r="E3727" i="5"/>
  <c r="G3727" i="5" s="1"/>
  <c r="E3726" i="5"/>
  <c r="G3726" i="5" s="1"/>
  <c r="E3725" i="5"/>
  <c r="G3725" i="5" s="1"/>
  <c r="E3724" i="5"/>
  <c r="G3724" i="5" s="1"/>
  <c r="E3723" i="5"/>
  <c r="G3723" i="5" s="1"/>
  <c r="E3722" i="5"/>
  <c r="G3722" i="5" s="1"/>
  <c r="E3721" i="5"/>
  <c r="G3721" i="5" s="1"/>
  <c r="E3720" i="5"/>
  <c r="G3720" i="5" s="1"/>
  <c r="E3719" i="5"/>
  <c r="G3719" i="5" s="1"/>
  <c r="E3718" i="5"/>
  <c r="G3718" i="5" s="1"/>
  <c r="E3717" i="5"/>
  <c r="G3717" i="5" s="1"/>
  <c r="E3716" i="5"/>
  <c r="G3716" i="5" s="1"/>
  <c r="E3715" i="5"/>
  <c r="G3715" i="5" s="1"/>
  <c r="E3714" i="5"/>
  <c r="G3714" i="5" s="1"/>
  <c r="E3713" i="5"/>
  <c r="G3713" i="5" s="1"/>
  <c r="E3712" i="5"/>
  <c r="G3712" i="5" s="1"/>
  <c r="E3711" i="5"/>
  <c r="G3711" i="5" s="1"/>
  <c r="E3710" i="5"/>
  <c r="G3710" i="5" s="1"/>
  <c r="E3709" i="5"/>
  <c r="G3709" i="5" s="1"/>
  <c r="E3708" i="5"/>
  <c r="G3708" i="5" s="1"/>
  <c r="E3707" i="5"/>
  <c r="G3707" i="5" s="1"/>
  <c r="E3706" i="5"/>
  <c r="G3706" i="5" s="1"/>
  <c r="E3705" i="5"/>
  <c r="G3705" i="5" s="1"/>
  <c r="E3704" i="5"/>
  <c r="G3704" i="5" s="1"/>
  <c r="E3703" i="5"/>
  <c r="G3703" i="5" s="1"/>
  <c r="E3702" i="5"/>
  <c r="G3702" i="5" s="1"/>
  <c r="E3701" i="5"/>
  <c r="G3701" i="5" s="1"/>
  <c r="E3700" i="5"/>
  <c r="G3700" i="5" s="1"/>
  <c r="E3699" i="5"/>
  <c r="G3699" i="5" s="1"/>
  <c r="E3698" i="5"/>
  <c r="G3698" i="5" s="1"/>
  <c r="E3697" i="5"/>
  <c r="G3697" i="5" s="1"/>
  <c r="E3696" i="5"/>
  <c r="G3696" i="5" s="1"/>
  <c r="E3695" i="5"/>
  <c r="G3695" i="5" s="1"/>
  <c r="E3694" i="5"/>
  <c r="G3694" i="5" s="1"/>
  <c r="E3693" i="5"/>
  <c r="G3693" i="5" s="1"/>
  <c r="E3692" i="5"/>
  <c r="G3692" i="5" s="1"/>
  <c r="E3691" i="5"/>
  <c r="G3691" i="5" s="1"/>
  <c r="E3690" i="5"/>
  <c r="G3690" i="5" s="1"/>
  <c r="E3689" i="5"/>
  <c r="G3689" i="5" s="1"/>
  <c r="E3688" i="5"/>
  <c r="G3688" i="5" s="1"/>
  <c r="E3687" i="5"/>
  <c r="G3687" i="5" s="1"/>
  <c r="E3686" i="5"/>
  <c r="G3686" i="5" s="1"/>
  <c r="E3685" i="5"/>
  <c r="G3685" i="5" s="1"/>
  <c r="E3684" i="5"/>
  <c r="G3684" i="5" s="1"/>
  <c r="E3683" i="5"/>
  <c r="G3683" i="5" s="1"/>
  <c r="E3682" i="5"/>
  <c r="G3682" i="5" s="1"/>
  <c r="E3681" i="5"/>
  <c r="G3681" i="5" s="1"/>
  <c r="E3680" i="5"/>
  <c r="G3680" i="5" s="1"/>
  <c r="E3679" i="5"/>
  <c r="G3679" i="5" s="1"/>
  <c r="E3678" i="5"/>
  <c r="G3678" i="5" s="1"/>
  <c r="E3677" i="5"/>
  <c r="G3677" i="5" s="1"/>
  <c r="E3676" i="5"/>
  <c r="G3676" i="5" s="1"/>
  <c r="E3675" i="5"/>
  <c r="G3675" i="5" s="1"/>
  <c r="E3674" i="5"/>
  <c r="G3674" i="5" s="1"/>
  <c r="E3673" i="5"/>
  <c r="G3673" i="5" s="1"/>
  <c r="E3672" i="5"/>
  <c r="G3672" i="5" s="1"/>
  <c r="E3671" i="5"/>
  <c r="G3671" i="5" s="1"/>
  <c r="E3670" i="5"/>
  <c r="G3670" i="5" s="1"/>
  <c r="E3669" i="5"/>
  <c r="G3669" i="5" s="1"/>
  <c r="E3668" i="5"/>
  <c r="G3668" i="5" s="1"/>
  <c r="E3667" i="5"/>
  <c r="G3667" i="5" s="1"/>
  <c r="E3666" i="5"/>
  <c r="G3666" i="5" s="1"/>
  <c r="E3665" i="5"/>
  <c r="G3665" i="5" s="1"/>
  <c r="E3664" i="5"/>
  <c r="G3664" i="5" s="1"/>
  <c r="E3663" i="5"/>
  <c r="G3663" i="5" s="1"/>
  <c r="E3662" i="5"/>
  <c r="G3662" i="5" s="1"/>
  <c r="E3661" i="5"/>
  <c r="G3661" i="5" s="1"/>
  <c r="E3660" i="5"/>
  <c r="G3660" i="5" s="1"/>
  <c r="E3659" i="5"/>
  <c r="G3659" i="5" s="1"/>
  <c r="E3658" i="5"/>
  <c r="G3658" i="5" s="1"/>
  <c r="E3657" i="5"/>
  <c r="G3657" i="5" s="1"/>
  <c r="E3656" i="5"/>
  <c r="G3656" i="5" s="1"/>
  <c r="E3655" i="5"/>
  <c r="G3655" i="5" s="1"/>
  <c r="E3654" i="5"/>
  <c r="G3654" i="5" s="1"/>
  <c r="E3653" i="5"/>
  <c r="G3653" i="5" s="1"/>
  <c r="E3652" i="5"/>
  <c r="G3652" i="5" s="1"/>
  <c r="E3651" i="5"/>
  <c r="G3651" i="5" s="1"/>
  <c r="E3650" i="5"/>
  <c r="G3650" i="5" s="1"/>
  <c r="E3649" i="5"/>
  <c r="G3649" i="5" s="1"/>
  <c r="E3648" i="5"/>
  <c r="G3648" i="5" s="1"/>
  <c r="E3647" i="5"/>
  <c r="G3647" i="5" s="1"/>
  <c r="E3646" i="5"/>
  <c r="G3646" i="5" s="1"/>
  <c r="E3645" i="5"/>
  <c r="G3645" i="5" s="1"/>
  <c r="E3644" i="5"/>
  <c r="G3644" i="5" s="1"/>
  <c r="E3643" i="5"/>
  <c r="G3643" i="5" s="1"/>
  <c r="E3642" i="5"/>
  <c r="G3642" i="5" s="1"/>
  <c r="E3641" i="5"/>
  <c r="G3641" i="5" s="1"/>
  <c r="E3640" i="5"/>
  <c r="G3640" i="5" s="1"/>
  <c r="E3639" i="5"/>
  <c r="G3639" i="5" s="1"/>
  <c r="E3638" i="5"/>
  <c r="G3638" i="5" s="1"/>
  <c r="E3637" i="5"/>
  <c r="G3637" i="5" s="1"/>
  <c r="E3636" i="5"/>
  <c r="G3636" i="5" s="1"/>
  <c r="E3635" i="5"/>
  <c r="G3635" i="5" s="1"/>
  <c r="E3634" i="5"/>
  <c r="G3634" i="5" s="1"/>
  <c r="E3633" i="5"/>
  <c r="G3633" i="5" s="1"/>
  <c r="E3632" i="5"/>
  <c r="G3632" i="5" s="1"/>
  <c r="E3631" i="5"/>
  <c r="G3631" i="5" s="1"/>
  <c r="E3630" i="5"/>
  <c r="G3630" i="5" s="1"/>
  <c r="E3629" i="5"/>
  <c r="G3629" i="5" s="1"/>
  <c r="E3628" i="5"/>
  <c r="G3628" i="5" s="1"/>
  <c r="E3627" i="5"/>
  <c r="G3627" i="5" s="1"/>
  <c r="E3626" i="5"/>
  <c r="G3626" i="5" s="1"/>
  <c r="E3625" i="5"/>
  <c r="G3625" i="5" s="1"/>
  <c r="E3624" i="5"/>
  <c r="G3624" i="5" s="1"/>
  <c r="E3623" i="5"/>
  <c r="G3623" i="5" s="1"/>
  <c r="E3622" i="5"/>
  <c r="G3622" i="5" s="1"/>
  <c r="E3621" i="5"/>
  <c r="G3621" i="5" s="1"/>
  <c r="E3620" i="5"/>
  <c r="G3620" i="5" s="1"/>
  <c r="E3619" i="5"/>
  <c r="G3619" i="5" s="1"/>
  <c r="E3618" i="5"/>
  <c r="G3618" i="5" s="1"/>
  <c r="E3617" i="5"/>
  <c r="G3617" i="5" s="1"/>
  <c r="E3616" i="5"/>
  <c r="G3616" i="5" s="1"/>
  <c r="E3615" i="5"/>
  <c r="G3615" i="5" s="1"/>
  <c r="E3614" i="5"/>
  <c r="G3614" i="5" s="1"/>
  <c r="E3613" i="5"/>
  <c r="G3613" i="5" s="1"/>
  <c r="E3612" i="5"/>
  <c r="G3612" i="5" s="1"/>
  <c r="E3611" i="5"/>
  <c r="G3611" i="5" s="1"/>
  <c r="E3610" i="5"/>
  <c r="G3610" i="5" s="1"/>
  <c r="E3609" i="5"/>
  <c r="G3609" i="5" s="1"/>
  <c r="E3608" i="5"/>
  <c r="G3608" i="5" s="1"/>
  <c r="E3607" i="5"/>
  <c r="G3607" i="5" s="1"/>
  <c r="E3606" i="5"/>
  <c r="G3606" i="5" s="1"/>
  <c r="E3605" i="5"/>
  <c r="G3605" i="5" s="1"/>
  <c r="E3604" i="5"/>
  <c r="G3604" i="5" s="1"/>
  <c r="E3603" i="5"/>
  <c r="G3603" i="5" s="1"/>
  <c r="E3602" i="5"/>
  <c r="G3602" i="5" s="1"/>
  <c r="E3601" i="5"/>
  <c r="G3601" i="5" s="1"/>
  <c r="E3600" i="5"/>
  <c r="G3600" i="5" s="1"/>
  <c r="E3599" i="5"/>
  <c r="G3599" i="5" s="1"/>
  <c r="E3598" i="5"/>
  <c r="G3598" i="5" s="1"/>
  <c r="E3597" i="5"/>
  <c r="G3597" i="5" s="1"/>
  <c r="E3596" i="5"/>
  <c r="G3596" i="5" s="1"/>
  <c r="E3595" i="5"/>
  <c r="G3595" i="5" s="1"/>
  <c r="E3594" i="5"/>
  <c r="G3594" i="5" s="1"/>
  <c r="E3593" i="5"/>
  <c r="G3593" i="5" s="1"/>
  <c r="E3592" i="5"/>
  <c r="G3592" i="5" s="1"/>
  <c r="E3591" i="5"/>
  <c r="G3591" i="5" s="1"/>
  <c r="E3590" i="5"/>
  <c r="G3590" i="5" s="1"/>
  <c r="E3589" i="5"/>
  <c r="G3589" i="5" s="1"/>
  <c r="E3588" i="5"/>
  <c r="G3588" i="5" s="1"/>
  <c r="E3587" i="5"/>
  <c r="G3587" i="5" s="1"/>
  <c r="E3586" i="5"/>
  <c r="G3586" i="5" s="1"/>
  <c r="E3585" i="5"/>
  <c r="G3585" i="5" s="1"/>
  <c r="E3584" i="5"/>
  <c r="G3584" i="5" s="1"/>
  <c r="E3583" i="5"/>
  <c r="G3583" i="5" s="1"/>
  <c r="E3582" i="5"/>
  <c r="G3582" i="5" s="1"/>
  <c r="E3581" i="5"/>
  <c r="G3581" i="5" s="1"/>
  <c r="E3580" i="5"/>
  <c r="G3580" i="5" s="1"/>
  <c r="E3579" i="5"/>
  <c r="G3579" i="5" s="1"/>
  <c r="E3578" i="5"/>
  <c r="G3578" i="5" s="1"/>
  <c r="E3577" i="5"/>
  <c r="G3577" i="5" s="1"/>
  <c r="E3576" i="5"/>
  <c r="G3576" i="5" s="1"/>
  <c r="E3575" i="5"/>
  <c r="G3575" i="5" s="1"/>
  <c r="E3574" i="5"/>
  <c r="G3574" i="5" s="1"/>
  <c r="E3573" i="5"/>
  <c r="G3573" i="5" s="1"/>
  <c r="E3572" i="5"/>
  <c r="G3572" i="5" s="1"/>
  <c r="E3571" i="5"/>
  <c r="G3571" i="5" s="1"/>
  <c r="E3570" i="5"/>
  <c r="G3570" i="5" s="1"/>
  <c r="E3569" i="5"/>
  <c r="G3569" i="5" s="1"/>
  <c r="E3568" i="5"/>
  <c r="G3568" i="5" s="1"/>
  <c r="E3567" i="5"/>
  <c r="G3567" i="5" s="1"/>
  <c r="E3566" i="5"/>
  <c r="G3566" i="5" s="1"/>
  <c r="E3565" i="5"/>
  <c r="G3565" i="5" s="1"/>
  <c r="E3564" i="5"/>
  <c r="G3564" i="5" s="1"/>
  <c r="E3563" i="5"/>
  <c r="G3563" i="5" s="1"/>
  <c r="E3562" i="5"/>
  <c r="G3562" i="5" s="1"/>
  <c r="E3561" i="5"/>
  <c r="G3561" i="5" s="1"/>
  <c r="E3560" i="5"/>
  <c r="G3560" i="5" s="1"/>
  <c r="E3559" i="5"/>
  <c r="G3559" i="5" s="1"/>
  <c r="E3558" i="5"/>
  <c r="G3558" i="5" s="1"/>
  <c r="E3557" i="5"/>
  <c r="G3557" i="5" s="1"/>
  <c r="E3556" i="5"/>
  <c r="G3556" i="5" s="1"/>
  <c r="E3555" i="5"/>
  <c r="G3555" i="5" s="1"/>
  <c r="E3554" i="5"/>
  <c r="G3554" i="5" s="1"/>
  <c r="E3553" i="5"/>
  <c r="G3553" i="5" s="1"/>
  <c r="E3552" i="5"/>
  <c r="G3552" i="5" s="1"/>
  <c r="E3551" i="5"/>
  <c r="G3551" i="5" s="1"/>
  <c r="E3550" i="5"/>
  <c r="G3550" i="5" s="1"/>
  <c r="E3549" i="5"/>
  <c r="G3549" i="5" s="1"/>
  <c r="E3548" i="5"/>
  <c r="G3548" i="5" s="1"/>
  <c r="E3547" i="5"/>
  <c r="G3547" i="5" s="1"/>
  <c r="E3546" i="5"/>
  <c r="G3546" i="5" s="1"/>
  <c r="E3545" i="5"/>
  <c r="G3545" i="5" s="1"/>
  <c r="E3544" i="5"/>
  <c r="G3544" i="5" s="1"/>
  <c r="E3543" i="5"/>
  <c r="G3543" i="5" s="1"/>
  <c r="E3542" i="5"/>
  <c r="G3542" i="5" s="1"/>
  <c r="E3541" i="5"/>
  <c r="G3541" i="5" s="1"/>
  <c r="E3540" i="5"/>
  <c r="G3540" i="5" s="1"/>
  <c r="E3539" i="5"/>
  <c r="G3539" i="5" s="1"/>
  <c r="E3538" i="5"/>
  <c r="G3538" i="5" s="1"/>
  <c r="E3537" i="5"/>
  <c r="G3537" i="5" s="1"/>
  <c r="E3536" i="5"/>
  <c r="G3536" i="5" s="1"/>
  <c r="E3535" i="5"/>
  <c r="G3535" i="5" s="1"/>
  <c r="E3534" i="5"/>
  <c r="G3534" i="5" s="1"/>
  <c r="E3533" i="5"/>
  <c r="G3533" i="5" s="1"/>
  <c r="E3532" i="5"/>
  <c r="G3532" i="5" s="1"/>
  <c r="E3531" i="5"/>
  <c r="G3531" i="5" s="1"/>
  <c r="E3530" i="5"/>
  <c r="G3530" i="5" s="1"/>
  <c r="E3529" i="5"/>
  <c r="G3529" i="5" s="1"/>
  <c r="E3528" i="5"/>
  <c r="G3528" i="5" s="1"/>
  <c r="E3527" i="5"/>
  <c r="G3527" i="5" s="1"/>
  <c r="E3526" i="5"/>
  <c r="G3526" i="5" s="1"/>
  <c r="E3525" i="5"/>
  <c r="G3525" i="5" s="1"/>
  <c r="E3524" i="5"/>
  <c r="G3524" i="5" s="1"/>
  <c r="E3523" i="5"/>
  <c r="G3523" i="5" s="1"/>
  <c r="E3522" i="5"/>
  <c r="G3522" i="5" s="1"/>
  <c r="E3521" i="5"/>
  <c r="G3521" i="5" s="1"/>
  <c r="E3520" i="5"/>
  <c r="G3520" i="5" s="1"/>
  <c r="E3519" i="5"/>
  <c r="G3519" i="5" s="1"/>
  <c r="E3518" i="5"/>
  <c r="G3518" i="5" s="1"/>
  <c r="E3517" i="5"/>
  <c r="G3517" i="5" s="1"/>
  <c r="E3516" i="5"/>
  <c r="G3516" i="5" s="1"/>
  <c r="E3515" i="5"/>
  <c r="G3515" i="5" s="1"/>
  <c r="E3514" i="5"/>
  <c r="G3514" i="5" s="1"/>
  <c r="E3513" i="5"/>
  <c r="G3513" i="5" s="1"/>
  <c r="E3512" i="5"/>
  <c r="G3512" i="5" s="1"/>
  <c r="E3511" i="5"/>
  <c r="G3511" i="5" s="1"/>
  <c r="E3510" i="5"/>
  <c r="G3510" i="5" s="1"/>
  <c r="E3509" i="5"/>
  <c r="G3509" i="5" s="1"/>
  <c r="E3508" i="5"/>
  <c r="G3508" i="5" s="1"/>
  <c r="E3507" i="5"/>
  <c r="G3507" i="5" s="1"/>
  <c r="E3506" i="5"/>
  <c r="G3506" i="5" s="1"/>
  <c r="E3505" i="5"/>
  <c r="G3505" i="5" s="1"/>
  <c r="E3504" i="5"/>
  <c r="G3504" i="5" s="1"/>
  <c r="E3503" i="5"/>
  <c r="G3503" i="5" s="1"/>
  <c r="E3502" i="5"/>
  <c r="G3502" i="5" s="1"/>
  <c r="E3501" i="5"/>
  <c r="G3501" i="5" s="1"/>
  <c r="E3500" i="5"/>
  <c r="G3500" i="5" s="1"/>
  <c r="E3499" i="5"/>
  <c r="G3499" i="5" s="1"/>
  <c r="E3498" i="5"/>
  <c r="G3498" i="5" s="1"/>
  <c r="E3497" i="5"/>
  <c r="G3497" i="5" s="1"/>
  <c r="E3496" i="5"/>
  <c r="G3496" i="5" s="1"/>
  <c r="E3495" i="5"/>
  <c r="G3495" i="5" s="1"/>
  <c r="E3494" i="5"/>
  <c r="G3494" i="5" s="1"/>
  <c r="E3493" i="5"/>
  <c r="G3493" i="5" s="1"/>
  <c r="E3492" i="5"/>
  <c r="G3492" i="5" s="1"/>
  <c r="E3491" i="5"/>
  <c r="G3491" i="5" s="1"/>
  <c r="E3490" i="5"/>
  <c r="G3490" i="5" s="1"/>
  <c r="E3489" i="5"/>
  <c r="G3489" i="5" s="1"/>
  <c r="E3488" i="5"/>
  <c r="G3488" i="5" s="1"/>
  <c r="E3487" i="5"/>
  <c r="G3487" i="5" s="1"/>
  <c r="E3486" i="5"/>
  <c r="G3486" i="5" s="1"/>
  <c r="E3485" i="5"/>
  <c r="G3485" i="5" s="1"/>
  <c r="E3484" i="5"/>
  <c r="G3484" i="5" s="1"/>
  <c r="E3483" i="5"/>
  <c r="G3483" i="5" s="1"/>
  <c r="E3482" i="5"/>
  <c r="G3482" i="5" s="1"/>
  <c r="E3481" i="5"/>
  <c r="G3481" i="5" s="1"/>
  <c r="E3480" i="5"/>
  <c r="G3480" i="5" s="1"/>
  <c r="E3479" i="5"/>
  <c r="G3479" i="5" s="1"/>
  <c r="E3478" i="5"/>
  <c r="G3478" i="5" s="1"/>
  <c r="E3477" i="5"/>
  <c r="G3477" i="5" s="1"/>
  <c r="E3476" i="5"/>
  <c r="G3476" i="5" s="1"/>
  <c r="E3475" i="5"/>
  <c r="G3475" i="5" s="1"/>
  <c r="E3474" i="5"/>
  <c r="G3474" i="5" s="1"/>
  <c r="E3473" i="5"/>
  <c r="G3473" i="5" s="1"/>
  <c r="E3472" i="5"/>
  <c r="G3472" i="5" s="1"/>
  <c r="E3471" i="5"/>
  <c r="G3471" i="5" s="1"/>
  <c r="E3470" i="5"/>
  <c r="G3470" i="5" s="1"/>
  <c r="E3469" i="5"/>
  <c r="G3469" i="5" s="1"/>
  <c r="E3468" i="5"/>
  <c r="G3468" i="5" s="1"/>
  <c r="E3467" i="5"/>
  <c r="G3467" i="5" s="1"/>
  <c r="E3466" i="5"/>
  <c r="G3466" i="5" s="1"/>
  <c r="E3465" i="5"/>
  <c r="G3465" i="5" s="1"/>
  <c r="E3464" i="5"/>
  <c r="G3464" i="5" s="1"/>
  <c r="E3463" i="5"/>
  <c r="G3463" i="5" s="1"/>
  <c r="E3462" i="5"/>
  <c r="G3462" i="5" s="1"/>
  <c r="E3461" i="5"/>
  <c r="G3461" i="5" s="1"/>
  <c r="E3460" i="5"/>
  <c r="G3460" i="5" s="1"/>
  <c r="E3459" i="5"/>
  <c r="G3459" i="5" s="1"/>
  <c r="E3458" i="5"/>
  <c r="G3458" i="5" s="1"/>
  <c r="E3457" i="5"/>
  <c r="G3457" i="5" s="1"/>
  <c r="E3456" i="5"/>
  <c r="G3456" i="5" s="1"/>
  <c r="E3455" i="5"/>
  <c r="G3455" i="5" s="1"/>
  <c r="E3454" i="5"/>
  <c r="G3454" i="5" s="1"/>
  <c r="E3453" i="5"/>
  <c r="G3453" i="5" s="1"/>
  <c r="E3452" i="5"/>
  <c r="G3452" i="5" s="1"/>
  <c r="E3451" i="5"/>
  <c r="G3451" i="5" s="1"/>
  <c r="E3450" i="5"/>
  <c r="G3450" i="5" s="1"/>
  <c r="E3449" i="5"/>
  <c r="G3449" i="5" s="1"/>
  <c r="E3448" i="5"/>
  <c r="G3448" i="5" s="1"/>
  <c r="E3447" i="5"/>
  <c r="G3447" i="5" s="1"/>
  <c r="E3446" i="5"/>
  <c r="G3446" i="5" s="1"/>
  <c r="E3445" i="5"/>
  <c r="G3445" i="5" s="1"/>
  <c r="E3444" i="5"/>
  <c r="G3444" i="5" s="1"/>
  <c r="E3443" i="5"/>
  <c r="G3443" i="5" s="1"/>
  <c r="E3442" i="5"/>
  <c r="G3442" i="5" s="1"/>
  <c r="E3441" i="5"/>
  <c r="G3441" i="5" s="1"/>
  <c r="E3440" i="5"/>
  <c r="G3440" i="5" s="1"/>
  <c r="E3439" i="5"/>
  <c r="G3439" i="5" s="1"/>
  <c r="E3438" i="5"/>
  <c r="G3438" i="5" s="1"/>
  <c r="E3437" i="5"/>
  <c r="G3437" i="5" s="1"/>
  <c r="E3436" i="5"/>
  <c r="G3436" i="5" s="1"/>
  <c r="E3435" i="5"/>
  <c r="G3435" i="5" s="1"/>
  <c r="E3434" i="5"/>
  <c r="G3434" i="5" s="1"/>
  <c r="E3433" i="5"/>
  <c r="G3433" i="5" s="1"/>
  <c r="E3432" i="5"/>
  <c r="G3432" i="5" s="1"/>
  <c r="E3431" i="5"/>
  <c r="G3431" i="5" s="1"/>
  <c r="E3430" i="5"/>
  <c r="G3430" i="5" s="1"/>
  <c r="E3429" i="5"/>
  <c r="G3429" i="5" s="1"/>
  <c r="E3428" i="5"/>
  <c r="G3428" i="5" s="1"/>
  <c r="E3427" i="5"/>
  <c r="G3427" i="5" s="1"/>
  <c r="E3426" i="5"/>
  <c r="G3426" i="5" s="1"/>
  <c r="E3425" i="5"/>
  <c r="G3425" i="5" s="1"/>
  <c r="E3424" i="5"/>
  <c r="G3424" i="5" s="1"/>
  <c r="E3423" i="5"/>
  <c r="G3423" i="5" s="1"/>
  <c r="E3422" i="5"/>
  <c r="G3422" i="5" s="1"/>
  <c r="E3421" i="5"/>
  <c r="G3421" i="5" s="1"/>
  <c r="E3420" i="5"/>
  <c r="G3420" i="5" s="1"/>
  <c r="E3419" i="5"/>
  <c r="G3419" i="5" s="1"/>
  <c r="E3418" i="5"/>
  <c r="G3418" i="5" s="1"/>
  <c r="E3417" i="5"/>
  <c r="G3417" i="5" s="1"/>
  <c r="E3416" i="5"/>
  <c r="G3416" i="5" s="1"/>
  <c r="E3415" i="5"/>
  <c r="G3415" i="5" s="1"/>
  <c r="E3414" i="5"/>
  <c r="G3414" i="5" s="1"/>
  <c r="E3413" i="5"/>
  <c r="G3413" i="5" s="1"/>
  <c r="E3412" i="5"/>
  <c r="G3412" i="5" s="1"/>
  <c r="E3411" i="5"/>
  <c r="G3411" i="5" s="1"/>
  <c r="E3410" i="5"/>
  <c r="G3410" i="5" s="1"/>
  <c r="E3409" i="5"/>
  <c r="G3409" i="5" s="1"/>
  <c r="E3408" i="5"/>
  <c r="G3408" i="5" s="1"/>
  <c r="E3407" i="5"/>
  <c r="G3407" i="5" s="1"/>
  <c r="E3406" i="5"/>
  <c r="G3406" i="5" s="1"/>
  <c r="E3405" i="5"/>
  <c r="G3405" i="5" s="1"/>
  <c r="E3404" i="5"/>
  <c r="G3404" i="5" s="1"/>
  <c r="E3403" i="5"/>
  <c r="G3403" i="5" s="1"/>
  <c r="E3402" i="5"/>
  <c r="G3402" i="5" s="1"/>
  <c r="E3401" i="5"/>
  <c r="G3401" i="5" s="1"/>
  <c r="E3400" i="5"/>
  <c r="G3400" i="5" s="1"/>
  <c r="E3399" i="5"/>
  <c r="G3399" i="5" s="1"/>
  <c r="E3398" i="5"/>
  <c r="G3398" i="5" s="1"/>
  <c r="E3397" i="5"/>
  <c r="G3397" i="5" s="1"/>
  <c r="E3396" i="5"/>
  <c r="G3396" i="5" s="1"/>
  <c r="E3395" i="5"/>
  <c r="G3395" i="5" s="1"/>
  <c r="E3394" i="5"/>
  <c r="G3394" i="5" s="1"/>
  <c r="E3393" i="5"/>
  <c r="G3393" i="5" s="1"/>
  <c r="E3392" i="5"/>
  <c r="G3392" i="5" s="1"/>
  <c r="E3391" i="5"/>
  <c r="G3391" i="5" s="1"/>
  <c r="E3390" i="5"/>
  <c r="G3390" i="5" s="1"/>
  <c r="E3389" i="5"/>
  <c r="G3389" i="5" s="1"/>
  <c r="E3388" i="5"/>
  <c r="G3388" i="5" s="1"/>
  <c r="E3387" i="5"/>
  <c r="G3387" i="5" s="1"/>
  <c r="E3386" i="5"/>
  <c r="G3386" i="5" s="1"/>
  <c r="E3385" i="5"/>
  <c r="G3385" i="5" s="1"/>
  <c r="E3384" i="5"/>
  <c r="G3384" i="5" s="1"/>
  <c r="E3383" i="5"/>
  <c r="G3383" i="5" s="1"/>
  <c r="E3382" i="5"/>
  <c r="G3382" i="5" s="1"/>
  <c r="E3381" i="5"/>
  <c r="G3381" i="5" s="1"/>
  <c r="E3380" i="5"/>
  <c r="G3380" i="5" s="1"/>
  <c r="E3379" i="5"/>
  <c r="G3379" i="5" s="1"/>
  <c r="E3378" i="5"/>
  <c r="G3378" i="5" s="1"/>
  <c r="E3377" i="5"/>
  <c r="G3377" i="5" s="1"/>
  <c r="E3376" i="5"/>
  <c r="G3376" i="5" s="1"/>
  <c r="E3375" i="5"/>
  <c r="G3375" i="5" s="1"/>
  <c r="E3374" i="5"/>
  <c r="G3374" i="5" s="1"/>
  <c r="E3373" i="5"/>
  <c r="G3373" i="5" s="1"/>
  <c r="E3372" i="5"/>
  <c r="G3372" i="5" s="1"/>
  <c r="E3371" i="5"/>
  <c r="G3371" i="5" s="1"/>
  <c r="E3370" i="5"/>
  <c r="G3370" i="5" s="1"/>
  <c r="E3369" i="5"/>
  <c r="G3369" i="5" s="1"/>
  <c r="E3368" i="5"/>
  <c r="G3368" i="5" s="1"/>
  <c r="E3367" i="5"/>
  <c r="G3367" i="5" s="1"/>
  <c r="E3366" i="5"/>
  <c r="G3366" i="5" s="1"/>
  <c r="E3365" i="5"/>
  <c r="G3365" i="5" s="1"/>
  <c r="E3364" i="5"/>
  <c r="G3364" i="5" s="1"/>
  <c r="E3363" i="5"/>
  <c r="G3363" i="5" s="1"/>
  <c r="E3362" i="5"/>
  <c r="G3362" i="5" s="1"/>
  <c r="E3361" i="5"/>
  <c r="G3361" i="5" s="1"/>
  <c r="E3360" i="5"/>
  <c r="G3360" i="5" s="1"/>
  <c r="E3359" i="5"/>
  <c r="G3359" i="5" s="1"/>
  <c r="E3358" i="5"/>
  <c r="G3358" i="5" s="1"/>
  <c r="E3357" i="5"/>
  <c r="G3357" i="5" s="1"/>
  <c r="E3356" i="5"/>
  <c r="G3356" i="5" s="1"/>
  <c r="E3355" i="5"/>
  <c r="G3355" i="5" s="1"/>
  <c r="E3354" i="5"/>
  <c r="G3354" i="5" s="1"/>
  <c r="E3353" i="5"/>
  <c r="G3353" i="5" s="1"/>
  <c r="E3352" i="5"/>
  <c r="G3352" i="5" s="1"/>
  <c r="E3351" i="5"/>
  <c r="G3351" i="5" s="1"/>
  <c r="E3350" i="5"/>
  <c r="G3350" i="5" s="1"/>
  <c r="E3349" i="5"/>
  <c r="G3349" i="5" s="1"/>
  <c r="E3348" i="5"/>
  <c r="G3348" i="5" s="1"/>
  <c r="E3347" i="5"/>
  <c r="G3347" i="5" s="1"/>
  <c r="E3346" i="5"/>
  <c r="G3346" i="5" s="1"/>
  <c r="E3345" i="5"/>
  <c r="G3345" i="5" s="1"/>
  <c r="E3344" i="5"/>
  <c r="G3344" i="5" s="1"/>
  <c r="E3343" i="5"/>
  <c r="G3343" i="5" s="1"/>
  <c r="E3342" i="5"/>
  <c r="G3342" i="5" s="1"/>
  <c r="E3341" i="5"/>
  <c r="G3341" i="5" s="1"/>
  <c r="E3340" i="5"/>
  <c r="G3340" i="5" s="1"/>
  <c r="E3339" i="5"/>
  <c r="G3339" i="5" s="1"/>
  <c r="E3338" i="5"/>
  <c r="G3338" i="5" s="1"/>
  <c r="E3337" i="5"/>
  <c r="G3337" i="5" s="1"/>
  <c r="E3336" i="5"/>
  <c r="G3336" i="5" s="1"/>
  <c r="E3335" i="5"/>
  <c r="G3335" i="5" s="1"/>
  <c r="E3334" i="5"/>
  <c r="G3334" i="5" s="1"/>
  <c r="E3333" i="5"/>
  <c r="G3333" i="5" s="1"/>
  <c r="E3332" i="5"/>
  <c r="G3332" i="5" s="1"/>
  <c r="E3331" i="5"/>
  <c r="G3331" i="5" s="1"/>
  <c r="E3330" i="5"/>
  <c r="G3330" i="5" s="1"/>
  <c r="E3329" i="5"/>
  <c r="G3329" i="5" s="1"/>
  <c r="E3328" i="5"/>
  <c r="G3328" i="5" s="1"/>
  <c r="E3327" i="5"/>
  <c r="G3327" i="5" s="1"/>
  <c r="E3326" i="5"/>
  <c r="G3326" i="5" s="1"/>
  <c r="E3325" i="5"/>
  <c r="G3325" i="5" s="1"/>
  <c r="E3324" i="5"/>
  <c r="G3324" i="5" s="1"/>
  <c r="E3323" i="5"/>
  <c r="G3323" i="5" s="1"/>
  <c r="E3322" i="5"/>
  <c r="G3322" i="5" s="1"/>
  <c r="E3321" i="5"/>
  <c r="G3321" i="5" s="1"/>
  <c r="E3320" i="5"/>
  <c r="G3320" i="5" s="1"/>
  <c r="E3319" i="5"/>
  <c r="G3319" i="5" s="1"/>
  <c r="E3318" i="5"/>
  <c r="G3318" i="5" s="1"/>
  <c r="E3317" i="5"/>
  <c r="G3317" i="5" s="1"/>
  <c r="E3316" i="5"/>
  <c r="G3316" i="5" s="1"/>
  <c r="E3315" i="5"/>
  <c r="G3315" i="5" s="1"/>
  <c r="E3314" i="5"/>
  <c r="G3314" i="5" s="1"/>
  <c r="E3313" i="5"/>
  <c r="G3313" i="5" s="1"/>
  <c r="E3312" i="5"/>
  <c r="G3312" i="5" s="1"/>
  <c r="E3311" i="5"/>
  <c r="G3311" i="5" s="1"/>
  <c r="E3310" i="5"/>
  <c r="G3310" i="5" s="1"/>
  <c r="E3309" i="5"/>
  <c r="G3309" i="5" s="1"/>
  <c r="E3308" i="5"/>
  <c r="G3308" i="5" s="1"/>
  <c r="E3307" i="5"/>
  <c r="G3307" i="5" s="1"/>
  <c r="E3306" i="5"/>
  <c r="G3306" i="5" s="1"/>
  <c r="E3305" i="5"/>
  <c r="G3305" i="5" s="1"/>
  <c r="E3304" i="5"/>
  <c r="G3304" i="5" s="1"/>
  <c r="E3303" i="5"/>
  <c r="G3303" i="5" s="1"/>
  <c r="E3302" i="5"/>
  <c r="G3302" i="5" s="1"/>
  <c r="E3301" i="5"/>
  <c r="G3301" i="5" s="1"/>
  <c r="E3300" i="5"/>
  <c r="G3300" i="5" s="1"/>
  <c r="E3299" i="5"/>
  <c r="G3299" i="5" s="1"/>
  <c r="E3298" i="5"/>
  <c r="G3298" i="5" s="1"/>
  <c r="E3297" i="5"/>
  <c r="G3297" i="5" s="1"/>
  <c r="E3296" i="5"/>
  <c r="G3296" i="5" s="1"/>
  <c r="E3295" i="5"/>
  <c r="G3295" i="5" s="1"/>
  <c r="E3294" i="5"/>
  <c r="G3294" i="5" s="1"/>
  <c r="E3293" i="5"/>
  <c r="G3293" i="5" s="1"/>
  <c r="E3292" i="5"/>
  <c r="G3292" i="5" s="1"/>
  <c r="E3291" i="5"/>
  <c r="G3291" i="5" s="1"/>
  <c r="E3290" i="5"/>
  <c r="G3290" i="5" s="1"/>
  <c r="E3289" i="5"/>
  <c r="G3289" i="5" s="1"/>
  <c r="E3288" i="5"/>
  <c r="G3288" i="5" s="1"/>
  <c r="E3287" i="5"/>
  <c r="G3287" i="5" s="1"/>
  <c r="E3286" i="5"/>
  <c r="G3286" i="5" s="1"/>
  <c r="E3285" i="5"/>
  <c r="G3285" i="5" s="1"/>
  <c r="E3284" i="5"/>
  <c r="G3284" i="5" s="1"/>
  <c r="E3283" i="5"/>
  <c r="G3283" i="5" s="1"/>
  <c r="E3282" i="5"/>
  <c r="G3282" i="5" s="1"/>
  <c r="E3281" i="5"/>
  <c r="G3281" i="5" s="1"/>
  <c r="E3280" i="5"/>
  <c r="G3280" i="5" s="1"/>
  <c r="E3279" i="5"/>
  <c r="G3279" i="5" s="1"/>
  <c r="E3278" i="5"/>
  <c r="G3278" i="5" s="1"/>
  <c r="E3277" i="5"/>
  <c r="G3277" i="5" s="1"/>
  <c r="E3276" i="5"/>
  <c r="G3276" i="5" s="1"/>
  <c r="E3275" i="5"/>
  <c r="G3275" i="5" s="1"/>
  <c r="E3274" i="5"/>
  <c r="G3274" i="5" s="1"/>
  <c r="E3273" i="5"/>
  <c r="G3273" i="5" s="1"/>
  <c r="E3272" i="5"/>
  <c r="G3272" i="5" s="1"/>
  <c r="E3271" i="5"/>
  <c r="G3271" i="5" s="1"/>
  <c r="E3270" i="5"/>
  <c r="G3270" i="5" s="1"/>
  <c r="E3269" i="5"/>
  <c r="G3269" i="5" s="1"/>
  <c r="E3268" i="5"/>
  <c r="G3268" i="5" s="1"/>
  <c r="E3267" i="5"/>
  <c r="G3267" i="5" s="1"/>
  <c r="E3266" i="5"/>
  <c r="G3266" i="5" s="1"/>
  <c r="E3265" i="5"/>
  <c r="G3265" i="5" s="1"/>
  <c r="E3264" i="5"/>
  <c r="G3264" i="5" s="1"/>
  <c r="E3263" i="5"/>
  <c r="G3263" i="5" s="1"/>
  <c r="E3262" i="5"/>
  <c r="G3262" i="5" s="1"/>
  <c r="E3261" i="5"/>
  <c r="G3261" i="5" s="1"/>
  <c r="E3260" i="5"/>
  <c r="G3260" i="5" s="1"/>
  <c r="E3259" i="5"/>
  <c r="G3259" i="5" s="1"/>
  <c r="E3258" i="5"/>
  <c r="G3258" i="5" s="1"/>
  <c r="E3257" i="5"/>
  <c r="G3257" i="5" s="1"/>
  <c r="E3256" i="5"/>
  <c r="G3256" i="5" s="1"/>
  <c r="E3255" i="5"/>
  <c r="G3255" i="5" s="1"/>
  <c r="E3254" i="5"/>
  <c r="G3254" i="5" s="1"/>
  <c r="E3253" i="5"/>
  <c r="G3253" i="5" s="1"/>
  <c r="E3252" i="5"/>
  <c r="G3252" i="5" s="1"/>
  <c r="E3251" i="5"/>
  <c r="G3251" i="5" s="1"/>
  <c r="E3250" i="5"/>
  <c r="G3250" i="5" s="1"/>
  <c r="E3249" i="5"/>
  <c r="G3249" i="5" s="1"/>
  <c r="E3248" i="5"/>
  <c r="G3248" i="5" s="1"/>
  <c r="E3247" i="5"/>
  <c r="G3247" i="5" s="1"/>
  <c r="E3246" i="5"/>
  <c r="G3246" i="5" s="1"/>
  <c r="E3245" i="5"/>
  <c r="G3245" i="5" s="1"/>
  <c r="E3244" i="5"/>
  <c r="G3244" i="5" s="1"/>
  <c r="E3243" i="5"/>
  <c r="G3243" i="5" s="1"/>
  <c r="E3242" i="5"/>
  <c r="G3242" i="5" s="1"/>
  <c r="E3241" i="5"/>
  <c r="G3241" i="5" s="1"/>
  <c r="E3240" i="5"/>
  <c r="G3240" i="5" s="1"/>
  <c r="E3239" i="5"/>
  <c r="G3239" i="5" s="1"/>
  <c r="E3238" i="5"/>
  <c r="G3238" i="5" s="1"/>
  <c r="E3237" i="5"/>
  <c r="G3237" i="5" s="1"/>
  <c r="E3236" i="5"/>
  <c r="G3236" i="5" s="1"/>
  <c r="E3235" i="5"/>
  <c r="G3235" i="5" s="1"/>
  <c r="E3234" i="5"/>
  <c r="G3234" i="5" s="1"/>
  <c r="E3233" i="5"/>
  <c r="G3233" i="5" s="1"/>
  <c r="E3232" i="5"/>
  <c r="G3232" i="5" s="1"/>
  <c r="E3231" i="5"/>
  <c r="G3231" i="5" s="1"/>
  <c r="E3230" i="5"/>
  <c r="G3230" i="5" s="1"/>
  <c r="E3229" i="5"/>
  <c r="G3229" i="5" s="1"/>
  <c r="E3228" i="5"/>
  <c r="G3228" i="5" s="1"/>
  <c r="E3227" i="5"/>
  <c r="G3227" i="5" s="1"/>
  <c r="E3226" i="5"/>
  <c r="G3226" i="5" s="1"/>
  <c r="E3225" i="5"/>
  <c r="G3225" i="5" s="1"/>
  <c r="E3224" i="5"/>
  <c r="G3224" i="5" s="1"/>
  <c r="E3223" i="5"/>
  <c r="G3223" i="5" s="1"/>
  <c r="E3222" i="5"/>
  <c r="G3222" i="5" s="1"/>
  <c r="E3221" i="5"/>
  <c r="G3221" i="5" s="1"/>
  <c r="E3220" i="5"/>
  <c r="G3220" i="5" s="1"/>
  <c r="E3219" i="5"/>
  <c r="G3219" i="5" s="1"/>
  <c r="E3218" i="5"/>
  <c r="G3218" i="5" s="1"/>
  <c r="E3217" i="5"/>
  <c r="G3217" i="5" s="1"/>
  <c r="E3216" i="5"/>
  <c r="G3216" i="5" s="1"/>
  <c r="E3215" i="5"/>
  <c r="G3215" i="5" s="1"/>
  <c r="E3214" i="5"/>
  <c r="G3214" i="5" s="1"/>
  <c r="E3213" i="5"/>
  <c r="G3213" i="5" s="1"/>
  <c r="E3212" i="5"/>
  <c r="G3212" i="5" s="1"/>
  <c r="E3211" i="5"/>
  <c r="G3211" i="5" s="1"/>
  <c r="E3210" i="5"/>
  <c r="G3210" i="5" s="1"/>
  <c r="E3209" i="5"/>
  <c r="G3209" i="5" s="1"/>
  <c r="E3208" i="5"/>
  <c r="G3208" i="5" s="1"/>
  <c r="E3207" i="5"/>
  <c r="G3207" i="5" s="1"/>
  <c r="E3206" i="5"/>
  <c r="G3206" i="5" s="1"/>
  <c r="E3205" i="5"/>
  <c r="G3205" i="5" s="1"/>
  <c r="E3204" i="5"/>
  <c r="G3204" i="5" s="1"/>
  <c r="E3203" i="5"/>
  <c r="G3203" i="5" s="1"/>
  <c r="E3202" i="5"/>
  <c r="G3202" i="5" s="1"/>
  <c r="E3201" i="5"/>
  <c r="G3201" i="5" s="1"/>
  <c r="E3200" i="5"/>
  <c r="G3200" i="5" s="1"/>
  <c r="E3199" i="5"/>
  <c r="G3199" i="5" s="1"/>
  <c r="E3198" i="5"/>
  <c r="G3198" i="5" s="1"/>
  <c r="E3197" i="5"/>
  <c r="G3197" i="5" s="1"/>
  <c r="E3196" i="5"/>
  <c r="G3196" i="5" s="1"/>
  <c r="E3195" i="5"/>
  <c r="G3195" i="5" s="1"/>
  <c r="E3194" i="5"/>
  <c r="G3194" i="5" s="1"/>
  <c r="E3193" i="5"/>
  <c r="G3193" i="5" s="1"/>
  <c r="E3192" i="5"/>
  <c r="G3192" i="5" s="1"/>
  <c r="E3191" i="5"/>
  <c r="G3191" i="5" s="1"/>
  <c r="E3190" i="5"/>
  <c r="G3190" i="5" s="1"/>
  <c r="E3189" i="5"/>
  <c r="G3189" i="5" s="1"/>
  <c r="E3188" i="5"/>
  <c r="G3188" i="5" s="1"/>
  <c r="E3187" i="5"/>
  <c r="G3187" i="5" s="1"/>
  <c r="E3186" i="5"/>
  <c r="G3186" i="5" s="1"/>
  <c r="E3185" i="5"/>
  <c r="G3185" i="5" s="1"/>
  <c r="E3184" i="5"/>
  <c r="G3184" i="5" s="1"/>
  <c r="E3183" i="5"/>
  <c r="G3183" i="5" s="1"/>
  <c r="E3182" i="5"/>
  <c r="G3182" i="5" s="1"/>
  <c r="E3181" i="5"/>
  <c r="G3181" i="5" s="1"/>
  <c r="E3180" i="5"/>
  <c r="G3180" i="5" s="1"/>
  <c r="E3179" i="5"/>
  <c r="G3179" i="5" s="1"/>
  <c r="E3178" i="5"/>
  <c r="G3178" i="5" s="1"/>
  <c r="E3177" i="5"/>
  <c r="G3177" i="5" s="1"/>
  <c r="E3176" i="5"/>
  <c r="G3176" i="5" s="1"/>
  <c r="E3175" i="5"/>
  <c r="G3175" i="5" s="1"/>
  <c r="E3174" i="5"/>
  <c r="G3174" i="5" s="1"/>
  <c r="E3173" i="5"/>
  <c r="G3173" i="5" s="1"/>
  <c r="E3172" i="5"/>
  <c r="G3172" i="5" s="1"/>
  <c r="E3171" i="5"/>
  <c r="G3171" i="5" s="1"/>
  <c r="E3170" i="5"/>
  <c r="G3170" i="5" s="1"/>
  <c r="E3169" i="5"/>
  <c r="G3169" i="5" s="1"/>
  <c r="E3168" i="5"/>
  <c r="G3168" i="5" s="1"/>
  <c r="E3167" i="5"/>
  <c r="G3167" i="5" s="1"/>
  <c r="E3166" i="5"/>
  <c r="G3166" i="5" s="1"/>
  <c r="E3165" i="5"/>
  <c r="G3165" i="5" s="1"/>
  <c r="E3164" i="5"/>
  <c r="G3164" i="5" s="1"/>
  <c r="E3163" i="5"/>
  <c r="G3163" i="5" s="1"/>
  <c r="E3162" i="5"/>
  <c r="G3162" i="5" s="1"/>
  <c r="E3161" i="5"/>
  <c r="G3161" i="5" s="1"/>
  <c r="E3160" i="5"/>
  <c r="G3160" i="5" s="1"/>
  <c r="E3159" i="5"/>
  <c r="G3159" i="5" s="1"/>
  <c r="E3158" i="5"/>
  <c r="G3158" i="5" s="1"/>
  <c r="E3157" i="5"/>
  <c r="G3157" i="5" s="1"/>
  <c r="E3156" i="5"/>
  <c r="G3156" i="5" s="1"/>
  <c r="E3155" i="5"/>
  <c r="G3155" i="5" s="1"/>
  <c r="E3154" i="5"/>
  <c r="G3154" i="5" s="1"/>
  <c r="E3153" i="5"/>
  <c r="G3153" i="5" s="1"/>
  <c r="E3152" i="5"/>
  <c r="G3152" i="5" s="1"/>
  <c r="E3151" i="5"/>
  <c r="G3151" i="5" s="1"/>
  <c r="E3150" i="5"/>
  <c r="G3150" i="5" s="1"/>
  <c r="E3149" i="5"/>
  <c r="G3149" i="5" s="1"/>
  <c r="E3148" i="5"/>
  <c r="G3148" i="5" s="1"/>
  <c r="E3147" i="5"/>
  <c r="G3147" i="5" s="1"/>
  <c r="E3146" i="5"/>
  <c r="G3146" i="5" s="1"/>
  <c r="E3145" i="5"/>
  <c r="G3145" i="5" s="1"/>
  <c r="E3144" i="5"/>
  <c r="G3144" i="5" s="1"/>
  <c r="E3143" i="5"/>
  <c r="G3143" i="5" s="1"/>
  <c r="E3142" i="5"/>
  <c r="G3142" i="5" s="1"/>
  <c r="E3141" i="5"/>
  <c r="G3141" i="5" s="1"/>
  <c r="E3140" i="5"/>
  <c r="G3140" i="5" s="1"/>
  <c r="E3139" i="5"/>
  <c r="G3139" i="5" s="1"/>
  <c r="E3138" i="5"/>
  <c r="G3138" i="5" s="1"/>
  <c r="E3137" i="5"/>
  <c r="G3137" i="5" s="1"/>
  <c r="E3136" i="5"/>
  <c r="G3136" i="5" s="1"/>
  <c r="E3135" i="5"/>
  <c r="G3135" i="5" s="1"/>
  <c r="E3134" i="5"/>
  <c r="G3134" i="5" s="1"/>
  <c r="E3133" i="5"/>
  <c r="G3133" i="5" s="1"/>
  <c r="E3132" i="5"/>
  <c r="G3132" i="5" s="1"/>
  <c r="E3131" i="5"/>
  <c r="G3131" i="5" s="1"/>
  <c r="E3130" i="5"/>
  <c r="G3130" i="5" s="1"/>
  <c r="E3129" i="5"/>
  <c r="G3129" i="5" s="1"/>
  <c r="E3128" i="5"/>
  <c r="G3128" i="5" s="1"/>
  <c r="E3127" i="5"/>
  <c r="G3127" i="5" s="1"/>
  <c r="E3126" i="5"/>
  <c r="G3126" i="5" s="1"/>
  <c r="E3125" i="5"/>
  <c r="G3125" i="5" s="1"/>
  <c r="E3124" i="5"/>
  <c r="G3124" i="5" s="1"/>
  <c r="E3123" i="5"/>
  <c r="G3123" i="5" s="1"/>
  <c r="E3122" i="5"/>
  <c r="G3122" i="5" s="1"/>
  <c r="E3121" i="5"/>
  <c r="G3121" i="5" s="1"/>
  <c r="E3120" i="5"/>
  <c r="G3120" i="5" s="1"/>
  <c r="E3119" i="5"/>
  <c r="G3119" i="5" s="1"/>
  <c r="E3118" i="5"/>
  <c r="G3118" i="5" s="1"/>
  <c r="E3117" i="5"/>
  <c r="G3117" i="5" s="1"/>
  <c r="E3116" i="5"/>
  <c r="G3116" i="5" s="1"/>
  <c r="E3115" i="5"/>
  <c r="G3115" i="5" s="1"/>
  <c r="E3114" i="5"/>
  <c r="G3114" i="5" s="1"/>
  <c r="E3113" i="5"/>
  <c r="G3113" i="5" s="1"/>
  <c r="E3112" i="5"/>
  <c r="G3112" i="5" s="1"/>
  <c r="E3111" i="5"/>
  <c r="G3111" i="5" s="1"/>
  <c r="E3110" i="5"/>
  <c r="G3110" i="5" s="1"/>
  <c r="E3109" i="5"/>
  <c r="G3109" i="5" s="1"/>
  <c r="E3108" i="5"/>
  <c r="G3108" i="5" s="1"/>
  <c r="E3107" i="5"/>
  <c r="G3107" i="5" s="1"/>
  <c r="E3106" i="5"/>
  <c r="G3106" i="5" s="1"/>
  <c r="E3105" i="5"/>
  <c r="G3105" i="5" s="1"/>
  <c r="E3104" i="5"/>
  <c r="G3104" i="5" s="1"/>
  <c r="E3103" i="5"/>
  <c r="G3103" i="5" s="1"/>
  <c r="E3102" i="5"/>
  <c r="G3102" i="5" s="1"/>
  <c r="E3101" i="5"/>
  <c r="G3101" i="5" s="1"/>
  <c r="E3100" i="5"/>
  <c r="G3100" i="5" s="1"/>
  <c r="E3099" i="5"/>
  <c r="G3099" i="5" s="1"/>
  <c r="E3098" i="5"/>
  <c r="G3098" i="5" s="1"/>
  <c r="E3097" i="5"/>
  <c r="G3097" i="5" s="1"/>
  <c r="E3096" i="5"/>
  <c r="G3096" i="5" s="1"/>
  <c r="E3095" i="5"/>
  <c r="G3095" i="5" s="1"/>
  <c r="E3094" i="5"/>
  <c r="G3094" i="5" s="1"/>
  <c r="E3093" i="5"/>
  <c r="G3093" i="5" s="1"/>
  <c r="E3092" i="5"/>
  <c r="G3092" i="5" s="1"/>
  <c r="E3091" i="5"/>
  <c r="G3091" i="5" s="1"/>
  <c r="E3090" i="5"/>
  <c r="G3090" i="5" s="1"/>
  <c r="E3089" i="5"/>
  <c r="G3089" i="5" s="1"/>
  <c r="E3088" i="5"/>
  <c r="G3088" i="5" s="1"/>
  <c r="E3087" i="5"/>
  <c r="G3087" i="5" s="1"/>
  <c r="E3086" i="5"/>
  <c r="G3086" i="5" s="1"/>
  <c r="E3085" i="5"/>
  <c r="G3085" i="5" s="1"/>
  <c r="E3084" i="5"/>
  <c r="G3084" i="5" s="1"/>
  <c r="E3083" i="5"/>
  <c r="G3083" i="5" s="1"/>
  <c r="E3082" i="5"/>
  <c r="G3082" i="5" s="1"/>
  <c r="E3081" i="5"/>
  <c r="G3081" i="5" s="1"/>
  <c r="E3080" i="5"/>
  <c r="G3080" i="5" s="1"/>
  <c r="E3079" i="5"/>
  <c r="G3079" i="5" s="1"/>
  <c r="E3078" i="5"/>
  <c r="G3078" i="5" s="1"/>
  <c r="E3077" i="5"/>
  <c r="G3077" i="5" s="1"/>
  <c r="E3076" i="5"/>
  <c r="G3076" i="5" s="1"/>
  <c r="E3075" i="5"/>
  <c r="G3075" i="5" s="1"/>
  <c r="E3074" i="5"/>
  <c r="G3074" i="5" s="1"/>
  <c r="E3073" i="5"/>
  <c r="G3073" i="5" s="1"/>
  <c r="E3072" i="5"/>
  <c r="G3072" i="5" s="1"/>
  <c r="E3071" i="5"/>
  <c r="G3071" i="5" s="1"/>
  <c r="E3070" i="5"/>
  <c r="G3070" i="5" s="1"/>
  <c r="E3069" i="5"/>
  <c r="G3069" i="5" s="1"/>
  <c r="E3068" i="5"/>
  <c r="G3068" i="5" s="1"/>
  <c r="E3067" i="5"/>
  <c r="G3067" i="5" s="1"/>
  <c r="E3066" i="5"/>
  <c r="G3066" i="5" s="1"/>
  <c r="E3065" i="5"/>
  <c r="G3065" i="5" s="1"/>
  <c r="E3064" i="5"/>
  <c r="G3064" i="5" s="1"/>
  <c r="E3063" i="5"/>
  <c r="G3063" i="5" s="1"/>
  <c r="E3062" i="5"/>
  <c r="G3062" i="5" s="1"/>
  <c r="E3061" i="5"/>
  <c r="G3061" i="5" s="1"/>
  <c r="E3060" i="5"/>
  <c r="G3060" i="5" s="1"/>
  <c r="E3059" i="5"/>
  <c r="G3059" i="5" s="1"/>
  <c r="E3058" i="5"/>
  <c r="G3058" i="5" s="1"/>
  <c r="E3057" i="5"/>
  <c r="G3057" i="5" s="1"/>
  <c r="E3056" i="5"/>
  <c r="G3056" i="5" s="1"/>
  <c r="E3055" i="5"/>
  <c r="G3055" i="5" s="1"/>
  <c r="E3054" i="5"/>
  <c r="G3054" i="5" s="1"/>
  <c r="E3053" i="5"/>
  <c r="G3053" i="5" s="1"/>
  <c r="E3052" i="5"/>
  <c r="G3052" i="5" s="1"/>
  <c r="E3051" i="5"/>
  <c r="G3051" i="5" s="1"/>
  <c r="E3050" i="5"/>
  <c r="G3050" i="5" s="1"/>
  <c r="E3049" i="5"/>
  <c r="G3049" i="5" s="1"/>
  <c r="E3048" i="5"/>
  <c r="G3048" i="5" s="1"/>
  <c r="E3047" i="5"/>
  <c r="G3047" i="5" s="1"/>
  <c r="E3046" i="5"/>
  <c r="G3046" i="5" s="1"/>
  <c r="E3045" i="5"/>
  <c r="G3045" i="5" s="1"/>
  <c r="E3044" i="5"/>
  <c r="G3044" i="5" s="1"/>
  <c r="E3043" i="5"/>
  <c r="G3043" i="5" s="1"/>
  <c r="E3042" i="5"/>
  <c r="G3042" i="5" s="1"/>
  <c r="E3041" i="5"/>
  <c r="G3041" i="5" s="1"/>
  <c r="E3040" i="5"/>
  <c r="G3040" i="5" s="1"/>
  <c r="E3039" i="5"/>
  <c r="G3039" i="5" s="1"/>
  <c r="E3038" i="5"/>
  <c r="G3038" i="5" s="1"/>
  <c r="E3037" i="5"/>
  <c r="G3037" i="5" s="1"/>
  <c r="E3036" i="5"/>
  <c r="G3036" i="5" s="1"/>
  <c r="E3035" i="5"/>
  <c r="G3035" i="5" s="1"/>
  <c r="E3034" i="5"/>
  <c r="G3034" i="5" s="1"/>
  <c r="E3033" i="5"/>
  <c r="G3033" i="5" s="1"/>
  <c r="E3032" i="5"/>
  <c r="G3032" i="5" s="1"/>
  <c r="E3031" i="5"/>
  <c r="G3031" i="5" s="1"/>
  <c r="E3030" i="5"/>
  <c r="G3030" i="5" s="1"/>
  <c r="E3029" i="5"/>
  <c r="G3029" i="5" s="1"/>
  <c r="E3028" i="5"/>
  <c r="G3028" i="5" s="1"/>
  <c r="E3027" i="5"/>
  <c r="G3027" i="5" s="1"/>
  <c r="E3026" i="5"/>
  <c r="G3026" i="5" s="1"/>
  <c r="E3025" i="5"/>
  <c r="G3025" i="5" s="1"/>
  <c r="E3024" i="5"/>
  <c r="G3024" i="5" s="1"/>
  <c r="E3023" i="5"/>
  <c r="G3023" i="5" s="1"/>
  <c r="E3022" i="5"/>
  <c r="G3022" i="5" s="1"/>
  <c r="E3021" i="5"/>
  <c r="G3021" i="5" s="1"/>
  <c r="E3020" i="5"/>
  <c r="G3020" i="5" s="1"/>
  <c r="E3019" i="5"/>
  <c r="G3019" i="5" s="1"/>
  <c r="E3018" i="5"/>
  <c r="G3018" i="5" s="1"/>
  <c r="E3017" i="5"/>
  <c r="G3017" i="5" s="1"/>
  <c r="E3016" i="5"/>
  <c r="G3016" i="5" s="1"/>
  <c r="E3015" i="5"/>
  <c r="G3015" i="5" s="1"/>
  <c r="E3014" i="5"/>
  <c r="G3014" i="5" s="1"/>
  <c r="E3013" i="5"/>
  <c r="G3013" i="5" s="1"/>
  <c r="E3012" i="5"/>
  <c r="G3012" i="5" s="1"/>
  <c r="E3011" i="5"/>
  <c r="G3011" i="5" s="1"/>
  <c r="E3010" i="5"/>
  <c r="G3010" i="5" s="1"/>
  <c r="E3009" i="5"/>
  <c r="G3009" i="5" s="1"/>
  <c r="E3008" i="5"/>
  <c r="G3008" i="5" s="1"/>
  <c r="E3007" i="5"/>
  <c r="G3007" i="5" s="1"/>
  <c r="E3006" i="5"/>
  <c r="G3006" i="5" s="1"/>
  <c r="E3005" i="5"/>
  <c r="G3005" i="5" s="1"/>
  <c r="E3004" i="5"/>
  <c r="G3004" i="5" s="1"/>
  <c r="E3003" i="5"/>
  <c r="G3003" i="5" s="1"/>
  <c r="E3002" i="5"/>
  <c r="G3002" i="5" s="1"/>
  <c r="E3001" i="5"/>
  <c r="G3001" i="5" s="1"/>
  <c r="E3000" i="5"/>
  <c r="G3000" i="5" s="1"/>
  <c r="E2999" i="5"/>
  <c r="G2999" i="5" s="1"/>
  <c r="E2998" i="5"/>
  <c r="G2998" i="5" s="1"/>
  <c r="E2997" i="5"/>
  <c r="G2997" i="5" s="1"/>
  <c r="E2996" i="5"/>
  <c r="G2996" i="5" s="1"/>
  <c r="E2995" i="5"/>
  <c r="G2995" i="5" s="1"/>
  <c r="E2994" i="5"/>
  <c r="G2994" i="5" s="1"/>
  <c r="E2993" i="5"/>
  <c r="G2993" i="5" s="1"/>
  <c r="E2992" i="5"/>
  <c r="G2992" i="5" s="1"/>
  <c r="E2991" i="5"/>
  <c r="G2991" i="5" s="1"/>
  <c r="E2990" i="5"/>
  <c r="G2990" i="5" s="1"/>
  <c r="E2989" i="5"/>
  <c r="G2989" i="5" s="1"/>
  <c r="E2988" i="5"/>
  <c r="G2988" i="5" s="1"/>
  <c r="E2987" i="5"/>
  <c r="G2987" i="5" s="1"/>
  <c r="E2986" i="5"/>
  <c r="G2986" i="5" s="1"/>
  <c r="E2985" i="5"/>
  <c r="G2985" i="5" s="1"/>
  <c r="E2984" i="5"/>
  <c r="G2984" i="5" s="1"/>
  <c r="E2983" i="5"/>
  <c r="G2983" i="5" s="1"/>
  <c r="E2982" i="5"/>
  <c r="G2982" i="5" s="1"/>
  <c r="E2981" i="5"/>
  <c r="G2981" i="5" s="1"/>
  <c r="E2980" i="5"/>
  <c r="G2980" i="5" s="1"/>
  <c r="E2979" i="5"/>
  <c r="G2979" i="5" s="1"/>
  <c r="E2978" i="5"/>
  <c r="G2978" i="5" s="1"/>
  <c r="E2977" i="5"/>
  <c r="G2977" i="5" s="1"/>
  <c r="E2976" i="5"/>
  <c r="G2976" i="5" s="1"/>
  <c r="E2975" i="5"/>
  <c r="G2975" i="5" s="1"/>
  <c r="E2974" i="5"/>
  <c r="G2974" i="5" s="1"/>
  <c r="E2973" i="5"/>
  <c r="G2973" i="5" s="1"/>
  <c r="E2972" i="5"/>
  <c r="G2972" i="5" s="1"/>
  <c r="E2971" i="5"/>
  <c r="G2971" i="5" s="1"/>
  <c r="E2970" i="5"/>
  <c r="G2970" i="5" s="1"/>
  <c r="E2969" i="5"/>
  <c r="G2969" i="5" s="1"/>
  <c r="E2968" i="5"/>
  <c r="G2968" i="5" s="1"/>
  <c r="E2967" i="5"/>
  <c r="G2967" i="5" s="1"/>
  <c r="E2966" i="5"/>
  <c r="G2966" i="5" s="1"/>
  <c r="E2965" i="5"/>
  <c r="G2965" i="5" s="1"/>
  <c r="E2964" i="5"/>
  <c r="G2964" i="5" s="1"/>
  <c r="E2963" i="5"/>
  <c r="G2963" i="5" s="1"/>
  <c r="E2962" i="5"/>
  <c r="G2962" i="5" s="1"/>
  <c r="E2961" i="5"/>
  <c r="G2961" i="5" s="1"/>
  <c r="E2960" i="5"/>
  <c r="G2960" i="5" s="1"/>
  <c r="E2959" i="5"/>
  <c r="G2959" i="5" s="1"/>
  <c r="E2958" i="5"/>
  <c r="G2958" i="5" s="1"/>
  <c r="E2957" i="5"/>
  <c r="G2957" i="5" s="1"/>
  <c r="E2956" i="5"/>
  <c r="G2956" i="5" s="1"/>
  <c r="E2955" i="5"/>
  <c r="G2955" i="5" s="1"/>
  <c r="E2954" i="5"/>
  <c r="G2954" i="5" s="1"/>
  <c r="E2953" i="5"/>
  <c r="G2953" i="5" s="1"/>
  <c r="E2952" i="5"/>
  <c r="G2952" i="5" s="1"/>
  <c r="E2951" i="5"/>
  <c r="G2951" i="5" s="1"/>
  <c r="E2950" i="5"/>
  <c r="G2950" i="5" s="1"/>
  <c r="E2949" i="5"/>
  <c r="G2949" i="5" s="1"/>
  <c r="E2948" i="5"/>
  <c r="G2948" i="5" s="1"/>
  <c r="E2947" i="5"/>
  <c r="G2947" i="5" s="1"/>
  <c r="E2946" i="5"/>
  <c r="G2946" i="5" s="1"/>
  <c r="E2945" i="5"/>
  <c r="G2945" i="5" s="1"/>
  <c r="E2944" i="5"/>
  <c r="G2944" i="5" s="1"/>
  <c r="E2943" i="5"/>
  <c r="G2943" i="5" s="1"/>
  <c r="E2942" i="5"/>
  <c r="G2942" i="5" s="1"/>
  <c r="E2941" i="5"/>
  <c r="G2941" i="5" s="1"/>
  <c r="E2940" i="5"/>
  <c r="G2940" i="5" s="1"/>
  <c r="E2939" i="5"/>
  <c r="G2939" i="5" s="1"/>
  <c r="E2938" i="5"/>
  <c r="G2938" i="5" s="1"/>
  <c r="E2937" i="5"/>
  <c r="G2937" i="5" s="1"/>
  <c r="E2936" i="5"/>
  <c r="G2936" i="5" s="1"/>
  <c r="E2935" i="5"/>
  <c r="G2935" i="5" s="1"/>
  <c r="E2934" i="5"/>
  <c r="G2934" i="5" s="1"/>
  <c r="E2933" i="5"/>
  <c r="G2933" i="5" s="1"/>
  <c r="E2932" i="5"/>
  <c r="G2932" i="5" s="1"/>
  <c r="E2931" i="5"/>
  <c r="G2931" i="5" s="1"/>
  <c r="E2930" i="5"/>
  <c r="G2930" i="5" s="1"/>
  <c r="E2929" i="5"/>
  <c r="G2929" i="5" s="1"/>
  <c r="E2928" i="5"/>
  <c r="G2928" i="5" s="1"/>
  <c r="E2927" i="5"/>
  <c r="G2927" i="5" s="1"/>
  <c r="E2926" i="5"/>
  <c r="G2926" i="5" s="1"/>
  <c r="E2925" i="5"/>
  <c r="G2925" i="5" s="1"/>
  <c r="E2924" i="5"/>
  <c r="G2924" i="5" s="1"/>
  <c r="E2923" i="5"/>
  <c r="G2923" i="5" s="1"/>
  <c r="E2922" i="5"/>
  <c r="G2922" i="5" s="1"/>
  <c r="E2921" i="5"/>
  <c r="G2921" i="5" s="1"/>
  <c r="E2920" i="5"/>
  <c r="G2920" i="5" s="1"/>
  <c r="E2919" i="5"/>
  <c r="G2919" i="5" s="1"/>
  <c r="E2918" i="5"/>
  <c r="G2918" i="5" s="1"/>
  <c r="E2917" i="5"/>
  <c r="G2917" i="5" s="1"/>
  <c r="E2916" i="5"/>
  <c r="G2916" i="5" s="1"/>
  <c r="E2915" i="5"/>
  <c r="G2915" i="5" s="1"/>
  <c r="E2914" i="5"/>
  <c r="G2914" i="5" s="1"/>
  <c r="E2913" i="5"/>
  <c r="G2913" i="5" s="1"/>
  <c r="E2912" i="5"/>
  <c r="G2912" i="5" s="1"/>
  <c r="E2911" i="5"/>
  <c r="G2911" i="5" s="1"/>
  <c r="E2910" i="5"/>
  <c r="G2910" i="5" s="1"/>
  <c r="E2909" i="5"/>
  <c r="G2909" i="5" s="1"/>
  <c r="E2908" i="5"/>
  <c r="G2908" i="5" s="1"/>
  <c r="E2907" i="5"/>
  <c r="G2907" i="5" s="1"/>
  <c r="E2906" i="5"/>
  <c r="G2906" i="5" s="1"/>
  <c r="E2905" i="5"/>
  <c r="G2905" i="5" s="1"/>
  <c r="E2904" i="5"/>
  <c r="G2904" i="5" s="1"/>
  <c r="E2903" i="5"/>
  <c r="G2903" i="5" s="1"/>
  <c r="E2902" i="5"/>
  <c r="G2902" i="5" s="1"/>
  <c r="E2901" i="5"/>
  <c r="G2901" i="5" s="1"/>
  <c r="E2900" i="5"/>
  <c r="G2900" i="5" s="1"/>
  <c r="E2899" i="5"/>
  <c r="G2899" i="5" s="1"/>
  <c r="E2898" i="5"/>
  <c r="G2898" i="5" s="1"/>
  <c r="E2897" i="5"/>
  <c r="G2897" i="5" s="1"/>
  <c r="E2896" i="5"/>
  <c r="G2896" i="5" s="1"/>
  <c r="E2895" i="5"/>
  <c r="G2895" i="5" s="1"/>
  <c r="E2894" i="5"/>
  <c r="G2894" i="5" s="1"/>
  <c r="E2893" i="5"/>
  <c r="G2893" i="5" s="1"/>
  <c r="E2892" i="5"/>
  <c r="G2892" i="5" s="1"/>
  <c r="E2891" i="5"/>
  <c r="G2891" i="5" s="1"/>
  <c r="E2890" i="5"/>
  <c r="G2890" i="5" s="1"/>
  <c r="E2889" i="5"/>
  <c r="G2889" i="5" s="1"/>
  <c r="E2888" i="5"/>
  <c r="G2888" i="5" s="1"/>
  <c r="E2887" i="5"/>
  <c r="G2887" i="5" s="1"/>
  <c r="E2886" i="5"/>
  <c r="G2886" i="5" s="1"/>
  <c r="E2885" i="5"/>
  <c r="G2885" i="5" s="1"/>
  <c r="E2884" i="5"/>
  <c r="G2884" i="5" s="1"/>
  <c r="E2883" i="5"/>
  <c r="G2883" i="5" s="1"/>
  <c r="E2882" i="5"/>
  <c r="G2882" i="5" s="1"/>
  <c r="E2881" i="5"/>
  <c r="G2881" i="5" s="1"/>
  <c r="E2880" i="5"/>
  <c r="G2880" i="5" s="1"/>
  <c r="E2879" i="5"/>
  <c r="G2879" i="5" s="1"/>
  <c r="E2878" i="5"/>
  <c r="G2878" i="5" s="1"/>
  <c r="E2877" i="5"/>
  <c r="G2877" i="5" s="1"/>
  <c r="E2876" i="5"/>
  <c r="G2876" i="5" s="1"/>
  <c r="E2875" i="5"/>
  <c r="G2875" i="5" s="1"/>
  <c r="E2874" i="5"/>
  <c r="G2874" i="5" s="1"/>
  <c r="E2873" i="5"/>
  <c r="G2873" i="5" s="1"/>
  <c r="E2872" i="5"/>
  <c r="G2872" i="5" s="1"/>
  <c r="E2871" i="5"/>
  <c r="G2871" i="5" s="1"/>
  <c r="E2870" i="5"/>
  <c r="G2870" i="5" s="1"/>
  <c r="E2869" i="5"/>
  <c r="G2869" i="5" s="1"/>
  <c r="E2868" i="5"/>
  <c r="G2868" i="5" s="1"/>
  <c r="E2867" i="5"/>
  <c r="G2867" i="5" s="1"/>
  <c r="E2866" i="5"/>
  <c r="G2866" i="5" s="1"/>
  <c r="E2865" i="5"/>
  <c r="G2865" i="5" s="1"/>
  <c r="E2864" i="5"/>
  <c r="G2864" i="5" s="1"/>
  <c r="E2863" i="5"/>
  <c r="G2863" i="5" s="1"/>
  <c r="E2862" i="5"/>
  <c r="G2862" i="5" s="1"/>
  <c r="E2861" i="5"/>
  <c r="G2861" i="5" s="1"/>
  <c r="E2860" i="5"/>
  <c r="G2860" i="5" s="1"/>
  <c r="E2859" i="5"/>
  <c r="G2859" i="5" s="1"/>
  <c r="E2858" i="5"/>
  <c r="G2858" i="5" s="1"/>
  <c r="E2857" i="5"/>
  <c r="G2857" i="5" s="1"/>
  <c r="E2856" i="5"/>
  <c r="G2856" i="5" s="1"/>
  <c r="E2855" i="5"/>
  <c r="G2855" i="5" s="1"/>
  <c r="E2854" i="5"/>
  <c r="G2854" i="5" s="1"/>
  <c r="E2853" i="5"/>
  <c r="G2853" i="5" s="1"/>
  <c r="E2852" i="5"/>
  <c r="G2852" i="5" s="1"/>
  <c r="E2851" i="5"/>
  <c r="G2851" i="5" s="1"/>
  <c r="E2850" i="5"/>
  <c r="G2850" i="5" s="1"/>
  <c r="E2849" i="5"/>
  <c r="G2849" i="5" s="1"/>
  <c r="E2848" i="5"/>
  <c r="G2848" i="5" s="1"/>
  <c r="E2847" i="5"/>
  <c r="G2847" i="5" s="1"/>
  <c r="E2846" i="5"/>
  <c r="G2846" i="5" s="1"/>
  <c r="E2845" i="5"/>
  <c r="G2845" i="5" s="1"/>
  <c r="E2844" i="5"/>
  <c r="G2844" i="5" s="1"/>
  <c r="E2843" i="5"/>
  <c r="G2843" i="5" s="1"/>
  <c r="E2842" i="5"/>
  <c r="G2842" i="5" s="1"/>
  <c r="E2841" i="5"/>
  <c r="G2841" i="5" s="1"/>
  <c r="E2840" i="5"/>
  <c r="G2840" i="5" s="1"/>
  <c r="E2839" i="5"/>
  <c r="G2839" i="5" s="1"/>
  <c r="E2838" i="5"/>
  <c r="G2838" i="5" s="1"/>
  <c r="E2837" i="5"/>
  <c r="G2837" i="5" s="1"/>
  <c r="E2836" i="5"/>
  <c r="G2836" i="5" s="1"/>
  <c r="E2835" i="5"/>
  <c r="G2835" i="5" s="1"/>
  <c r="E2834" i="5"/>
  <c r="G2834" i="5" s="1"/>
  <c r="E2833" i="5"/>
  <c r="G2833" i="5" s="1"/>
  <c r="E2832" i="5"/>
  <c r="G2832" i="5" s="1"/>
  <c r="E2831" i="5"/>
  <c r="G2831" i="5" s="1"/>
  <c r="E2830" i="5"/>
  <c r="G2830" i="5" s="1"/>
  <c r="E2829" i="5"/>
  <c r="G2829" i="5" s="1"/>
  <c r="E2828" i="5"/>
  <c r="G2828" i="5" s="1"/>
  <c r="E2827" i="5"/>
  <c r="G2827" i="5" s="1"/>
  <c r="E2826" i="5"/>
  <c r="G2826" i="5" s="1"/>
  <c r="E2825" i="5"/>
  <c r="G2825" i="5" s="1"/>
  <c r="E2824" i="5"/>
  <c r="G2824" i="5" s="1"/>
  <c r="E2823" i="5"/>
  <c r="G2823" i="5" s="1"/>
  <c r="E2822" i="5"/>
  <c r="G2822" i="5" s="1"/>
  <c r="E2821" i="5"/>
  <c r="G2821" i="5" s="1"/>
  <c r="E2820" i="5"/>
  <c r="G2820" i="5" s="1"/>
  <c r="E2819" i="5"/>
  <c r="G2819" i="5" s="1"/>
  <c r="E2818" i="5"/>
  <c r="G2818" i="5" s="1"/>
  <c r="E2817" i="5"/>
  <c r="G2817" i="5" s="1"/>
  <c r="E2816" i="5"/>
  <c r="G2816" i="5" s="1"/>
  <c r="E2815" i="5"/>
  <c r="G2815" i="5" s="1"/>
  <c r="E2814" i="5"/>
  <c r="G2814" i="5" s="1"/>
  <c r="E2813" i="5"/>
  <c r="G2813" i="5" s="1"/>
  <c r="E2812" i="5"/>
  <c r="G2812" i="5" s="1"/>
  <c r="E2811" i="5"/>
  <c r="G2811" i="5" s="1"/>
  <c r="E2810" i="5"/>
  <c r="G2810" i="5" s="1"/>
  <c r="E2809" i="5"/>
  <c r="G2809" i="5" s="1"/>
  <c r="E2808" i="5"/>
  <c r="G2808" i="5" s="1"/>
  <c r="E2807" i="5"/>
  <c r="G2807" i="5" s="1"/>
  <c r="E2806" i="5"/>
  <c r="G2806" i="5" s="1"/>
  <c r="E2805" i="5"/>
  <c r="G2805" i="5" s="1"/>
  <c r="E2804" i="5"/>
  <c r="G2804" i="5" s="1"/>
  <c r="E2803" i="5"/>
  <c r="G2803" i="5" s="1"/>
  <c r="E2802" i="5"/>
  <c r="G2802" i="5" s="1"/>
  <c r="E2801" i="5"/>
  <c r="G2801" i="5" s="1"/>
  <c r="E2800" i="5"/>
  <c r="G2800" i="5" s="1"/>
  <c r="E2799" i="5"/>
  <c r="G2799" i="5" s="1"/>
  <c r="E2798" i="5"/>
  <c r="G2798" i="5" s="1"/>
  <c r="E2797" i="5"/>
  <c r="G2797" i="5" s="1"/>
  <c r="E2796" i="5"/>
  <c r="G2796" i="5" s="1"/>
  <c r="E2795" i="5"/>
  <c r="G2795" i="5" s="1"/>
  <c r="E2794" i="5"/>
  <c r="G2794" i="5" s="1"/>
  <c r="E2793" i="5"/>
  <c r="G2793" i="5" s="1"/>
  <c r="E2792" i="5"/>
  <c r="G2792" i="5" s="1"/>
  <c r="E2791" i="5"/>
  <c r="G2791" i="5" s="1"/>
  <c r="E2790" i="5"/>
  <c r="G2790" i="5" s="1"/>
  <c r="E2789" i="5"/>
  <c r="G2789" i="5" s="1"/>
  <c r="E2788" i="5"/>
  <c r="G2788" i="5" s="1"/>
  <c r="E2787" i="5"/>
  <c r="G2787" i="5" s="1"/>
  <c r="E2786" i="5"/>
  <c r="G2786" i="5" s="1"/>
  <c r="E2785" i="5"/>
  <c r="G2785" i="5" s="1"/>
  <c r="E2784" i="5"/>
  <c r="G2784" i="5" s="1"/>
  <c r="E2783" i="5"/>
  <c r="G2783" i="5" s="1"/>
  <c r="E2782" i="5"/>
  <c r="G2782" i="5" s="1"/>
  <c r="E2781" i="5"/>
  <c r="G2781" i="5" s="1"/>
  <c r="E2780" i="5"/>
  <c r="G2780" i="5" s="1"/>
  <c r="E2779" i="5"/>
  <c r="G2779" i="5" s="1"/>
  <c r="E2778" i="5"/>
  <c r="G2778" i="5" s="1"/>
  <c r="E2777" i="5"/>
  <c r="G2777" i="5" s="1"/>
  <c r="E2776" i="5"/>
  <c r="G2776" i="5" s="1"/>
  <c r="E2775" i="5"/>
  <c r="G2775" i="5" s="1"/>
  <c r="E2774" i="5"/>
  <c r="G2774" i="5" s="1"/>
  <c r="E2773" i="5"/>
  <c r="G2773" i="5" s="1"/>
  <c r="E2772" i="5"/>
  <c r="G2772" i="5" s="1"/>
  <c r="E2771" i="5"/>
  <c r="G2771" i="5" s="1"/>
  <c r="E2770" i="5"/>
  <c r="G2770" i="5" s="1"/>
  <c r="E2769" i="5"/>
  <c r="G2769" i="5" s="1"/>
  <c r="E2768" i="5"/>
  <c r="G2768" i="5" s="1"/>
  <c r="E2767" i="5"/>
  <c r="G2767" i="5" s="1"/>
  <c r="E2766" i="5"/>
  <c r="G2766" i="5" s="1"/>
  <c r="E2765" i="5"/>
  <c r="G2765" i="5" s="1"/>
  <c r="E2764" i="5"/>
  <c r="G2764" i="5" s="1"/>
  <c r="E2763" i="5"/>
  <c r="G2763" i="5" s="1"/>
  <c r="E2762" i="5"/>
  <c r="G2762" i="5" s="1"/>
  <c r="E2761" i="5"/>
  <c r="G2761" i="5" s="1"/>
  <c r="E2760" i="5"/>
  <c r="G2760" i="5" s="1"/>
  <c r="E2759" i="5"/>
  <c r="G2759" i="5" s="1"/>
  <c r="E2758" i="5"/>
  <c r="G2758" i="5" s="1"/>
  <c r="E2757" i="5"/>
  <c r="G2757" i="5" s="1"/>
  <c r="E2756" i="5"/>
  <c r="G2756" i="5" s="1"/>
  <c r="E2755" i="5"/>
  <c r="G2755" i="5" s="1"/>
  <c r="E2754" i="5"/>
  <c r="G2754" i="5" s="1"/>
  <c r="E2753" i="5"/>
  <c r="G2753" i="5" s="1"/>
  <c r="E2752" i="5"/>
  <c r="G2752" i="5" s="1"/>
  <c r="E2751" i="5"/>
  <c r="G2751" i="5" s="1"/>
  <c r="E2750" i="5"/>
  <c r="G2750" i="5" s="1"/>
  <c r="E2749" i="5"/>
  <c r="G2749" i="5" s="1"/>
  <c r="E2748" i="5"/>
  <c r="G2748" i="5" s="1"/>
  <c r="E2747" i="5"/>
  <c r="G2747" i="5" s="1"/>
  <c r="E2746" i="5"/>
  <c r="G2746" i="5" s="1"/>
  <c r="E2745" i="5"/>
  <c r="G2745" i="5" s="1"/>
  <c r="E2744" i="5"/>
  <c r="G2744" i="5" s="1"/>
  <c r="E2743" i="5"/>
  <c r="G2743" i="5" s="1"/>
  <c r="E2742" i="5"/>
  <c r="G2742" i="5" s="1"/>
  <c r="E2741" i="5"/>
  <c r="G2741" i="5" s="1"/>
  <c r="E2740" i="5"/>
  <c r="G2740" i="5" s="1"/>
  <c r="E2739" i="5"/>
  <c r="G2739" i="5" s="1"/>
  <c r="E2738" i="5"/>
  <c r="G2738" i="5" s="1"/>
  <c r="E2737" i="5"/>
  <c r="G2737" i="5" s="1"/>
  <c r="E2736" i="5"/>
  <c r="G2736" i="5" s="1"/>
  <c r="E2735" i="5"/>
  <c r="G2735" i="5" s="1"/>
  <c r="E2734" i="5"/>
  <c r="G2734" i="5" s="1"/>
  <c r="E2733" i="5"/>
  <c r="G2733" i="5" s="1"/>
  <c r="E2732" i="5"/>
  <c r="G2732" i="5" s="1"/>
  <c r="E2731" i="5"/>
  <c r="G2731" i="5" s="1"/>
  <c r="E2730" i="5"/>
  <c r="G2730" i="5" s="1"/>
  <c r="E2729" i="5"/>
  <c r="G2729" i="5" s="1"/>
  <c r="E2728" i="5"/>
  <c r="G2728" i="5" s="1"/>
  <c r="E2727" i="5"/>
  <c r="G2727" i="5" s="1"/>
  <c r="E2726" i="5"/>
  <c r="G2726" i="5" s="1"/>
  <c r="E2725" i="5"/>
  <c r="G2725" i="5" s="1"/>
  <c r="E2724" i="5"/>
  <c r="G2724" i="5" s="1"/>
  <c r="E2723" i="5"/>
  <c r="G2723" i="5" s="1"/>
  <c r="E2722" i="5"/>
  <c r="G2722" i="5" s="1"/>
  <c r="E2721" i="5"/>
  <c r="G2721" i="5" s="1"/>
  <c r="E2720" i="5"/>
  <c r="G2720" i="5" s="1"/>
  <c r="E2719" i="5"/>
  <c r="G2719" i="5" s="1"/>
  <c r="E2718" i="5"/>
  <c r="G2718" i="5" s="1"/>
  <c r="E2717" i="5"/>
  <c r="G2717" i="5" s="1"/>
  <c r="E2716" i="5"/>
  <c r="G2716" i="5" s="1"/>
  <c r="E2715" i="5"/>
  <c r="G2715" i="5" s="1"/>
  <c r="E2714" i="5"/>
  <c r="G2714" i="5" s="1"/>
  <c r="E2713" i="5"/>
  <c r="G2713" i="5" s="1"/>
  <c r="E2712" i="5"/>
  <c r="G2712" i="5" s="1"/>
  <c r="E2711" i="5"/>
  <c r="G2711" i="5" s="1"/>
  <c r="E2710" i="5"/>
  <c r="G2710" i="5" s="1"/>
  <c r="E2709" i="5"/>
  <c r="G2709" i="5" s="1"/>
  <c r="E2708" i="5"/>
  <c r="G2708" i="5" s="1"/>
  <c r="E2707" i="5"/>
  <c r="G2707" i="5" s="1"/>
  <c r="E2706" i="5"/>
  <c r="G2706" i="5" s="1"/>
  <c r="E2705" i="5"/>
  <c r="G2705" i="5" s="1"/>
  <c r="E2704" i="5"/>
  <c r="G2704" i="5" s="1"/>
  <c r="E2703" i="5"/>
  <c r="G2703" i="5" s="1"/>
  <c r="E2702" i="5"/>
  <c r="G2702" i="5" s="1"/>
  <c r="E2701" i="5"/>
  <c r="G2701" i="5" s="1"/>
  <c r="E2700" i="5"/>
  <c r="G2700" i="5" s="1"/>
  <c r="E2699" i="5"/>
  <c r="G2699" i="5" s="1"/>
  <c r="E2698" i="5"/>
  <c r="G2698" i="5" s="1"/>
  <c r="E2697" i="5"/>
  <c r="G2697" i="5" s="1"/>
  <c r="E2696" i="5"/>
  <c r="G2696" i="5" s="1"/>
  <c r="E2695" i="5"/>
  <c r="G2695" i="5" s="1"/>
  <c r="E2694" i="5"/>
  <c r="G2694" i="5" s="1"/>
  <c r="E2693" i="5"/>
  <c r="G2693" i="5" s="1"/>
  <c r="E2692" i="5"/>
  <c r="G2692" i="5" s="1"/>
  <c r="E2691" i="5"/>
  <c r="G2691" i="5" s="1"/>
  <c r="E2690" i="5"/>
  <c r="G2690" i="5" s="1"/>
  <c r="E2689" i="5"/>
  <c r="G2689" i="5" s="1"/>
  <c r="E2688" i="5"/>
  <c r="G2688" i="5" s="1"/>
  <c r="E2687" i="5"/>
  <c r="G2687" i="5" s="1"/>
  <c r="E2686" i="5"/>
  <c r="G2686" i="5" s="1"/>
  <c r="E2685" i="5"/>
  <c r="G2685" i="5" s="1"/>
  <c r="E2684" i="5"/>
  <c r="G2684" i="5" s="1"/>
  <c r="E2683" i="5"/>
  <c r="G2683" i="5" s="1"/>
  <c r="E2682" i="5"/>
  <c r="G2682" i="5" s="1"/>
  <c r="E2681" i="5"/>
  <c r="G2681" i="5" s="1"/>
  <c r="E2680" i="5"/>
  <c r="G2680" i="5" s="1"/>
  <c r="E2679" i="5"/>
  <c r="G2679" i="5" s="1"/>
  <c r="E2678" i="5"/>
  <c r="G2678" i="5" s="1"/>
  <c r="E2677" i="5"/>
  <c r="G2677" i="5" s="1"/>
  <c r="E2676" i="5"/>
  <c r="G2676" i="5" s="1"/>
  <c r="E2675" i="5"/>
  <c r="G2675" i="5" s="1"/>
  <c r="E2674" i="5"/>
  <c r="G2674" i="5" s="1"/>
  <c r="E2673" i="5"/>
  <c r="G2673" i="5" s="1"/>
  <c r="E2672" i="5"/>
  <c r="G2672" i="5" s="1"/>
  <c r="E2671" i="5"/>
  <c r="G2671" i="5" s="1"/>
  <c r="E2670" i="5"/>
  <c r="G2670" i="5" s="1"/>
  <c r="E2669" i="5"/>
  <c r="G2669" i="5" s="1"/>
  <c r="E2668" i="5"/>
  <c r="G2668" i="5" s="1"/>
  <c r="E2667" i="5"/>
  <c r="G2667" i="5" s="1"/>
  <c r="E2666" i="5"/>
  <c r="G2666" i="5" s="1"/>
  <c r="E2665" i="5"/>
  <c r="G2665" i="5" s="1"/>
  <c r="E2664" i="5"/>
  <c r="G2664" i="5" s="1"/>
  <c r="E2663" i="5"/>
  <c r="G2663" i="5" s="1"/>
  <c r="E2662" i="5"/>
  <c r="G2662" i="5" s="1"/>
  <c r="E2661" i="5"/>
  <c r="G2661" i="5" s="1"/>
  <c r="E2660" i="5"/>
  <c r="G2660" i="5" s="1"/>
  <c r="E2659" i="5"/>
  <c r="G2659" i="5" s="1"/>
  <c r="E2658" i="5"/>
  <c r="G2658" i="5" s="1"/>
  <c r="E2657" i="5"/>
  <c r="G2657" i="5" s="1"/>
  <c r="E2656" i="5"/>
  <c r="G2656" i="5" s="1"/>
  <c r="E2655" i="5"/>
  <c r="G2655" i="5" s="1"/>
  <c r="E2654" i="5"/>
  <c r="G2654" i="5" s="1"/>
  <c r="E2653" i="5"/>
  <c r="G2653" i="5" s="1"/>
  <c r="E2652" i="5"/>
  <c r="G2652" i="5" s="1"/>
  <c r="E2651" i="5"/>
  <c r="G2651" i="5" s="1"/>
  <c r="E2650" i="5"/>
  <c r="G2650" i="5" s="1"/>
  <c r="E2649" i="5"/>
  <c r="G2649" i="5" s="1"/>
  <c r="E2648" i="5"/>
  <c r="G2648" i="5" s="1"/>
  <c r="E2647" i="5"/>
  <c r="G2647" i="5" s="1"/>
  <c r="E2646" i="5"/>
  <c r="G2646" i="5" s="1"/>
  <c r="E2645" i="5"/>
  <c r="G2645" i="5" s="1"/>
  <c r="E2644" i="5"/>
  <c r="G2644" i="5" s="1"/>
  <c r="E2643" i="5"/>
  <c r="G2643" i="5" s="1"/>
  <c r="E2642" i="5"/>
  <c r="G2642" i="5" s="1"/>
  <c r="E2641" i="5"/>
  <c r="G2641" i="5" s="1"/>
  <c r="E2640" i="5"/>
  <c r="G2640" i="5" s="1"/>
  <c r="E2639" i="5"/>
  <c r="G2639" i="5" s="1"/>
  <c r="E2638" i="5"/>
  <c r="G2638" i="5" s="1"/>
  <c r="E2637" i="5"/>
  <c r="G2637" i="5" s="1"/>
  <c r="E2636" i="5"/>
  <c r="G2636" i="5" s="1"/>
  <c r="E2635" i="5"/>
  <c r="G2635" i="5" s="1"/>
  <c r="E2634" i="5"/>
  <c r="G2634" i="5" s="1"/>
  <c r="E2633" i="5"/>
  <c r="G2633" i="5" s="1"/>
  <c r="E2632" i="5"/>
  <c r="G2632" i="5" s="1"/>
  <c r="E2631" i="5"/>
  <c r="G2631" i="5" s="1"/>
  <c r="E2630" i="5"/>
  <c r="G2630" i="5" s="1"/>
  <c r="E2629" i="5"/>
  <c r="G2629" i="5" s="1"/>
  <c r="E2628" i="5"/>
  <c r="G2628" i="5" s="1"/>
  <c r="E2627" i="5"/>
  <c r="G2627" i="5" s="1"/>
  <c r="E2626" i="5"/>
  <c r="G2626" i="5" s="1"/>
  <c r="E2625" i="5"/>
  <c r="G2625" i="5" s="1"/>
  <c r="E2624" i="5"/>
  <c r="G2624" i="5" s="1"/>
  <c r="E2623" i="5"/>
  <c r="G2623" i="5" s="1"/>
  <c r="E2622" i="5"/>
  <c r="G2622" i="5" s="1"/>
  <c r="E2621" i="5"/>
  <c r="G2621" i="5" s="1"/>
  <c r="E2620" i="5"/>
  <c r="G2620" i="5" s="1"/>
  <c r="E2619" i="5"/>
  <c r="G2619" i="5" s="1"/>
  <c r="E2618" i="5"/>
  <c r="G2618" i="5" s="1"/>
  <c r="E2617" i="5"/>
  <c r="G2617" i="5" s="1"/>
  <c r="E2616" i="5"/>
  <c r="G2616" i="5" s="1"/>
  <c r="E2615" i="5"/>
  <c r="G2615" i="5" s="1"/>
  <c r="E2614" i="5"/>
  <c r="G2614" i="5" s="1"/>
  <c r="E2613" i="5"/>
  <c r="G2613" i="5" s="1"/>
  <c r="E2612" i="5"/>
  <c r="G2612" i="5" s="1"/>
  <c r="E2611" i="5"/>
  <c r="G2611" i="5" s="1"/>
  <c r="E2610" i="5"/>
  <c r="G2610" i="5" s="1"/>
  <c r="E2609" i="5"/>
  <c r="G2609" i="5" s="1"/>
  <c r="E2608" i="5"/>
  <c r="G2608" i="5" s="1"/>
  <c r="E2607" i="5"/>
  <c r="G2607" i="5" s="1"/>
  <c r="E2606" i="5"/>
  <c r="G2606" i="5" s="1"/>
  <c r="E2605" i="5"/>
  <c r="G2605" i="5" s="1"/>
  <c r="E2604" i="5"/>
  <c r="G2604" i="5" s="1"/>
  <c r="E2603" i="5"/>
  <c r="G2603" i="5" s="1"/>
  <c r="E2602" i="5"/>
  <c r="G2602" i="5" s="1"/>
  <c r="E2601" i="5"/>
  <c r="G2601" i="5" s="1"/>
  <c r="E2600" i="5"/>
  <c r="G2600" i="5" s="1"/>
  <c r="E2599" i="5"/>
  <c r="G2599" i="5" s="1"/>
  <c r="E2598" i="5"/>
  <c r="G2598" i="5" s="1"/>
  <c r="E2597" i="5"/>
  <c r="G2597" i="5" s="1"/>
  <c r="E2596" i="5"/>
  <c r="G2596" i="5" s="1"/>
  <c r="E2595" i="5"/>
  <c r="G2595" i="5" s="1"/>
  <c r="E2594" i="5"/>
  <c r="G2594" i="5" s="1"/>
  <c r="E2593" i="5"/>
  <c r="G2593" i="5" s="1"/>
  <c r="E2592" i="5"/>
  <c r="G2592" i="5" s="1"/>
  <c r="E2591" i="5"/>
  <c r="G2591" i="5" s="1"/>
  <c r="E2590" i="5"/>
  <c r="G2590" i="5" s="1"/>
  <c r="E2589" i="5"/>
  <c r="G2589" i="5" s="1"/>
  <c r="E2588" i="5"/>
  <c r="G2588" i="5" s="1"/>
  <c r="E2587" i="5"/>
  <c r="G2587" i="5" s="1"/>
  <c r="E2586" i="5"/>
  <c r="G2586" i="5" s="1"/>
  <c r="E2585" i="5"/>
  <c r="G2585" i="5" s="1"/>
  <c r="E2584" i="5"/>
  <c r="G2584" i="5" s="1"/>
  <c r="E2583" i="5"/>
  <c r="G2583" i="5" s="1"/>
  <c r="E2582" i="5"/>
  <c r="G2582" i="5" s="1"/>
  <c r="E2581" i="5"/>
  <c r="G2581" i="5" s="1"/>
  <c r="E2580" i="5"/>
  <c r="G2580" i="5" s="1"/>
  <c r="E2579" i="5"/>
  <c r="G2579" i="5" s="1"/>
  <c r="E2578" i="5"/>
  <c r="G2578" i="5" s="1"/>
  <c r="E2577" i="5"/>
  <c r="G2577" i="5" s="1"/>
  <c r="E2576" i="5"/>
  <c r="G2576" i="5" s="1"/>
  <c r="E2575" i="5"/>
  <c r="G2575" i="5" s="1"/>
  <c r="E2574" i="5"/>
  <c r="G2574" i="5" s="1"/>
  <c r="E2573" i="5"/>
  <c r="G2573" i="5" s="1"/>
  <c r="E2572" i="5"/>
  <c r="G2572" i="5" s="1"/>
  <c r="E2571" i="5"/>
  <c r="G2571" i="5" s="1"/>
  <c r="E2570" i="5"/>
  <c r="G2570" i="5" s="1"/>
  <c r="E2569" i="5"/>
  <c r="G2569" i="5" s="1"/>
  <c r="E2568" i="5"/>
  <c r="G2568" i="5" s="1"/>
  <c r="E2567" i="5"/>
  <c r="G2567" i="5" s="1"/>
  <c r="E2566" i="5"/>
  <c r="G2566" i="5" s="1"/>
  <c r="E2565" i="5"/>
  <c r="G2565" i="5" s="1"/>
  <c r="E2564" i="5"/>
  <c r="G2564" i="5" s="1"/>
  <c r="E2563" i="5"/>
  <c r="G2563" i="5" s="1"/>
  <c r="E2562" i="5"/>
  <c r="G2562" i="5" s="1"/>
  <c r="E2561" i="5"/>
  <c r="G2561" i="5" s="1"/>
  <c r="E2560" i="5"/>
  <c r="G2560" i="5" s="1"/>
  <c r="E2559" i="5"/>
  <c r="G2559" i="5" s="1"/>
  <c r="E2558" i="5"/>
  <c r="G2558" i="5" s="1"/>
  <c r="E2557" i="5"/>
  <c r="G2557" i="5" s="1"/>
  <c r="E2556" i="5"/>
  <c r="G2556" i="5" s="1"/>
  <c r="E2555" i="5"/>
  <c r="G2555" i="5" s="1"/>
  <c r="E2554" i="5"/>
  <c r="G2554" i="5" s="1"/>
  <c r="E2553" i="5"/>
  <c r="G2553" i="5" s="1"/>
  <c r="E2552" i="5"/>
  <c r="G2552" i="5" s="1"/>
  <c r="E2551" i="5"/>
  <c r="G2551" i="5" s="1"/>
  <c r="E2550" i="5"/>
  <c r="G2550" i="5" s="1"/>
  <c r="E2549" i="5"/>
  <c r="G2549" i="5" s="1"/>
  <c r="E2548" i="5"/>
  <c r="G2548" i="5" s="1"/>
  <c r="E2547" i="5"/>
  <c r="G2547" i="5" s="1"/>
  <c r="E2546" i="5"/>
  <c r="G2546" i="5" s="1"/>
  <c r="E2545" i="5"/>
  <c r="G2545" i="5" s="1"/>
  <c r="E2544" i="5"/>
  <c r="G2544" i="5" s="1"/>
  <c r="E2543" i="5"/>
  <c r="G2543" i="5" s="1"/>
  <c r="E2542" i="5"/>
  <c r="G2542" i="5" s="1"/>
  <c r="E2541" i="5"/>
  <c r="G2541" i="5" s="1"/>
  <c r="E2540" i="5"/>
  <c r="G2540" i="5" s="1"/>
  <c r="E2539" i="5"/>
  <c r="G2539" i="5" s="1"/>
  <c r="E2538" i="5"/>
  <c r="G2538" i="5" s="1"/>
  <c r="E2537" i="5"/>
  <c r="G2537" i="5" s="1"/>
  <c r="E2536" i="5"/>
  <c r="G2536" i="5" s="1"/>
  <c r="E2535" i="5"/>
  <c r="G2535" i="5" s="1"/>
  <c r="E2534" i="5"/>
  <c r="G2534" i="5" s="1"/>
  <c r="E2533" i="5"/>
  <c r="G2533" i="5" s="1"/>
  <c r="E2532" i="5"/>
  <c r="G2532" i="5" s="1"/>
  <c r="E2531" i="5"/>
  <c r="G2531" i="5" s="1"/>
  <c r="E2530" i="5"/>
  <c r="G2530" i="5" s="1"/>
  <c r="E2529" i="5"/>
  <c r="G2529" i="5" s="1"/>
  <c r="E2528" i="5"/>
  <c r="G2528" i="5" s="1"/>
  <c r="E2527" i="5"/>
  <c r="G2527" i="5" s="1"/>
  <c r="E2526" i="5"/>
  <c r="G2526" i="5" s="1"/>
  <c r="E2525" i="5"/>
  <c r="G2525" i="5" s="1"/>
  <c r="E2524" i="5"/>
  <c r="G2524" i="5" s="1"/>
  <c r="E2523" i="5"/>
  <c r="G2523" i="5" s="1"/>
  <c r="E2522" i="5"/>
  <c r="G2522" i="5" s="1"/>
  <c r="E2521" i="5"/>
  <c r="G2521" i="5" s="1"/>
  <c r="E2520" i="5"/>
  <c r="G2520" i="5" s="1"/>
  <c r="E2519" i="5"/>
  <c r="G2519" i="5" s="1"/>
  <c r="E2518" i="5"/>
  <c r="G2518" i="5" s="1"/>
  <c r="E2517" i="5"/>
  <c r="G2517" i="5" s="1"/>
  <c r="E2516" i="5"/>
  <c r="G2516" i="5" s="1"/>
  <c r="E2515" i="5"/>
  <c r="G2515" i="5" s="1"/>
  <c r="E2514" i="5"/>
  <c r="G2514" i="5" s="1"/>
  <c r="E2513" i="5"/>
  <c r="G2513" i="5" s="1"/>
  <c r="E2512" i="5"/>
  <c r="G2512" i="5" s="1"/>
  <c r="E2511" i="5"/>
  <c r="G2511" i="5" s="1"/>
  <c r="E2510" i="5"/>
  <c r="G2510" i="5" s="1"/>
  <c r="E2509" i="5"/>
  <c r="G2509" i="5" s="1"/>
  <c r="E2508" i="5"/>
  <c r="G2508" i="5" s="1"/>
  <c r="E2507" i="5"/>
  <c r="G2507" i="5" s="1"/>
  <c r="E2506" i="5"/>
  <c r="G2506" i="5" s="1"/>
  <c r="E2505" i="5"/>
  <c r="G2505" i="5" s="1"/>
  <c r="E2504" i="5"/>
  <c r="G2504" i="5" s="1"/>
  <c r="E2503" i="5"/>
  <c r="G2503" i="5" s="1"/>
  <c r="E2502" i="5"/>
  <c r="G2502" i="5" s="1"/>
  <c r="E2501" i="5"/>
  <c r="G2501" i="5" s="1"/>
  <c r="E2500" i="5"/>
  <c r="G2500" i="5" s="1"/>
  <c r="E2499" i="5"/>
  <c r="G2499" i="5" s="1"/>
  <c r="E2498" i="5"/>
  <c r="G2498" i="5" s="1"/>
  <c r="E2497" i="5"/>
  <c r="G2497" i="5" s="1"/>
  <c r="E2496" i="5"/>
  <c r="G2496" i="5" s="1"/>
  <c r="E2495" i="5"/>
  <c r="G2495" i="5" s="1"/>
  <c r="E2494" i="5"/>
  <c r="G2494" i="5" s="1"/>
  <c r="E2493" i="5"/>
  <c r="G2493" i="5" s="1"/>
  <c r="E2492" i="5"/>
  <c r="G2492" i="5" s="1"/>
  <c r="E2491" i="5"/>
  <c r="G2491" i="5" s="1"/>
  <c r="E2490" i="5"/>
  <c r="G2490" i="5" s="1"/>
  <c r="E2489" i="5"/>
  <c r="G2489" i="5" s="1"/>
  <c r="E2488" i="5"/>
  <c r="G2488" i="5" s="1"/>
  <c r="E2487" i="5"/>
  <c r="G2487" i="5" s="1"/>
  <c r="E2486" i="5"/>
  <c r="G2486" i="5" s="1"/>
  <c r="E2485" i="5"/>
  <c r="G2485" i="5" s="1"/>
  <c r="E2484" i="5"/>
  <c r="G2484" i="5" s="1"/>
  <c r="E2483" i="5"/>
  <c r="G2483" i="5" s="1"/>
  <c r="E2482" i="5"/>
  <c r="G2482" i="5" s="1"/>
  <c r="E2481" i="5"/>
  <c r="G2481" i="5" s="1"/>
  <c r="E2480" i="5"/>
  <c r="G2480" i="5" s="1"/>
  <c r="E2479" i="5"/>
  <c r="G2479" i="5" s="1"/>
  <c r="E2478" i="5"/>
  <c r="G2478" i="5" s="1"/>
  <c r="E2477" i="5"/>
  <c r="G2477" i="5" s="1"/>
  <c r="E2476" i="5"/>
  <c r="G2476" i="5" s="1"/>
  <c r="E2475" i="5"/>
  <c r="G2475" i="5" s="1"/>
  <c r="E2474" i="5"/>
  <c r="G2474" i="5" s="1"/>
  <c r="E2473" i="5"/>
  <c r="G2473" i="5" s="1"/>
  <c r="E2472" i="5"/>
  <c r="G2472" i="5" s="1"/>
  <c r="E2471" i="5"/>
  <c r="G2471" i="5" s="1"/>
  <c r="E2470" i="5"/>
  <c r="G2470" i="5" s="1"/>
  <c r="E2469" i="5"/>
  <c r="G2469" i="5" s="1"/>
  <c r="E2468" i="5"/>
  <c r="G2468" i="5" s="1"/>
  <c r="E2467" i="5"/>
  <c r="G2467" i="5" s="1"/>
  <c r="E2466" i="5"/>
  <c r="G2466" i="5" s="1"/>
  <c r="E2465" i="5"/>
  <c r="G2465" i="5" s="1"/>
  <c r="E2464" i="5"/>
  <c r="G2464" i="5" s="1"/>
  <c r="E2463" i="5"/>
  <c r="G2463" i="5" s="1"/>
  <c r="E2462" i="5"/>
  <c r="G2462" i="5" s="1"/>
  <c r="E2461" i="5"/>
  <c r="G2461" i="5" s="1"/>
  <c r="E2460" i="5"/>
  <c r="G2460" i="5" s="1"/>
  <c r="E2459" i="5"/>
  <c r="G2459" i="5" s="1"/>
  <c r="E2458" i="5"/>
  <c r="G2458" i="5" s="1"/>
  <c r="E2457" i="5"/>
  <c r="G2457" i="5" s="1"/>
  <c r="E2456" i="5"/>
  <c r="G2456" i="5" s="1"/>
  <c r="E2455" i="5"/>
  <c r="G2455" i="5" s="1"/>
  <c r="E2454" i="5"/>
  <c r="G2454" i="5" s="1"/>
  <c r="E2453" i="5"/>
  <c r="G2453" i="5" s="1"/>
  <c r="E2452" i="5"/>
  <c r="G2452" i="5" s="1"/>
  <c r="E2451" i="5"/>
  <c r="G2451" i="5" s="1"/>
  <c r="E2450" i="5"/>
  <c r="G2450" i="5" s="1"/>
  <c r="E2449" i="5"/>
  <c r="G2449" i="5" s="1"/>
  <c r="E2448" i="5"/>
  <c r="G2448" i="5" s="1"/>
  <c r="E2447" i="5"/>
  <c r="G2447" i="5" s="1"/>
  <c r="E2446" i="5"/>
  <c r="G2446" i="5" s="1"/>
  <c r="E2445" i="5"/>
  <c r="G2445" i="5" s="1"/>
  <c r="E2444" i="5"/>
  <c r="G2444" i="5" s="1"/>
  <c r="E2443" i="5"/>
  <c r="G2443" i="5" s="1"/>
  <c r="E2442" i="5"/>
  <c r="G2442" i="5" s="1"/>
  <c r="E2441" i="5"/>
  <c r="G2441" i="5" s="1"/>
  <c r="E2440" i="5"/>
  <c r="G2440" i="5" s="1"/>
  <c r="E2439" i="5"/>
  <c r="G2439" i="5" s="1"/>
  <c r="E2438" i="5"/>
  <c r="G2438" i="5" s="1"/>
  <c r="E2437" i="5"/>
  <c r="G2437" i="5" s="1"/>
  <c r="E2436" i="5"/>
  <c r="G2436" i="5" s="1"/>
  <c r="E2435" i="5"/>
  <c r="G2435" i="5" s="1"/>
  <c r="E2434" i="5"/>
  <c r="G2434" i="5" s="1"/>
  <c r="E2433" i="5"/>
  <c r="G2433" i="5" s="1"/>
  <c r="E2432" i="5"/>
  <c r="G2432" i="5" s="1"/>
  <c r="E2431" i="5"/>
  <c r="G2431" i="5" s="1"/>
  <c r="E2430" i="5"/>
  <c r="G2430" i="5" s="1"/>
  <c r="E2429" i="5"/>
  <c r="G2429" i="5" s="1"/>
  <c r="E2428" i="5"/>
  <c r="G2428" i="5" s="1"/>
  <c r="E2427" i="5"/>
  <c r="G2427" i="5" s="1"/>
  <c r="E2426" i="5"/>
  <c r="G2426" i="5" s="1"/>
  <c r="E2425" i="5"/>
  <c r="G2425" i="5" s="1"/>
  <c r="E2424" i="5"/>
  <c r="G2424" i="5" s="1"/>
  <c r="E2423" i="5"/>
  <c r="G2423" i="5" s="1"/>
  <c r="E2422" i="5"/>
  <c r="G2422" i="5" s="1"/>
  <c r="E2421" i="5"/>
  <c r="G2421" i="5" s="1"/>
  <c r="E2420" i="5"/>
  <c r="G2420" i="5" s="1"/>
  <c r="E2419" i="5"/>
  <c r="G2419" i="5" s="1"/>
  <c r="E2418" i="5"/>
  <c r="G2418" i="5" s="1"/>
  <c r="E2417" i="5"/>
  <c r="G2417" i="5" s="1"/>
  <c r="E2416" i="5"/>
  <c r="G2416" i="5" s="1"/>
  <c r="E2415" i="5"/>
  <c r="G2415" i="5" s="1"/>
  <c r="E2414" i="5"/>
  <c r="G2414" i="5" s="1"/>
  <c r="E2413" i="5"/>
  <c r="G2413" i="5" s="1"/>
  <c r="E2412" i="5"/>
  <c r="G2412" i="5" s="1"/>
  <c r="E2411" i="5"/>
  <c r="G2411" i="5" s="1"/>
  <c r="E2410" i="5"/>
  <c r="G2410" i="5" s="1"/>
  <c r="E2409" i="5"/>
  <c r="G2409" i="5" s="1"/>
  <c r="E2408" i="5"/>
  <c r="G2408" i="5" s="1"/>
  <c r="E2407" i="5"/>
  <c r="G2407" i="5" s="1"/>
  <c r="E2406" i="5"/>
  <c r="G2406" i="5" s="1"/>
  <c r="E2405" i="5"/>
  <c r="G2405" i="5" s="1"/>
  <c r="E2404" i="5"/>
  <c r="G2404" i="5" s="1"/>
  <c r="E2403" i="5"/>
  <c r="G2403" i="5" s="1"/>
  <c r="E2402" i="5"/>
  <c r="G2402" i="5" s="1"/>
  <c r="E2401" i="5"/>
  <c r="G2401" i="5" s="1"/>
  <c r="E2400" i="5"/>
  <c r="G2400" i="5" s="1"/>
  <c r="E2399" i="5"/>
  <c r="G2399" i="5" s="1"/>
  <c r="E2398" i="5"/>
  <c r="G2398" i="5" s="1"/>
  <c r="E2397" i="5"/>
  <c r="G2397" i="5" s="1"/>
  <c r="E2396" i="5"/>
  <c r="G2396" i="5" s="1"/>
  <c r="E2395" i="5"/>
  <c r="G2395" i="5" s="1"/>
  <c r="E2394" i="5"/>
  <c r="G2394" i="5" s="1"/>
  <c r="E2393" i="5"/>
  <c r="G2393" i="5" s="1"/>
  <c r="E2392" i="5"/>
  <c r="G2392" i="5" s="1"/>
  <c r="E2391" i="5"/>
  <c r="G2391" i="5" s="1"/>
  <c r="E2390" i="5"/>
  <c r="G2390" i="5" s="1"/>
  <c r="E2389" i="5"/>
  <c r="G2389" i="5" s="1"/>
  <c r="E2388" i="5"/>
  <c r="G2388" i="5" s="1"/>
  <c r="E2387" i="5"/>
  <c r="G2387" i="5" s="1"/>
  <c r="E2386" i="5"/>
  <c r="G2386" i="5" s="1"/>
  <c r="E2385" i="5"/>
  <c r="G2385" i="5" s="1"/>
  <c r="E2384" i="5"/>
  <c r="G2384" i="5" s="1"/>
  <c r="E2383" i="5"/>
  <c r="G2383" i="5" s="1"/>
  <c r="E2382" i="5"/>
  <c r="G2382" i="5" s="1"/>
  <c r="E2381" i="5"/>
  <c r="G2381" i="5" s="1"/>
  <c r="E2380" i="5"/>
  <c r="G2380" i="5" s="1"/>
  <c r="E2379" i="5"/>
  <c r="G2379" i="5" s="1"/>
  <c r="E2378" i="5"/>
  <c r="G2378" i="5" s="1"/>
  <c r="E2377" i="5"/>
  <c r="G2377" i="5" s="1"/>
  <c r="E2376" i="5"/>
  <c r="G2376" i="5" s="1"/>
  <c r="E2375" i="5"/>
  <c r="G2375" i="5" s="1"/>
  <c r="E2374" i="5"/>
  <c r="G2374" i="5" s="1"/>
  <c r="E2373" i="5"/>
  <c r="G2373" i="5" s="1"/>
  <c r="E2372" i="5"/>
  <c r="G2372" i="5" s="1"/>
  <c r="E2371" i="5"/>
  <c r="G2371" i="5" s="1"/>
  <c r="E2370" i="5"/>
  <c r="G2370" i="5" s="1"/>
  <c r="E2369" i="5"/>
  <c r="G2369" i="5" s="1"/>
  <c r="E2368" i="5"/>
  <c r="G2368" i="5" s="1"/>
  <c r="E2367" i="5"/>
  <c r="G2367" i="5" s="1"/>
  <c r="E2366" i="5"/>
  <c r="G2366" i="5" s="1"/>
  <c r="E2365" i="5"/>
  <c r="G2365" i="5" s="1"/>
  <c r="E2364" i="5"/>
  <c r="G2364" i="5" s="1"/>
  <c r="E2363" i="5"/>
  <c r="G2363" i="5" s="1"/>
  <c r="E2362" i="5"/>
  <c r="G2362" i="5" s="1"/>
  <c r="E2361" i="5"/>
  <c r="G2361" i="5" s="1"/>
  <c r="E2360" i="5"/>
  <c r="G2360" i="5" s="1"/>
  <c r="E2359" i="5"/>
  <c r="G2359" i="5" s="1"/>
  <c r="E2358" i="5"/>
  <c r="G2358" i="5" s="1"/>
  <c r="E2357" i="5"/>
  <c r="G2357" i="5" s="1"/>
  <c r="E2356" i="5"/>
  <c r="G2356" i="5" s="1"/>
  <c r="E2355" i="5"/>
  <c r="G2355" i="5" s="1"/>
  <c r="E2354" i="5"/>
  <c r="G2354" i="5" s="1"/>
  <c r="E2353" i="5"/>
  <c r="G2353" i="5" s="1"/>
  <c r="E2352" i="5"/>
  <c r="G2352" i="5" s="1"/>
  <c r="E2351" i="5"/>
  <c r="G2351" i="5" s="1"/>
  <c r="E2350" i="5"/>
  <c r="G2350" i="5" s="1"/>
  <c r="E2349" i="5"/>
  <c r="G2349" i="5" s="1"/>
  <c r="E2348" i="5"/>
  <c r="G2348" i="5" s="1"/>
  <c r="E2347" i="5"/>
  <c r="G2347" i="5" s="1"/>
  <c r="E2346" i="5"/>
  <c r="G2346" i="5" s="1"/>
  <c r="E2345" i="5"/>
  <c r="G2345" i="5" s="1"/>
  <c r="E2344" i="5"/>
  <c r="G2344" i="5" s="1"/>
  <c r="E2343" i="5"/>
  <c r="G2343" i="5" s="1"/>
  <c r="E2342" i="5"/>
  <c r="G2342" i="5" s="1"/>
  <c r="E2341" i="5"/>
  <c r="G2341" i="5" s="1"/>
  <c r="E2340" i="5"/>
  <c r="G2340" i="5" s="1"/>
  <c r="E2339" i="5"/>
  <c r="G2339" i="5" s="1"/>
  <c r="E2338" i="5"/>
  <c r="G2338" i="5" s="1"/>
  <c r="E2337" i="5"/>
  <c r="G2337" i="5" s="1"/>
  <c r="E2336" i="5"/>
  <c r="G2336" i="5" s="1"/>
  <c r="E2335" i="5"/>
  <c r="G2335" i="5" s="1"/>
  <c r="E2334" i="5"/>
  <c r="G2334" i="5" s="1"/>
  <c r="E2333" i="5"/>
  <c r="G2333" i="5" s="1"/>
  <c r="E2332" i="5"/>
  <c r="G2332" i="5" s="1"/>
  <c r="E2331" i="5"/>
  <c r="G2331" i="5" s="1"/>
  <c r="E2330" i="5"/>
  <c r="G2330" i="5" s="1"/>
  <c r="E2329" i="5"/>
  <c r="G2329" i="5" s="1"/>
  <c r="E2328" i="5"/>
  <c r="G2328" i="5" s="1"/>
  <c r="E2327" i="5"/>
  <c r="G2327" i="5" s="1"/>
  <c r="E2326" i="5"/>
  <c r="G2326" i="5" s="1"/>
  <c r="E2325" i="5"/>
  <c r="G2325" i="5" s="1"/>
  <c r="E2324" i="5"/>
  <c r="G2324" i="5" s="1"/>
  <c r="E2323" i="5"/>
  <c r="G2323" i="5" s="1"/>
  <c r="E2322" i="5"/>
  <c r="G2322" i="5" s="1"/>
  <c r="E2321" i="5"/>
  <c r="G2321" i="5" s="1"/>
  <c r="E2320" i="5"/>
  <c r="G2320" i="5" s="1"/>
  <c r="E2319" i="5"/>
  <c r="G2319" i="5" s="1"/>
  <c r="E2318" i="5"/>
  <c r="G2318" i="5" s="1"/>
  <c r="E2317" i="5"/>
  <c r="G2317" i="5" s="1"/>
  <c r="E2316" i="5"/>
  <c r="G2316" i="5" s="1"/>
  <c r="E2315" i="5"/>
  <c r="G2315" i="5" s="1"/>
  <c r="E2314" i="5"/>
  <c r="G2314" i="5" s="1"/>
  <c r="E2313" i="5"/>
  <c r="G2313" i="5" s="1"/>
  <c r="E2312" i="5"/>
  <c r="G2312" i="5" s="1"/>
  <c r="E2311" i="5"/>
  <c r="G2311" i="5" s="1"/>
  <c r="E2310" i="5"/>
  <c r="G2310" i="5" s="1"/>
  <c r="E2309" i="5"/>
  <c r="G2309" i="5" s="1"/>
  <c r="E2308" i="5"/>
  <c r="G2308" i="5" s="1"/>
  <c r="E2307" i="5"/>
  <c r="G2307" i="5" s="1"/>
  <c r="E2306" i="5"/>
  <c r="G2306" i="5" s="1"/>
  <c r="E2305" i="5"/>
  <c r="G2305" i="5" s="1"/>
  <c r="E2304" i="5"/>
  <c r="G2304" i="5" s="1"/>
  <c r="E2303" i="5"/>
  <c r="G2303" i="5" s="1"/>
  <c r="E2302" i="5"/>
  <c r="G2302" i="5" s="1"/>
  <c r="E2301" i="5"/>
  <c r="G2301" i="5" s="1"/>
  <c r="E2300" i="5"/>
  <c r="G2300" i="5" s="1"/>
  <c r="E2299" i="5"/>
  <c r="G2299" i="5" s="1"/>
  <c r="E2298" i="5"/>
  <c r="G2298" i="5" s="1"/>
  <c r="E2297" i="5"/>
  <c r="G2297" i="5" s="1"/>
  <c r="E2296" i="5"/>
  <c r="G2296" i="5" s="1"/>
  <c r="E2295" i="5"/>
  <c r="G2295" i="5" s="1"/>
  <c r="E2294" i="5"/>
  <c r="G2294" i="5" s="1"/>
  <c r="E2293" i="5"/>
  <c r="G2293" i="5" s="1"/>
  <c r="E2292" i="5"/>
  <c r="G2292" i="5" s="1"/>
  <c r="E2291" i="5"/>
  <c r="G2291" i="5" s="1"/>
  <c r="E2290" i="5"/>
  <c r="G2290" i="5" s="1"/>
  <c r="E2289" i="5"/>
  <c r="G2289" i="5" s="1"/>
  <c r="E2288" i="5"/>
  <c r="G2288" i="5" s="1"/>
  <c r="E2287" i="5"/>
  <c r="G2287" i="5" s="1"/>
  <c r="E2286" i="5"/>
  <c r="G2286" i="5" s="1"/>
  <c r="E2285" i="5"/>
  <c r="G2285" i="5" s="1"/>
  <c r="E2284" i="5"/>
  <c r="G2284" i="5" s="1"/>
  <c r="E2283" i="5"/>
  <c r="G2283" i="5" s="1"/>
  <c r="E2282" i="5"/>
  <c r="G2282" i="5" s="1"/>
  <c r="E2281" i="5"/>
  <c r="G2281" i="5" s="1"/>
  <c r="E2280" i="5"/>
  <c r="G2280" i="5" s="1"/>
  <c r="E2279" i="5"/>
  <c r="G2279" i="5" s="1"/>
  <c r="E2278" i="5"/>
  <c r="G2278" i="5" s="1"/>
  <c r="E2277" i="5"/>
  <c r="G2277" i="5" s="1"/>
  <c r="E2276" i="5"/>
  <c r="G2276" i="5" s="1"/>
  <c r="E2275" i="5"/>
  <c r="G2275" i="5" s="1"/>
  <c r="E2274" i="5"/>
  <c r="G2274" i="5" s="1"/>
  <c r="E2273" i="5"/>
  <c r="G2273" i="5" s="1"/>
  <c r="E2272" i="5"/>
  <c r="G2272" i="5" s="1"/>
  <c r="E2271" i="5"/>
  <c r="G2271" i="5" s="1"/>
  <c r="E2270" i="5"/>
  <c r="G2270" i="5" s="1"/>
  <c r="E2269" i="5"/>
  <c r="G2269" i="5" s="1"/>
  <c r="E2268" i="5"/>
  <c r="G2268" i="5" s="1"/>
  <c r="E2267" i="5"/>
  <c r="G2267" i="5" s="1"/>
  <c r="E2266" i="5"/>
  <c r="G2266" i="5" s="1"/>
  <c r="E2265" i="5"/>
  <c r="G2265" i="5" s="1"/>
  <c r="E2264" i="5"/>
  <c r="G2264" i="5" s="1"/>
  <c r="E2263" i="5"/>
  <c r="G2263" i="5" s="1"/>
  <c r="E2262" i="5"/>
  <c r="G2262" i="5" s="1"/>
  <c r="E2261" i="5"/>
  <c r="G2261" i="5" s="1"/>
  <c r="E2260" i="5"/>
  <c r="G2260" i="5" s="1"/>
  <c r="E2259" i="5"/>
  <c r="G2259" i="5" s="1"/>
  <c r="E2258" i="5"/>
  <c r="G2258" i="5" s="1"/>
  <c r="E2257" i="5"/>
  <c r="G2257" i="5" s="1"/>
  <c r="E2256" i="5"/>
  <c r="G2256" i="5" s="1"/>
  <c r="E2255" i="5"/>
  <c r="G2255" i="5" s="1"/>
  <c r="E2254" i="5"/>
  <c r="G2254" i="5" s="1"/>
  <c r="E2253" i="5"/>
  <c r="G2253" i="5" s="1"/>
  <c r="E2252" i="5"/>
  <c r="G2252" i="5" s="1"/>
  <c r="E2251" i="5"/>
  <c r="G2251" i="5" s="1"/>
  <c r="E2250" i="5"/>
  <c r="G2250" i="5" s="1"/>
  <c r="E2249" i="5"/>
  <c r="G2249" i="5" s="1"/>
  <c r="E2248" i="5"/>
  <c r="G2248" i="5" s="1"/>
  <c r="E2247" i="5"/>
  <c r="G2247" i="5" s="1"/>
  <c r="E2246" i="5"/>
  <c r="G2246" i="5" s="1"/>
  <c r="E2245" i="5"/>
  <c r="G2245" i="5" s="1"/>
  <c r="E2244" i="5"/>
  <c r="G2244" i="5" s="1"/>
  <c r="E2243" i="5"/>
  <c r="G2243" i="5" s="1"/>
  <c r="E2242" i="5"/>
  <c r="G2242" i="5" s="1"/>
  <c r="E2241" i="5"/>
  <c r="G2241" i="5" s="1"/>
  <c r="E2240" i="5"/>
  <c r="G2240" i="5" s="1"/>
  <c r="E2239" i="5"/>
  <c r="G2239" i="5" s="1"/>
  <c r="E2238" i="5"/>
  <c r="G2238" i="5" s="1"/>
  <c r="E2237" i="5"/>
  <c r="G2237" i="5" s="1"/>
  <c r="E2236" i="5"/>
  <c r="G2236" i="5" s="1"/>
  <c r="E2235" i="5"/>
  <c r="G2235" i="5" s="1"/>
  <c r="E2234" i="5"/>
  <c r="G2234" i="5" s="1"/>
  <c r="E2233" i="5"/>
  <c r="G2233" i="5" s="1"/>
  <c r="E2232" i="5"/>
  <c r="G2232" i="5" s="1"/>
  <c r="E2231" i="5"/>
  <c r="G2231" i="5" s="1"/>
  <c r="E2230" i="5"/>
  <c r="G2230" i="5" s="1"/>
  <c r="E2229" i="5"/>
  <c r="G2229" i="5" s="1"/>
  <c r="E2228" i="5"/>
  <c r="G2228" i="5" s="1"/>
  <c r="E2227" i="5"/>
  <c r="G2227" i="5" s="1"/>
  <c r="E2226" i="5"/>
  <c r="G2226" i="5" s="1"/>
  <c r="E2225" i="5"/>
  <c r="G2225" i="5" s="1"/>
  <c r="E2224" i="5"/>
  <c r="G2224" i="5" s="1"/>
  <c r="E2223" i="5"/>
  <c r="G2223" i="5" s="1"/>
  <c r="E2222" i="5"/>
  <c r="G2222" i="5" s="1"/>
  <c r="E2221" i="5"/>
  <c r="G2221" i="5" s="1"/>
  <c r="E2220" i="5"/>
  <c r="G2220" i="5" s="1"/>
  <c r="E2219" i="5"/>
  <c r="G2219" i="5" s="1"/>
  <c r="E2218" i="5"/>
  <c r="G2218" i="5" s="1"/>
  <c r="E2217" i="5"/>
  <c r="G2217" i="5" s="1"/>
  <c r="E2216" i="5"/>
  <c r="G2216" i="5" s="1"/>
  <c r="E2215" i="5"/>
  <c r="G2215" i="5" s="1"/>
  <c r="E2214" i="5"/>
  <c r="G2214" i="5" s="1"/>
  <c r="E2213" i="5"/>
  <c r="G2213" i="5" s="1"/>
  <c r="E2212" i="5"/>
  <c r="G2212" i="5" s="1"/>
  <c r="E2211" i="5"/>
  <c r="G2211" i="5" s="1"/>
  <c r="E2210" i="5"/>
  <c r="G2210" i="5" s="1"/>
  <c r="E2209" i="5"/>
  <c r="G2209" i="5" s="1"/>
  <c r="E2208" i="5"/>
  <c r="G2208" i="5" s="1"/>
  <c r="E2207" i="5"/>
  <c r="G2207" i="5" s="1"/>
  <c r="E2206" i="5"/>
  <c r="G2206" i="5" s="1"/>
  <c r="E2205" i="5"/>
  <c r="G2205" i="5" s="1"/>
  <c r="E2204" i="5"/>
  <c r="G2204" i="5" s="1"/>
  <c r="E2203" i="5"/>
  <c r="G2203" i="5" s="1"/>
  <c r="E2202" i="5"/>
  <c r="G2202" i="5" s="1"/>
  <c r="E2201" i="5"/>
  <c r="G2201" i="5" s="1"/>
  <c r="E2200" i="5"/>
  <c r="G2200" i="5" s="1"/>
  <c r="E2199" i="5"/>
  <c r="G2199" i="5" s="1"/>
  <c r="E2198" i="5"/>
  <c r="G2198" i="5" s="1"/>
  <c r="E2197" i="5"/>
  <c r="G2197" i="5" s="1"/>
  <c r="E2196" i="5"/>
  <c r="G2196" i="5" s="1"/>
  <c r="E2195" i="5"/>
  <c r="G2195" i="5" s="1"/>
  <c r="E2194" i="5"/>
  <c r="G2194" i="5" s="1"/>
  <c r="E2193" i="5"/>
  <c r="G2193" i="5" s="1"/>
  <c r="E2192" i="5"/>
  <c r="G2192" i="5" s="1"/>
  <c r="E2191" i="5"/>
  <c r="G2191" i="5" s="1"/>
  <c r="E2190" i="5"/>
  <c r="G2190" i="5" s="1"/>
  <c r="E2189" i="5"/>
  <c r="G2189" i="5" s="1"/>
  <c r="E2188" i="5"/>
  <c r="G2188" i="5" s="1"/>
  <c r="E2187" i="5"/>
  <c r="G2187" i="5" s="1"/>
  <c r="E2186" i="5"/>
  <c r="G2186" i="5" s="1"/>
  <c r="E2185" i="5"/>
  <c r="G2185" i="5" s="1"/>
  <c r="E2184" i="5"/>
  <c r="G2184" i="5" s="1"/>
  <c r="E2183" i="5"/>
  <c r="G2183" i="5" s="1"/>
  <c r="E2182" i="5"/>
  <c r="G2182" i="5" s="1"/>
  <c r="E2181" i="5"/>
  <c r="G2181" i="5" s="1"/>
  <c r="E2180" i="5"/>
  <c r="G2180" i="5" s="1"/>
  <c r="E2179" i="5"/>
  <c r="G2179" i="5" s="1"/>
  <c r="E2178" i="5"/>
  <c r="G2178" i="5" s="1"/>
  <c r="E2177" i="5"/>
  <c r="G2177" i="5" s="1"/>
  <c r="E2176" i="5"/>
  <c r="G2176" i="5" s="1"/>
  <c r="E2175" i="5"/>
  <c r="G2175" i="5" s="1"/>
  <c r="E2174" i="5"/>
  <c r="G2174" i="5" s="1"/>
  <c r="E2173" i="5"/>
  <c r="G2173" i="5" s="1"/>
  <c r="E2172" i="5"/>
  <c r="G2172" i="5" s="1"/>
  <c r="E2171" i="5"/>
  <c r="G2171" i="5" s="1"/>
  <c r="E2170" i="5"/>
  <c r="G2170" i="5" s="1"/>
  <c r="E2169" i="5"/>
  <c r="G2169" i="5" s="1"/>
  <c r="E2168" i="5"/>
  <c r="G2168" i="5" s="1"/>
  <c r="E2167" i="5"/>
  <c r="G2167" i="5" s="1"/>
  <c r="E2166" i="5"/>
  <c r="G2166" i="5" s="1"/>
  <c r="E2165" i="5"/>
  <c r="G2165" i="5" s="1"/>
  <c r="E2164" i="5"/>
  <c r="G2164" i="5" s="1"/>
  <c r="E2163" i="5"/>
  <c r="G2163" i="5" s="1"/>
  <c r="E2162" i="5"/>
  <c r="G2162" i="5" s="1"/>
  <c r="E2161" i="5"/>
  <c r="G2161" i="5" s="1"/>
  <c r="E2160" i="5"/>
  <c r="G2160" i="5" s="1"/>
  <c r="E2159" i="5"/>
  <c r="G2159" i="5" s="1"/>
  <c r="E2158" i="5"/>
  <c r="G2158" i="5" s="1"/>
  <c r="E2157" i="5"/>
  <c r="G2157" i="5" s="1"/>
  <c r="E2156" i="5"/>
  <c r="G2156" i="5" s="1"/>
  <c r="E2155" i="5"/>
  <c r="G2155" i="5" s="1"/>
  <c r="E2154" i="5"/>
  <c r="G2154" i="5" s="1"/>
  <c r="E2153" i="5"/>
  <c r="G2153" i="5" s="1"/>
  <c r="E2152" i="5"/>
  <c r="G2152" i="5" s="1"/>
  <c r="E2151" i="5"/>
  <c r="G2151" i="5" s="1"/>
  <c r="E2150" i="5"/>
  <c r="G2150" i="5" s="1"/>
  <c r="E2149" i="5"/>
  <c r="G2149" i="5" s="1"/>
  <c r="E2148" i="5"/>
  <c r="G2148" i="5" s="1"/>
  <c r="E2147" i="5"/>
  <c r="G2147" i="5" s="1"/>
  <c r="E2146" i="5"/>
  <c r="G2146" i="5" s="1"/>
  <c r="E2145" i="5"/>
  <c r="G2145" i="5" s="1"/>
  <c r="E2144" i="5"/>
  <c r="G2144" i="5" s="1"/>
  <c r="E2143" i="5"/>
  <c r="G2143" i="5" s="1"/>
  <c r="E2142" i="5"/>
  <c r="G2142" i="5" s="1"/>
  <c r="E2141" i="5"/>
  <c r="G2141" i="5" s="1"/>
  <c r="E2140" i="5"/>
  <c r="G2140" i="5" s="1"/>
  <c r="E2139" i="5"/>
  <c r="G2139" i="5" s="1"/>
  <c r="E2138" i="5"/>
  <c r="G2138" i="5" s="1"/>
  <c r="E2137" i="5"/>
  <c r="G2137" i="5" s="1"/>
  <c r="E2136" i="5"/>
  <c r="G2136" i="5" s="1"/>
  <c r="E2135" i="5"/>
  <c r="G2135" i="5" s="1"/>
  <c r="E2134" i="5"/>
  <c r="G2134" i="5" s="1"/>
  <c r="E2133" i="5"/>
  <c r="G2133" i="5" s="1"/>
  <c r="E2132" i="5"/>
  <c r="G2132" i="5" s="1"/>
  <c r="E2131" i="5"/>
  <c r="G2131" i="5" s="1"/>
  <c r="E2130" i="5"/>
  <c r="G2130" i="5" s="1"/>
  <c r="E2129" i="5"/>
  <c r="G2129" i="5" s="1"/>
  <c r="E2128" i="5"/>
  <c r="G2128" i="5" s="1"/>
  <c r="E2127" i="5"/>
  <c r="G2127" i="5" s="1"/>
  <c r="E2126" i="5"/>
  <c r="G2126" i="5" s="1"/>
  <c r="E2125" i="5"/>
  <c r="G2125" i="5" s="1"/>
  <c r="E2124" i="5"/>
  <c r="G2124" i="5" s="1"/>
  <c r="E2123" i="5"/>
  <c r="G2123" i="5" s="1"/>
  <c r="E2122" i="5"/>
  <c r="G2122" i="5" s="1"/>
  <c r="E2121" i="5"/>
  <c r="G2121" i="5" s="1"/>
  <c r="E2120" i="5"/>
  <c r="G2120" i="5" s="1"/>
  <c r="E2119" i="5"/>
  <c r="G2119" i="5" s="1"/>
  <c r="E2118" i="5"/>
  <c r="G2118" i="5" s="1"/>
  <c r="E2117" i="5"/>
  <c r="G2117" i="5" s="1"/>
  <c r="E2116" i="5"/>
  <c r="G2116" i="5" s="1"/>
  <c r="E2115" i="5"/>
  <c r="G2115" i="5" s="1"/>
  <c r="E2114" i="5"/>
  <c r="G2114" i="5" s="1"/>
  <c r="E2113" i="5"/>
  <c r="G2113" i="5" s="1"/>
  <c r="E2112" i="5"/>
  <c r="G2112" i="5" s="1"/>
  <c r="E2111" i="5"/>
  <c r="G2111" i="5" s="1"/>
  <c r="E2110" i="5"/>
  <c r="G2110" i="5" s="1"/>
  <c r="E2109" i="5"/>
  <c r="G2109" i="5" s="1"/>
  <c r="E2108" i="5"/>
  <c r="G2108" i="5" s="1"/>
  <c r="E2107" i="5"/>
  <c r="G2107" i="5" s="1"/>
  <c r="E2106" i="5"/>
  <c r="G2106" i="5" s="1"/>
  <c r="E2105" i="5"/>
  <c r="G2105" i="5" s="1"/>
  <c r="E2104" i="5"/>
  <c r="G2104" i="5" s="1"/>
  <c r="E2103" i="5"/>
  <c r="G2103" i="5" s="1"/>
  <c r="E2102" i="5"/>
  <c r="G2102" i="5" s="1"/>
  <c r="E2101" i="5"/>
  <c r="G2101" i="5" s="1"/>
  <c r="E2100" i="5"/>
  <c r="G2100" i="5" s="1"/>
  <c r="E2099" i="5"/>
  <c r="G2099" i="5" s="1"/>
  <c r="E2098" i="5"/>
  <c r="G2098" i="5" s="1"/>
  <c r="E2097" i="5"/>
  <c r="G2097" i="5" s="1"/>
  <c r="E2096" i="5"/>
  <c r="G2096" i="5" s="1"/>
  <c r="E2095" i="5"/>
  <c r="G2095" i="5" s="1"/>
  <c r="E2094" i="5"/>
  <c r="G2094" i="5" s="1"/>
  <c r="E2093" i="5"/>
  <c r="G2093" i="5" s="1"/>
  <c r="E2092" i="5"/>
  <c r="G2092" i="5" s="1"/>
  <c r="E2091" i="5"/>
  <c r="G2091" i="5" s="1"/>
  <c r="E2090" i="5"/>
  <c r="G2090" i="5" s="1"/>
  <c r="E2089" i="5"/>
  <c r="G2089" i="5" s="1"/>
  <c r="E2088" i="5"/>
  <c r="G2088" i="5" s="1"/>
  <c r="E2087" i="5"/>
  <c r="G2087" i="5" s="1"/>
  <c r="E2086" i="5"/>
  <c r="G2086" i="5" s="1"/>
  <c r="E2085" i="5"/>
  <c r="G2085" i="5" s="1"/>
  <c r="E2084" i="5"/>
  <c r="G2084" i="5" s="1"/>
  <c r="E2083" i="5"/>
  <c r="G2083" i="5" s="1"/>
  <c r="E2082" i="5"/>
  <c r="G2082" i="5" s="1"/>
  <c r="E2081" i="5"/>
  <c r="G2081" i="5" s="1"/>
  <c r="E2080" i="5"/>
  <c r="G2080" i="5" s="1"/>
  <c r="E2079" i="5"/>
  <c r="G2079" i="5" s="1"/>
  <c r="E2078" i="5"/>
  <c r="G2078" i="5" s="1"/>
  <c r="E2077" i="5"/>
  <c r="G2077" i="5" s="1"/>
  <c r="E2076" i="5"/>
  <c r="G2076" i="5" s="1"/>
  <c r="E2075" i="5"/>
  <c r="G2075" i="5" s="1"/>
  <c r="E2074" i="5"/>
  <c r="G2074" i="5" s="1"/>
  <c r="E2073" i="5"/>
  <c r="G2073" i="5" s="1"/>
  <c r="E2072" i="5"/>
  <c r="G2072" i="5" s="1"/>
  <c r="E2071" i="5"/>
  <c r="G2071" i="5" s="1"/>
  <c r="E2070" i="5"/>
  <c r="G2070" i="5" s="1"/>
  <c r="E2069" i="5"/>
  <c r="G2069" i="5" s="1"/>
  <c r="E2068" i="5"/>
  <c r="G2068" i="5" s="1"/>
  <c r="E2067" i="5"/>
  <c r="G2067" i="5" s="1"/>
  <c r="E2066" i="5"/>
  <c r="G2066" i="5" s="1"/>
  <c r="E2065" i="5"/>
  <c r="G2065" i="5" s="1"/>
  <c r="E2064" i="5"/>
  <c r="G2064" i="5" s="1"/>
  <c r="E2063" i="5"/>
  <c r="G2063" i="5" s="1"/>
  <c r="E2062" i="5"/>
  <c r="G2062" i="5" s="1"/>
  <c r="E2061" i="5"/>
  <c r="G2061" i="5" s="1"/>
  <c r="E2060" i="5"/>
  <c r="G2060" i="5" s="1"/>
  <c r="E2059" i="5"/>
  <c r="G2059" i="5" s="1"/>
  <c r="E2058" i="5"/>
  <c r="G2058" i="5" s="1"/>
  <c r="E2057" i="5"/>
  <c r="G2057" i="5" s="1"/>
  <c r="E2056" i="5"/>
  <c r="G2056" i="5" s="1"/>
  <c r="E2055" i="5"/>
  <c r="G2055" i="5" s="1"/>
  <c r="E2054" i="5"/>
  <c r="G2054" i="5" s="1"/>
  <c r="E2053" i="5"/>
  <c r="G2053" i="5" s="1"/>
  <c r="E2052" i="5"/>
  <c r="G2052" i="5" s="1"/>
  <c r="E2051" i="5"/>
  <c r="G2051" i="5" s="1"/>
  <c r="E2050" i="5"/>
  <c r="G2050" i="5" s="1"/>
  <c r="E2049" i="5"/>
  <c r="G2049" i="5" s="1"/>
  <c r="E2048" i="5"/>
  <c r="G2048" i="5" s="1"/>
  <c r="E2047" i="5"/>
  <c r="G2047" i="5" s="1"/>
  <c r="E2046" i="5"/>
  <c r="G2046" i="5" s="1"/>
  <c r="E2045" i="5"/>
  <c r="G2045" i="5" s="1"/>
  <c r="E2044" i="5"/>
  <c r="G2044" i="5" s="1"/>
  <c r="E2043" i="5"/>
  <c r="G2043" i="5" s="1"/>
  <c r="E2042" i="5"/>
  <c r="G2042" i="5" s="1"/>
  <c r="E2041" i="5"/>
  <c r="G2041" i="5" s="1"/>
  <c r="E2040" i="5"/>
  <c r="G2040" i="5" s="1"/>
  <c r="E2039" i="5"/>
  <c r="G2039" i="5" s="1"/>
  <c r="E2038" i="5"/>
  <c r="G2038" i="5" s="1"/>
  <c r="E2037" i="5"/>
  <c r="G2037" i="5" s="1"/>
  <c r="E2036" i="5"/>
  <c r="G2036" i="5" s="1"/>
  <c r="E2035" i="5"/>
  <c r="G2035" i="5" s="1"/>
  <c r="E2034" i="5"/>
  <c r="G2034" i="5" s="1"/>
  <c r="E2033" i="5"/>
  <c r="G2033" i="5" s="1"/>
  <c r="E2032" i="5"/>
  <c r="G2032" i="5" s="1"/>
  <c r="E2031" i="5"/>
  <c r="G2031" i="5" s="1"/>
  <c r="E2030" i="5"/>
  <c r="G2030" i="5" s="1"/>
  <c r="E2029" i="5"/>
  <c r="G2029" i="5" s="1"/>
  <c r="E2028" i="5"/>
  <c r="G2028" i="5" s="1"/>
  <c r="E2027" i="5"/>
  <c r="G2027" i="5" s="1"/>
  <c r="E2026" i="5"/>
  <c r="G2026" i="5" s="1"/>
  <c r="E2025" i="5"/>
  <c r="G2025" i="5" s="1"/>
  <c r="E2024" i="5"/>
  <c r="G2024" i="5" s="1"/>
  <c r="E2023" i="5"/>
  <c r="G2023" i="5" s="1"/>
  <c r="E2022" i="5"/>
  <c r="G2022" i="5" s="1"/>
  <c r="E2021" i="5"/>
  <c r="G2021" i="5" s="1"/>
  <c r="E2020" i="5"/>
  <c r="G2020" i="5" s="1"/>
  <c r="E2019" i="5"/>
  <c r="G2019" i="5" s="1"/>
  <c r="E2018" i="5"/>
  <c r="G2018" i="5" s="1"/>
  <c r="E2017" i="5"/>
  <c r="G2017" i="5" s="1"/>
  <c r="E2016" i="5"/>
  <c r="G2016" i="5" s="1"/>
  <c r="E2015" i="5"/>
  <c r="G2015" i="5" s="1"/>
  <c r="E2014" i="5"/>
  <c r="G2014" i="5" s="1"/>
  <c r="E2013" i="5"/>
  <c r="G2013" i="5" s="1"/>
  <c r="E2012" i="5"/>
  <c r="G2012" i="5" s="1"/>
  <c r="E2011" i="5"/>
  <c r="G2011" i="5" s="1"/>
  <c r="E2010" i="5"/>
  <c r="G2010" i="5" s="1"/>
  <c r="E2009" i="5"/>
  <c r="G2009" i="5" s="1"/>
  <c r="E2008" i="5"/>
  <c r="G2008" i="5" s="1"/>
  <c r="E2007" i="5"/>
  <c r="G2007" i="5" s="1"/>
  <c r="E2006" i="5"/>
  <c r="G2006" i="5" s="1"/>
  <c r="E2005" i="5"/>
  <c r="G2005" i="5" s="1"/>
  <c r="E2004" i="5"/>
  <c r="G2004" i="5" s="1"/>
  <c r="E2003" i="5"/>
  <c r="G2003" i="5" s="1"/>
  <c r="E2002" i="5"/>
  <c r="G2002" i="5" s="1"/>
  <c r="E2001" i="5"/>
  <c r="G2001" i="5" s="1"/>
  <c r="E2000" i="5"/>
  <c r="G2000" i="5" s="1"/>
  <c r="E1999" i="5"/>
  <c r="G1999" i="5" s="1"/>
  <c r="E1998" i="5"/>
  <c r="G1998" i="5" s="1"/>
  <c r="E1997" i="5"/>
  <c r="G1997" i="5" s="1"/>
  <c r="E1996" i="5"/>
  <c r="G1996" i="5" s="1"/>
  <c r="E1995" i="5"/>
  <c r="G1995" i="5" s="1"/>
  <c r="E1994" i="5"/>
  <c r="G1994" i="5" s="1"/>
  <c r="E1993" i="5"/>
  <c r="G1993" i="5" s="1"/>
  <c r="E1992" i="5"/>
  <c r="G1992" i="5" s="1"/>
  <c r="E1991" i="5"/>
  <c r="G1991" i="5" s="1"/>
  <c r="E1990" i="5"/>
  <c r="G1990" i="5" s="1"/>
  <c r="E1989" i="5"/>
  <c r="G1989" i="5" s="1"/>
  <c r="E1988" i="5"/>
  <c r="G1988" i="5" s="1"/>
  <c r="E1987" i="5"/>
  <c r="G1987" i="5" s="1"/>
  <c r="E1986" i="5"/>
  <c r="G1986" i="5" s="1"/>
  <c r="E1985" i="5"/>
  <c r="G1985" i="5" s="1"/>
  <c r="E1984" i="5"/>
  <c r="G1984" i="5" s="1"/>
  <c r="E1983" i="5"/>
  <c r="G1983" i="5" s="1"/>
  <c r="E1982" i="5"/>
  <c r="G1982" i="5" s="1"/>
  <c r="E1981" i="5"/>
  <c r="G1981" i="5" s="1"/>
  <c r="E1980" i="5"/>
  <c r="G1980" i="5" s="1"/>
  <c r="E1979" i="5"/>
  <c r="G1979" i="5" s="1"/>
  <c r="E1978" i="5"/>
  <c r="G1978" i="5" s="1"/>
  <c r="E1977" i="5"/>
  <c r="G1977" i="5" s="1"/>
  <c r="E1976" i="5"/>
  <c r="G1976" i="5" s="1"/>
  <c r="E1975" i="5"/>
  <c r="G1975" i="5" s="1"/>
  <c r="E1974" i="5"/>
  <c r="G1974" i="5" s="1"/>
  <c r="E1973" i="5"/>
  <c r="G1973" i="5" s="1"/>
  <c r="E1972" i="5"/>
  <c r="G1972" i="5" s="1"/>
  <c r="E1971" i="5"/>
  <c r="G1971" i="5" s="1"/>
  <c r="E1970" i="5"/>
  <c r="G1970" i="5" s="1"/>
  <c r="E1969" i="5"/>
  <c r="G1969" i="5" s="1"/>
  <c r="E1968" i="5"/>
  <c r="G1968" i="5" s="1"/>
  <c r="E1967" i="5"/>
  <c r="G1967" i="5" s="1"/>
  <c r="E1966" i="5"/>
  <c r="G1966" i="5" s="1"/>
  <c r="E1965" i="5"/>
  <c r="G1965" i="5" s="1"/>
  <c r="E1964" i="5"/>
  <c r="G1964" i="5" s="1"/>
  <c r="E1963" i="5"/>
  <c r="G1963" i="5" s="1"/>
  <c r="E1962" i="5"/>
  <c r="G1962" i="5" s="1"/>
  <c r="E1961" i="5"/>
  <c r="G1961" i="5" s="1"/>
  <c r="E1960" i="5"/>
  <c r="G1960" i="5" s="1"/>
  <c r="E1959" i="5"/>
  <c r="G1959" i="5" s="1"/>
  <c r="E1958" i="5"/>
  <c r="G1958" i="5" s="1"/>
  <c r="E1957" i="5"/>
  <c r="G1957" i="5" s="1"/>
  <c r="E1956" i="5"/>
  <c r="G1956" i="5" s="1"/>
  <c r="E1955" i="5"/>
  <c r="G1955" i="5" s="1"/>
  <c r="E1954" i="5"/>
  <c r="G1954" i="5" s="1"/>
  <c r="E1953" i="5"/>
  <c r="G1953" i="5" s="1"/>
  <c r="E1952" i="5"/>
  <c r="G1952" i="5" s="1"/>
  <c r="E1951" i="5"/>
  <c r="G1951" i="5" s="1"/>
  <c r="E1950" i="5"/>
  <c r="G1950" i="5" s="1"/>
  <c r="E1949" i="5"/>
  <c r="G1949" i="5" s="1"/>
  <c r="E1948" i="5"/>
  <c r="G1948" i="5" s="1"/>
  <c r="E1947" i="5"/>
  <c r="G1947" i="5" s="1"/>
  <c r="E1946" i="5"/>
  <c r="G1946" i="5" s="1"/>
  <c r="E1945" i="5"/>
  <c r="G1945" i="5" s="1"/>
  <c r="E1944" i="5"/>
  <c r="G1944" i="5" s="1"/>
  <c r="E1943" i="5"/>
  <c r="G1943" i="5" s="1"/>
  <c r="E1942" i="5"/>
  <c r="G1942" i="5" s="1"/>
  <c r="E1941" i="5"/>
  <c r="G1941" i="5" s="1"/>
  <c r="E1940" i="5"/>
  <c r="G1940" i="5" s="1"/>
  <c r="E1939" i="5"/>
  <c r="G1939" i="5" s="1"/>
  <c r="E1938" i="5"/>
  <c r="G1938" i="5" s="1"/>
  <c r="E1937" i="5"/>
  <c r="G1937" i="5" s="1"/>
  <c r="E1936" i="5"/>
  <c r="G1936" i="5" s="1"/>
  <c r="E1935" i="5"/>
  <c r="G1935" i="5" s="1"/>
  <c r="E1934" i="5"/>
  <c r="G1934" i="5" s="1"/>
  <c r="E1933" i="5"/>
  <c r="G1933" i="5" s="1"/>
  <c r="E1932" i="5"/>
  <c r="G1932" i="5" s="1"/>
  <c r="E1931" i="5"/>
  <c r="G1931" i="5" s="1"/>
  <c r="E1930" i="5"/>
  <c r="G1930" i="5" s="1"/>
  <c r="E1929" i="5"/>
  <c r="G1929" i="5" s="1"/>
  <c r="E1928" i="5"/>
  <c r="G1928" i="5" s="1"/>
  <c r="E1927" i="5"/>
  <c r="G1927" i="5" s="1"/>
  <c r="E1926" i="5"/>
  <c r="G1926" i="5" s="1"/>
  <c r="E1925" i="5"/>
  <c r="G1925" i="5" s="1"/>
  <c r="E1924" i="5"/>
  <c r="G1924" i="5" s="1"/>
  <c r="E1923" i="5"/>
  <c r="G1923" i="5" s="1"/>
  <c r="E1922" i="5"/>
  <c r="G1922" i="5" s="1"/>
  <c r="E1921" i="5"/>
  <c r="G1921" i="5" s="1"/>
  <c r="E1920" i="5"/>
  <c r="G1920" i="5" s="1"/>
  <c r="E1919" i="5"/>
  <c r="G1919" i="5" s="1"/>
  <c r="E1918" i="5"/>
  <c r="G1918" i="5" s="1"/>
  <c r="E1917" i="5"/>
  <c r="G1917" i="5" s="1"/>
  <c r="E1916" i="5"/>
  <c r="G1916" i="5" s="1"/>
  <c r="E1915" i="5"/>
  <c r="G1915" i="5" s="1"/>
  <c r="E1914" i="5"/>
  <c r="G1914" i="5" s="1"/>
  <c r="E1913" i="5"/>
  <c r="G1913" i="5" s="1"/>
  <c r="E1912" i="5"/>
  <c r="G1912" i="5" s="1"/>
  <c r="E1911" i="5"/>
  <c r="G1911" i="5" s="1"/>
  <c r="E1910" i="5"/>
  <c r="G1910" i="5" s="1"/>
  <c r="E1909" i="5"/>
  <c r="G1909" i="5" s="1"/>
  <c r="E1908" i="5"/>
  <c r="G1908" i="5" s="1"/>
  <c r="E1907" i="5"/>
  <c r="G1907" i="5" s="1"/>
  <c r="E1906" i="5"/>
  <c r="G1906" i="5" s="1"/>
  <c r="E1905" i="5"/>
  <c r="G1905" i="5" s="1"/>
  <c r="E1904" i="5"/>
  <c r="G1904" i="5" s="1"/>
  <c r="E1903" i="5"/>
  <c r="G1903" i="5" s="1"/>
  <c r="E1902" i="5"/>
  <c r="G1902" i="5" s="1"/>
  <c r="E1901" i="5"/>
  <c r="G1901" i="5" s="1"/>
  <c r="E1900" i="5"/>
  <c r="G1900" i="5" s="1"/>
  <c r="E1899" i="5"/>
  <c r="G1899" i="5" s="1"/>
  <c r="E1898" i="5"/>
  <c r="G1898" i="5" s="1"/>
  <c r="E1897" i="5"/>
  <c r="G1897" i="5" s="1"/>
  <c r="E1896" i="5"/>
  <c r="G1896" i="5" s="1"/>
  <c r="E1895" i="5"/>
  <c r="G1895" i="5" s="1"/>
  <c r="E1894" i="5"/>
  <c r="G1894" i="5" s="1"/>
  <c r="E1893" i="5"/>
  <c r="G1893" i="5" s="1"/>
  <c r="E1892" i="5"/>
  <c r="G1892" i="5" s="1"/>
  <c r="E1891" i="5"/>
  <c r="G1891" i="5" s="1"/>
  <c r="E1890" i="5"/>
  <c r="G1890" i="5" s="1"/>
  <c r="E1889" i="5"/>
  <c r="G1889" i="5" s="1"/>
  <c r="E1888" i="5"/>
  <c r="G1888" i="5" s="1"/>
  <c r="E1887" i="5"/>
  <c r="G1887" i="5" s="1"/>
  <c r="E1886" i="5"/>
  <c r="G1886" i="5" s="1"/>
  <c r="E1885" i="5"/>
  <c r="G1885" i="5" s="1"/>
  <c r="E1884" i="5"/>
  <c r="G1884" i="5" s="1"/>
  <c r="E1883" i="5"/>
  <c r="G1883" i="5" s="1"/>
  <c r="E1882" i="5"/>
  <c r="G1882" i="5" s="1"/>
  <c r="E1881" i="5"/>
  <c r="G1881" i="5" s="1"/>
  <c r="E1880" i="5"/>
  <c r="G1880" i="5" s="1"/>
  <c r="E1879" i="5"/>
  <c r="G1879" i="5" s="1"/>
  <c r="E1878" i="5"/>
  <c r="G1878" i="5" s="1"/>
  <c r="E1877" i="5"/>
  <c r="G1877" i="5" s="1"/>
  <c r="E1876" i="5"/>
  <c r="G1876" i="5" s="1"/>
  <c r="E1875" i="5"/>
  <c r="G1875" i="5" s="1"/>
  <c r="E1874" i="5"/>
  <c r="G1874" i="5" s="1"/>
  <c r="E1873" i="5"/>
  <c r="G1873" i="5" s="1"/>
  <c r="E1872" i="5"/>
  <c r="G1872" i="5" s="1"/>
  <c r="E1871" i="5"/>
  <c r="G1871" i="5" s="1"/>
  <c r="E1870" i="5"/>
  <c r="G1870" i="5" s="1"/>
  <c r="E1869" i="5"/>
  <c r="G1869" i="5" s="1"/>
  <c r="E1868" i="5"/>
  <c r="G1868" i="5" s="1"/>
  <c r="E1867" i="5"/>
  <c r="G1867" i="5" s="1"/>
  <c r="E1866" i="5"/>
  <c r="G1866" i="5" s="1"/>
  <c r="E1865" i="5"/>
  <c r="G1865" i="5" s="1"/>
  <c r="E1864" i="5"/>
  <c r="G1864" i="5" s="1"/>
  <c r="E1863" i="5"/>
  <c r="G1863" i="5" s="1"/>
  <c r="E1862" i="5"/>
  <c r="G1862" i="5" s="1"/>
  <c r="E1861" i="5"/>
  <c r="G1861" i="5" s="1"/>
  <c r="E1860" i="5"/>
  <c r="G1860" i="5" s="1"/>
  <c r="E1859" i="5"/>
  <c r="G1859" i="5" s="1"/>
  <c r="E1858" i="5"/>
  <c r="G1858" i="5" s="1"/>
  <c r="E1857" i="5"/>
  <c r="G1857" i="5" s="1"/>
  <c r="E1856" i="5"/>
  <c r="G1856" i="5" s="1"/>
  <c r="E1855" i="5"/>
  <c r="G1855" i="5" s="1"/>
  <c r="E1854" i="5"/>
  <c r="G1854" i="5" s="1"/>
  <c r="E1853" i="5"/>
  <c r="G1853" i="5" s="1"/>
  <c r="E1852" i="5"/>
  <c r="G1852" i="5" s="1"/>
  <c r="E1851" i="5"/>
  <c r="G1851" i="5" s="1"/>
  <c r="E1850" i="5"/>
  <c r="G1850" i="5" s="1"/>
  <c r="E1849" i="5"/>
  <c r="G1849" i="5" s="1"/>
  <c r="E1848" i="5"/>
  <c r="G1848" i="5" s="1"/>
  <c r="E1847" i="5"/>
  <c r="G1847" i="5" s="1"/>
  <c r="E1846" i="5"/>
  <c r="G1846" i="5" s="1"/>
  <c r="E1845" i="5"/>
  <c r="G1845" i="5" s="1"/>
  <c r="E1844" i="5"/>
  <c r="G1844" i="5" s="1"/>
  <c r="E1843" i="5"/>
  <c r="G1843" i="5" s="1"/>
  <c r="E1842" i="5"/>
  <c r="G1842" i="5" s="1"/>
  <c r="E1841" i="5"/>
  <c r="G1841" i="5" s="1"/>
  <c r="E1840" i="5"/>
  <c r="G1840" i="5" s="1"/>
  <c r="E1839" i="5"/>
  <c r="G1839" i="5" s="1"/>
  <c r="E1838" i="5"/>
  <c r="G1838" i="5" s="1"/>
  <c r="E1837" i="5"/>
  <c r="G1837" i="5" s="1"/>
  <c r="E1836" i="5"/>
  <c r="G1836" i="5" s="1"/>
  <c r="E1835" i="5"/>
  <c r="G1835" i="5" s="1"/>
  <c r="E1834" i="5"/>
  <c r="G1834" i="5" s="1"/>
  <c r="E1833" i="5"/>
  <c r="G1833" i="5" s="1"/>
  <c r="E1832" i="5"/>
  <c r="G1832" i="5" s="1"/>
  <c r="E1831" i="5"/>
  <c r="G1831" i="5" s="1"/>
  <c r="E1830" i="5"/>
  <c r="G1830" i="5" s="1"/>
  <c r="E1829" i="5"/>
  <c r="G1829" i="5" s="1"/>
  <c r="E1828" i="5"/>
  <c r="G1828" i="5" s="1"/>
  <c r="E1827" i="5"/>
  <c r="G1827" i="5" s="1"/>
  <c r="E1826" i="5"/>
  <c r="G1826" i="5" s="1"/>
  <c r="E1825" i="5"/>
  <c r="G1825" i="5" s="1"/>
  <c r="E1824" i="5"/>
  <c r="G1824" i="5" s="1"/>
  <c r="E1823" i="5"/>
  <c r="G1823" i="5" s="1"/>
  <c r="E1822" i="5"/>
  <c r="G1822" i="5" s="1"/>
  <c r="E1821" i="5"/>
  <c r="G1821" i="5" s="1"/>
  <c r="E1820" i="5"/>
  <c r="G1820" i="5" s="1"/>
  <c r="E1819" i="5"/>
  <c r="G1819" i="5" s="1"/>
  <c r="E1818" i="5"/>
  <c r="G1818" i="5" s="1"/>
  <c r="E1817" i="5"/>
  <c r="G1817" i="5" s="1"/>
  <c r="E1816" i="5"/>
  <c r="G1816" i="5" s="1"/>
  <c r="E1815" i="5"/>
  <c r="G1815" i="5" s="1"/>
  <c r="E1814" i="5"/>
  <c r="G1814" i="5" s="1"/>
  <c r="E1813" i="5"/>
  <c r="G1813" i="5" s="1"/>
  <c r="E1812" i="5"/>
  <c r="G1812" i="5" s="1"/>
  <c r="E1811" i="5"/>
  <c r="G1811" i="5" s="1"/>
  <c r="E1810" i="5"/>
  <c r="G1810" i="5" s="1"/>
  <c r="E1809" i="5"/>
  <c r="G1809" i="5" s="1"/>
  <c r="E1808" i="5"/>
  <c r="G1808" i="5" s="1"/>
  <c r="E1807" i="5"/>
  <c r="G1807" i="5" s="1"/>
  <c r="E1806" i="5"/>
  <c r="G1806" i="5" s="1"/>
  <c r="E1805" i="5"/>
  <c r="G1805" i="5" s="1"/>
  <c r="E1804" i="5"/>
  <c r="G1804" i="5" s="1"/>
  <c r="E1803" i="5"/>
  <c r="G1803" i="5" s="1"/>
  <c r="E1802" i="5"/>
  <c r="G1802" i="5" s="1"/>
  <c r="E1801" i="5"/>
  <c r="G1801" i="5" s="1"/>
  <c r="E1800" i="5"/>
  <c r="G1800" i="5" s="1"/>
  <c r="E1799" i="5"/>
  <c r="G1799" i="5" s="1"/>
  <c r="E1798" i="5"/>
  <c r="G1798" i="5" s="1"/>
  <c r="E1797" i="5"/>
  <c r="G1797" i="5" s="1"/>
  <c r="E1796" i="5"/>
  <c r="G1796" i="5" s="1"/>
  <c r="E1795" i="5"/>
  <c r="G1795" i="5" s="1"/>
  <c r="E1794" i="5"/>
  <c r="G1794" i="5" s="1"/>
  <c r="E1793" i="5"/>
  <c r="G1793" i="5" s="1"/>
  <c r="E1792" i="5"/>
  <c r="G1792" i="5" s="1"/>
  <c r="E1791" i="5"/>
  <c r="G1791" i="5" s="1"/>
  <c r="E1790" i="5"/>
  <c r="G1790" i="5" s="1"/>
  <c r="E1789" i="5"/>
  <c r="G1789" i="5" s="1"/>
  <c r="E1788" i="5"/>
  <c r="G1788" i="5" s="1"/>
  <c r="E1787" i="5"/>
  <c r="G1787" i="5" s="1"/>
  <c r="E1786" i="5"/>
  <c r="G1786" i="5" s="1"/>
  <c r="E1785" i="5"/>
  <c r="G1785" i="5" s="1"/>
  <c r="E1784" i="5"/>
  <c r="G1784" i="5" s="1"/>
  <c r="E1783" i="5"/>
  <c r="G1783" i="5" s="1"/>
  <c r="E1782" i="5"/>
  <c r="G1782" i="5" s="1"/>
  <c r="E1781" i="5"/>
  <c r="G1781" i="5" s="1"/>
  <c r="E1780" i="5"/>
  <c r="G1780" i="5" s="1"/>
  <c r="E1779" i="5"/>
  <c r="G1779" i="5" s="1"/>
  <c r="E1778" i="5"/>
  <c r="G1778" i="5" s="1"/>
  <c r="E1777" i="5"/>
  <c r="G1777" i="5" s="1"/>
  <c r="E1776" i="5"/>
  <c r="G1776" i="5" s="1"/>
  <c r="E1775" i="5"/>
  <c r="G1775" i="5" s="1"/>
  <c r="E1774" i="5"/>
  <c r="G1774" i="5" s="1"/>
  <c r="E1773" i="5"/>
  <c r="G1773" i="5" s="1"/>
  <c r="E1772" i="5"/>
  <c r="G1772" i="5" s="1"/>
  <c r="E1771" i="5"/>
  <c r="G1771" i="5" s="1"/>
  <c r="E1770" i="5"/>
  <c r="G1770" i="5" s="1"/>
  <c r="E1769" i="5"/>
  <c r="G1769" i="5" s="1"/>
  <c r="E1768" i="5"/>
  <c r="G1768" i="5" s="1"/>
  <c r="E1767" i="5"/>
  <c r="G1767" i="5" s="1"/>
  <c r="E1766" i="5"/>
  <c r="G1766" i="5" s="1"/>
  <c r="E1765" i="5"/>
  <c r="G1765" i="5" s="1"/>
  <c r="E1764" i="5"/>
  <c r="G1764" i="5" s="1"/>
  <c r="E1763" i="5"/>
  <c r="G1763" i="5" s="1"/>
  <c r="E1762" i="5"/>
  <c r="G1762" i="5" s="1"/>
  <c r="E1761" i="5"/>
  <c r="G1761" i="5" s="1"/>
  <c r="E1760" i="5"/>
  <c r="G1760" i="5" s="1"/>
  <c r="E1759" i="5"/>
  <c r="G1759" i="5" s="1"/>
  <c r="E1758" i="5"/>
  <c r="G1758" i="5" s="1"/>
  <c r="E1757" i="5"/>
  <c r="G1757" i="5" s="1"/>
  <c r="E1756" i="5"/>
  <c r="G1756" i="5" s="1"/>
  <c r="E1755" i="5"/>
  <c r="G1755" i="5" s="1"/>
  <c r="E1754" i="5"/>
  <c r="G1754" i="5" s="1"/>
  <c r="E1753" i="5"/>
  <c r="G1753" i="5" s="1"/>
  <c r="E1752" i="5"/>
  <c r="G1752" i="5" s="1"/>
  <c r="E1751" i="5"/>
  <c r="G1751" i="5" s="1"/>
  <c r="E1750" i="5"/>
  <c r="G1750" i="5" s="1"/>
  <c r="E1749" i="5"/>
  <c r="G1749" i="5" s="1"/>
  <c r="E1748" i="5"/>
  <c r="G1748" i="5" s="1"/>
  <c r="E1747" i="5"/>
  <c r="G1747" i="5" s="1"/>
  <c r="E1746" i="5"/>
  <c r="G1746" i="5" s="1"/>
  <c r="E1745" i="5"/>
  <c r="G1745" i="5" s="1"/>
  <c r="E1744" i="5"/>
  <c r="G1744" i="5" s="1"/>
  <c r="E1743" i="5"/>
  <c r="G1743" i="5" s="1"/>
  <c r="E1742" i="5"/>
  <c r="G1742" i="5" s="1"/>
  <c r="E1741" i="5"/>
  <c r="G1741" i="5" s="1"/>
  <c r="E1740" i="5"/>
  <c r="G1740" i="5" s="1"/>
  <c r="E1739" i="5"/>
  <c r="G1739" i="5" s="1"/>
  <c r="E1738" i="5"/>
  <c r="G1738" i="5" s="1"/>
  <c r="E1737" i="5"/>
  <c r="G1737" i="5" s="1"/>
  <c r="E1736" i="5"/>
  <c r="G1736" i="5" s="1"/>
  <c r="E1735" i="5"/>
  <c r="G1735" i="5" s="1"/>
  <c r="E1734" i="5"/>
  <c r="G1734" i="5" s="1"/>
  <c r="E1733" i="5"/>
  <c r="G1733" i="5" s="1"/>
  <c r="E1732" i="5"/>
  <c r="G1732" i="5" s="1"/>
  <c r="E1731" i="5"/>
  <c r="G1731" i="5" s="1"/>
  <c r="E1730" i="5"/>
  <c r="G1730" i="5" s="1"/>
  <c r="E1729" i="5"/>
  <c r="G1729" i="5" s="1"/>
  <c r="E1728" i="5"/>
  <c r="G1728" i="5" s="1"/>
  <c r="E1727" i="5"/>
  <c r="G1727" i="5" s="1"/>
  <c r="E1726" i="5"/>
  <c r="G1726" i="5" s="1"/>
  <c r="E1725" i="5"/>
  <c r="G1725" i="5" s="1"/>
  <c r="E1724" i="5"/>
  <c r="G1724" i="5" s="1"/>
  <c r="E1723" i="5"/>
  <c r="G1723" i="5" s="1"/>
  <c r="E1722" i="5"/>
  <c r="G1722" i="5" s="1"/>
  <c r="E1721" i="5"/>
  <c r="G1721" i="5" s="1"/>
  <c r="E1720" i="5"/>
  <c r="G1720" i="5" s="1"/>
  <c r="E1719" i="5"/>
  <c r="G1719" i="5" s="1"/>
  <c r="E1718" i="5"/>
  <c r="G1718" i="5" s="1"/>
  <c r="E1717" i="5"/>
  <c r="G1717" i="5" s="1"/>
  <c r="E1716" i="5"/>
  <c r="G1716" i="5" s="1"/>
  <c r="E1715" i="5"/>
  <c r="G1715" i="5" s="1"/>
  <c r="E1714" i="5"/>
  <c r="G1714" i="5" s="1"/>
  <c r="E1713" i="5"/>
  <c r="G1713" i="5" s="1"/>
  <c r="E1712" i="5"/>
  <c r="G1712" i="5" s="1"/>
  <c r="E1711" i="5"/>
  <c r="G1711" i="5" s="1"/>
  <c r="E1710" i="5"/>
  <c r="G1710" i="5" s="1"/>
  <c r="E1709" i="5"/>
  <c r="G1709" i="5" s="1"/>
  <c r="E1708" i="5"/>
  <c r="G1708" i="5" s="1"/>
  <c r="E1707" i="5"/>
  <c r="G1707" i="5" s="1"/>
  <c r="E1706" i="5"/>
  <c r="G1706" i="5" s="1"/>
  <c r="E1705" i="5"/>
  <c r="G1705" i="5" s="1"/>
  <c r="E1704" i="5"/>
  <c r="G1704" i="5" s="1"/>
  <c r="E1703" i="5"/>
  <c r="G1703" i="5" s="1"/>
  <c r="E1702" i="5"/>
  <c r="G1702" i="5" s="1"/>
  <c r="E1701" i="5"/>
  <c r="G1701" i="5" s="1"/>
  <c r="E1700" i="5"/>
  <c r="G1700" i="5" s="1"/>
  <c r="E1699" i="5"/>
  <c r="G1699" i="5" s="1"/>
  <c r="E1698" i="5"/>
  <c r="G1698" i="5" s="1"/>
  <c r="E1697" i="5"/>
  <c r="G1697" i="5" s="1"/>
  <c r="E1696" i="5"/>
  <c r="G1696" i="5" s="1"/>
  <c r="E1695" i="5"/>
  <c r="G1695" i="5" s="1"/>
  <c r="E1694" i="5"/>
  <c r="G1694" i="5" s="1"/>
  <c r="E1693" i="5"/>
  <c r="G1693" i="5" s="1"/>
  <c r="E1692" i="5"/>
  <c r="G1692" i="5" s="1"/>
  <c r="E1691" i="5"/>
  <c r="G1691" i="5" s="1"/>
  <c r="E1690" i="5"/>
  <c r="G1690" i="5" s="1"/>
  <c r="E1689" i="5"/>
  <c r="G1689" i="5" s="1"/>
  <c r="E1688" i="5"/>
  <c r="G1688" i="5" s="1"/>
  <c r="E1687" i="5"/>
  <c r="G1687" i="5" s="1"/>
  <c r="E1686" i="5"/>
  <c r="G1686" i="5" s="1"/>
  <c r="E1685" i="5"/>
  <c r="G1685" i="5" s="1"/>
  <c r="E1684" i="5"/>
  <c r="G1684" i="5" s="1"/>
  <c r="E1683" i="5"/>
  <c r="G1683" i="5" s="1"/>
  <c r="E1682" i="5"/>
  <c r="G1682" i="5" s="1"/>
  <c r="E1681" i="5"/>
  <c r="G1681" i="5" s="1"/>
  <c r="E1680" i="5"/>
  <c r="G1680" i="5" s="1"/>
  <c r="E1679" i="5"/>
  <c r="G1679" i="5" s="1"/>
  <c r="E1678" i="5"/>
  <c r="G1678" i="5" s="1"/>
  <c r="E1677" i="5"/>
  <c r="G1677" i="5" s="1"/>
  <c r="E1676" i="5"/>
  <c r="G1676" i="5" s="1"/>
  <c r="E1675" i="5"/>
  <c r="G1675" i="5" s="1"/>
  <c r="E1674" i="5"/>
  <c r="G1674" i="5" s="1"/>
  <c r="E1673" i="5"/>
  <c r="G1673" i="5" s="1"/>
  <c r="E1672" i="5"/>
  <c r="G1672" i="5" s="1"/>
  <c r="E1671" i="5"/>
  <c r="G1671" i="5" s="1"/>
  <c r="E1670" i="5"/>
  <c r="G1670" i="5" s="1"/>
  <c r="E1669" i="5"/>
  <c r="G1669" i="5" s="1"/>
  <c r="E1668" i="5"/>
  <c r="G1668" i="5" s="1"/>
  <c r="E1667" i="5"/>
  <c r="G1667" i="5" s="1"/>
  <c r="E1666" i="5"/>
  <c r="G1666" i="5" s="1"/>
  <c r="E1665" i="5"/>
  <c r="G1665" i="5" s="1"/>
  <c r="E1664" i="5"/>
  <c r="G1664" i="5" s="1"/>
  <c r="E1663" i="5"/>
  <c r="G1663" i="5" s="1"/>
  <c r="E1662" i="5"/>
  <c r="G1662" i="5" s="1"/>
  <c r="E1661" i="5"/>
  <c r="G1661" i="5" s="1"/>
  <c r="E1660" i="5"/>
  <c r="G1660" i="5" s="1"/>
  <c r="E1659" i="5"/>
  <c r="G1659" i="5" s="1"/>
  <c r="E1658" i="5"/>
  <c r="G1658" i="5" s="1"/>
  <c r="E1657" i="5"/>
  <c r="G1657" i="5" s="1"/>
  <c r="E1656" i="5"/>
  <c r="G1656" i="5" s="1"/>
  <c r="E1655" i="5"/>
  <c r="G1655" i="5" s="1"/>
  <c r="E1654" i="5"/>
  <c r="G1654" i="5" s="1"/>
  <c r="E1653" i="5"/>
  <c r="G1653" i="5" s="1"/>
  <c r="E1652" i="5"/>
  <c r="G1652" i="5" s="1"/>
  <c r="E1651" i="5"/>
  <c r="G1651" i="5" s="1"/>
  <c r="E1650" i="5"/>
  <c r="G1650" i="5" s="1"/>
  <c r="E1649" i="5"/>
  <c r="G1649" i="5" s="1"/>
  <c r="E1648" i="5"/>
  <c r="G1648" i="5" s="1"/>
  <c r="E1647" i="5"/>
  <c r="G1647" i="5" s="1"/>
  <c r="E1646" i="5"/>
  <c r="G1646" i="5" s="1"/>
  <c r="E1645" i="5"/>
  <c r="G1645" i="5" s="1"/>
  <c r="E1644" i="5"/>
  <c r="G1644" i="5" s="1"/>
  <c r="E1643" i="5"/>
  <c r="G1643" i="5" s="1"/>
  <c r="E1642" i="5"/>
  <c r="G1642" i="5" s="1"/>
  <c r="E1641" i="5"/>
  <c r="G1641" i="5" s="1"/>
  <c r="E1640" i="5"/>
  <c r="G1640" i="5" s="1"/>
  <c r="E1639" i="5"/>
  <c r="G1639" i="5" s="1"/>
  <c r="E1638" i="5"/>
  <c r="G1638" i="5" s="1"/>
  <c r="E1637" i="5"/>
  <c r="G1637" i="5" s="1"/>
  <c r="E1636" i="5"/>
  <c r="G1636" i="5" s="1"/>
  <c r="E1635" i="5"/>
  <c r="G1635" i="5" s="1"/>
  <c r="E1634" i="5"/>
  <c r="G1634" i="5" s="1"/>
  <c r="E1633" i="5"/>
  <c r="G1633" i="5" s="1"/>
  <c r="E1632" i="5"/>
  <c r="G1632" i="5" s="1"/>
  <c r="E1631" i="5"/>
  <c r="G1631" i="5" s="1"/>
  <c r="E1630" i="5"/>
  <c r="G1630" i="5" s="1"/>
  <c r="E1629" i="5"/>
  <c r="G1629" i="5" s="1"/>
  <c r="E1628" i="5"/>
  <c r="G1628" i="5" s="1"/>
  <c r="E1627" i="5"/>
  <c r="G1627" i="5" s="1"/>
  <c r="E1626" i="5"/>
  <c r="G1626" i="5" s="1"/>
  <c r="E1625" i="5"/>
  <c r="G1625" i="5" s="1"/>
  <c r="E1624" i="5"/>
  <c r="G1624" i="5" s="1"/>
  <c r="E1623" i="5"/>
  <c r="G1623" i="5" s="1"/>
  <c r="E1622" i="5"/>
  <c r="G1622" i="5" s="1"/>
  <c r="E1621" i="5"/>
  <c r="G1621" i="5" s="1"/>
  <c r="E1620" i="5"/>
  <c r="G1620" i="5" s="1"/>
  <c r="E1619" i="5"/>
  <c r="G1619" i="5" s="1"/>
  <c r="E1618" i="5"/>
  <c r="G1618" i="5" s="1"/>
  <c r="E1617" i="5"/>
  <c r="G1617" i="5" s="1"/>
  <c r="E1616" i="5"/>
  <c r="G1616" i="5" s="1"/>
  <c r="E1615" i="5"/>
  <c r="G1615" i="5" s="1"/>
  <c r="E1614" i="5"/>
  <c r="G1614" i="5" s="1"/>
  <c r="E1613" i="5"/>
  <c r="G1613" i="5" s="1"/>
  <c r="E1612" i="5"/>
  <c r="G1612" i="5" s="1"/>
  <c r="E1611" i="5"/>
  <c r="G1611" i="5" s="1"/>
  <c r="E1610" i="5"/>
  <c r="G1610" i="5" s="1"/>
  <c r="E1609" i="5"/>
  <c r="G1609" i="5" s="1"/>
  <c r="E1608" i="5"/>
  <c r="G1608" i="5" s="1"/>
  <c r="E1607" i="5"/>
  <c r="G1607" i="5" s="1"/>
  <c r="E1606" i="5"/>
  <c r="G1606" i="5" s="1"/>
  <c r="E1605" i="5"/>
  <c r="G1605" i="5" s="1"/>
  <c r="E1604" i="5"/>
  <c r="G1604" i="5" s="1"/>
  <c r="E1603" i="5"/>
  <c r="G1603" i="5" s="1"/>
  <c r="E1602" i="5"/>
  <c r="G1602" i="5" s="1"/>
  <c r="E1601" i="5"/>
  <c r="G1601" i="5" s="1"/>
  <c r="E1600" i="5"/>
  <c r="G1600" i="5" s="1"/>
  <c r="E1599" i="5"/>
  <c r="G1599" i="5" s="1"/>
  <c r="E1598" i="5"/>
  <c r="G1598" i="5" s="1"/>
  <c r="E1597" i="5"/>
  <c r="G1597" i="5" s="1"/>
  <c r="E1596" i="5"/>
  <c r="G1596" i="5" s="1"/>
  <c r="E1595" i="5"/>
  <c r="G1595" i="5" s="1"/>
  <c r="E1594" i="5"/>
  <c r="G1594" i="5" s="1"/>
  <c r="E1593" i="5"/>
  <c r="G1593" i="5" s="1"/>
  <c r="E1592" i="5"/>
  <c r="G1592" i="5" s="1"/>
  <c r="E1591" i="5"/>
  <c r="G1591" i="5" s="1"/>
  <c r="E1590" i="5"/>
  <c r="G1590" i="5" s="1"/>
  <c r="E1589" i="5"/>
  <c r="G1589" i="5" s="1"/>
  <c r="E1588" i="5"/>
  <c r="G1588" i="5" s="1"/>
  <c r="E1587" i="5"/>
  <c r="G1587" i="5" s="1"/>
  <c r="E1586" i="5"/>
  <c r="G1586" i="5" s="1"/>
  <c r="E1585" i="5"/>
  <c r="G1585" i="5" s="1"/>
  <c r="E1584" i="5"/>
  <c r="G1584" i="5" s="1"/>
  <c r="E1583" i="5"/>
  <c r="G1583" i="5" s="1"/>
  <c r="E1582" i="5"/>
  <c r="G1582" i="5" s="1"/>
  <c r="E1581" i="5"/>
  <c r="G1581" i="5" s="1"/>
  <c r="E1580" i="5"/>
  <c r="G1580" i="5" s="1"/>
  <c r="E1579" i="5"/>
  <c r="G1579" i="5" s="1"/>
  <c r="E1578" i="5"/>
  <c r="G1578" i="5" s="1"/>
  <c r="E1577" i="5"/>
  <c r="G1577" i="5" s="1"/>
  <c r="E1576" i="5"/>
  <c r="G1576" i="5" s="1"/>
  <c r="E1575" i="5"/>
  <c r="G1575" i="5" s="1"/>
  <c r="E1574" i="5"/>
  <c r="G1574" i="5" s="1"/>
  <c r="E1573" i="5"/>
  <c r="G1573" i="5" s="1"/>
  <c r="E1572" i="5"/>
  <c r="G1572" i="5" s="1"/>
  <c r="E1571" i="5"/>
  <c r="G1571" i="5" s="1"/>
  <c r="E1570" i="5"/>
  <c r="G1570" i="5" s="1"/>
  <c r="E1569" i="5"/>
  <c r="G1569" i="5" s="1"/>
  <c r="E1568" i="5"/>
  <c r="G1568" i="5" s="1"/>
  <c r="E1567" i="5"/>
  <c r="G1567" i="5" s="1"/>
  <c r="E1566" i="5"/>
  <c r="G1566" i="5" s="1"/>
  <c r="E1565" i="5"/>
  <c r="G1565" i="5" s="1"/>
  <c r="E1564" i="5"/>
  <c r="G1564" i="5" s="1"/>
  <c r="E1563" i="5"/>
  <c r="G1563" i="5" s="1"/>
  <c r="E1562" i="5"/>
  <c r="G1562" i="5" s="1"/>
  <c r="E1561" i="5"/>
  <c r="G1561" i="5" s="1"/>
  <c r="E1560" i="5"/>
  <c r="G1560" i="5" s="1"/>
  <c r="E1559" i="5"/>
  <c r="G1559" i="5" s="1"/>
  <c r="E1558" i="5"/>
  <c r="G1558" i="5" s="1"/>
  <c r="E1557" i="5"/>
  <c r="G1557" i="5" s="1"/>
  <c r="E1556" i="5"/>
  <c r="G1556" i="5" s="1"/>
  <c r="E1555" i="5"/>
  <c r="G1555" i="5" s="1"/>
  <c r="E1554" i="5"/>
  <c r="G1554" i="5" s="1"/>
  <c r="E1553" i="5"/>
  <c r="G1553" i="5" s="1"/>
  <c r="E1552" i="5"/>
  <c r="G1552" i="5" s="1"/>
  <c r="E1551" i="5"/>
  <c r="G1551" i="5" s="1"/>
  <c r="E1550" i="5"/>
  <c r="G1550" i="5" s="1"/>
  <c r="E1549" i="5"/>
  <c r="G1549" i="5" s="1"/>
  <c r="E1548" i="5"/>
  <c r="G1548" i="5" s="1"/>
  <c r="E1547" i="5"/>
  <c r="G1547" i="5" s="1"/>
  <c r="E1546" i="5"/>
  <c r="G1546" i="5" s="1"/>
  <c r="E1545" i="5"/>
  <c r="G1545" i="5" s="1"/>
  <c r="E1544" i="5"/>
  <c r="G1544" i="5" s="1"/>
  <c r="E1543" i="5"/>
  <c r="G1543" i="5" s="1"/>
  <c r="E1542" i="5"/>
  <c r="G1542" i="5" s="1"/>
  <c r="E1541" i="5"/>
  <c r="G1541" i="5" s="1"/>
  <c r="E1540" i="5"/>
  <c r="G1540" i="5" s="1"/>
  <c r="E1539" i="5"/>
  <c r="G1539" i="5" s="1"/>
  <c r="E1538" i="5"/>
  <c r="G1538" i="5" s="1"/>
  <c r="E1537" i="5"/>
  <c r="G1537" i="5" s="1"/>
  <c r="E1536" i="5"/>
  <c r="G1536" i="5" s="1"/>
  <c r="E1535" i="5"/>
  <c r="G1535" i="5" s="1"/>
  <c r="E1534" i="5"/>
  <c r="G1534" i="5" s="1"/>
  <c r="E1533" i="5"/>
  <c r="G1533" i="5" s="1"/>
  <c r="E1532" i="5"/>
  <c r="G1532" i="5" s="1"/>
  <c r="E1531" i="5"/>
  <c r="G1531" i="5" s="1"/>
  <c r="E1530" i="5"/>
  <c r="G1530" i="5" s="1"/>
  <c r="E1529" i="5"/>
  <c r="G1529" i="5" s="1"/>
  <c r="E1528" i="5"/>
  <c r="G1528" i="5" s="1"/>
  <c r="E1527" i="5"/>
  <c r="G1527" i="5" s="1"/>
  <c r="E1526" i="5"/>
  <c r="G1526" i="5" s="1"/>
  <c r="E1525" i="5"/>
  <c r="G1525" i="5" s="1"/>
  <c r="E1524" i="5"/>
  <c r="G1524" i="5" s="1"/>
  <c r="E1523" i="5"/>
  <c r="G1523" i="5" s="1"/>
  <c r="E1522" i="5"/>
  <c r="G1522" i="5" s="1"/>
  <c r="E1521" i="5"/>
  <c r="G1521" i="5" s="1"/>
  <c r="E1520" i="5"/>
  <c r="G1520" i="5" s="1"/>
  <c r="E1519" i="5"/>
  <c r="G1519" i="5" s="1"/>
  <c r="E1518" i="5"/>
  <c r="G1518" i="5" s="1"/>
  <c r="E1517" i="5"/>
  <c r="G1517" i="5" s="1"/>
  <c r="E1516" i="5"/>
  <c r="G1516" i="5" s="1"/>
  <c r="E1515" i="5"/>
  <c r="G1515" i="5" s="1"/>
  <c r="E1514" i="5"/>
  <c r="G1514" i="5" s="1"/>
  <c r="E1513" i="5"/>
  <c r="G1513" i="5" s="1"/>
  <c r="E1512" i="5"/>
  <c r="G1512" i="5" s="1"/>
  <c r="E1511" i="5"/>
  <c r="G1511" i="5" s="1"/>
  <c r="E1510" i="5"/>
  <c r="G1510" i="5" s="1"/>
  <c r="E1509" i="5"/>
  <c r="G1509" i="5" s="1"/>
  <c r="E1508" i="5"/>
  <c r="G1508" i="5" s="1"/>
  <c r="E1507" i="5"/>
  <c r="G1507" i="5" s="1"/>
  <c r="E1506" i="5"/>
  <c r="G1506" i="5" s="1"/>
  <c r="E1505" i="5"/>
  <c r="G1505" i="5" s="1"/>
  <c r="E1504" i="5"/>
  <c r="G1504" i="5" s="1"/>
  <c r="E1503" i="5"/>
  <c r="G1503" i="5" s="1"/>
  <c r="E1502" i="5"/>
  <c r="G1502" i="5" s="1"/>
  <c r="E1501" i="5"/>
  <c r="G1501" i="5" s="1"/>
  <c r="E1500" i="5"/>
  <c r="G1500" i="5" s="1"/>
  <c r="E1499" i="5"/>
  <c r="G1499" i="5" s="1"/>
  <c r="E1498" i="5"/>
  <c r="G1498" i="5" s="1"/>
  <c r="E1497" i="5"/>
  <c r="G1497" i="5" s="1"/>
  <c r="E1496" i="5"/>
  <c r="G1496" i="5" s="1"/>
  <c r="E1495" i="5"/>
  <c r="G1495" i="5" s="1"/>
  <c r="E1494" i="5"/>
  <c r="G1494" i="5" s="1"/>
  <c r="E1493" i="5"/>
  <c r="G1493" i="5" s="1"/>
  <c r="E1492" i="5"/>
  <c r="G1492" i="5" s="1"/>
  <c r="E1491" i="5"/>
  <c r="G1491" i="5" s="1"/>
  <c r="E1490" i="5"/>
  <c r="G1490" i="5" s="1"/>
  <c r="E1489" i="5"/>
  <c r="G1489" i="5" s="1"/>
  <c r="E1488" i="5"/>
  <c r="G1488" i="5" s="1"/>
  <c r="E1487" i="5"/>
  <c r="G1487" i="5" s="1"/>
  <c r="E1486" i="5"/>
  <c r="G1486" i="5" s="1"/>
  <c r="E1485" i="5"/>
  <c r="G1485" i="5" s="1"/>
  <c r="E1484" i="5"/>
  <c r="G1484" i="5" s="1"/>
  <c r="E1483" i="5"/>
  <c r="G1483" i="5" s="1"/>
  <c r="E1482" i="5"/>
  <c r="G1482" i="5" s="1"/>
  <c r="E1481" i="5"/>
  <c r="G1481" i="5" s="1"/>
  <c r="E1480" i="5"/>
  <c r="G1480" i="5" s="1"/>
  <c r="E1479" i="5"/>
  <c r="G1479" i="5" s="1"/>
  <c r="E1478" i="5"/>
  <c r="G1478" i="5" s="1"/>
  <c r="E1477" i="5"/>
  <c r="G1477" i="5" s="1"/>
  <c r="E1476" i="5"/>
  <c r="G1476" i="5" s="1"/>
  <c r="E1475" i="5"/>
  <c r="G1475" i="5" s="1"/>
  <c r="E1474" i="5"/>
  <c r="G1474" i="5" s="1"/>
  <c r="E1473" i="5"/>
  <c r="G1473" i="5" s="1"/>
  <c r="E1472" i="5"/>
  <c r="G1472" i="5" s="1"/>
  <c r="E1471" i="5"/>
  <c r="G1471" i="5" s="1"/>
  <c r="E1470" i="5"/>
  <c r="G1470" i="5" s="1"/>
  <c r="E1469" i="5"/>
  <c r="G1469" i="5" s="1"/>
  <c r="E1468" i="5"/>
  <c r="G1468" i="5" s="1"/>
  <c r="E1467" i="5"/>
  <c r="G1467" i="5" s="1"/>
  <c r="E1466" i="5"/>
  <c r="G1466" i="5" s="1"/>
  <c r="E1465" i="5"/>
  <c r="G1465" i="5" s="1"/>
  <c r="E1464" i="5"/>
  <c r="G1464" i="5" s="1"/>
  <c r="E1463" i="5"/>
  <c r="G1463" i="5" s="1"/>
  <c r="E1462" i="5"/>
  <c r="G1462" i="5" s="1"/>
  <c r="E1461" i="5"/>
  <c r="G1461" i="5" s="1"/>
  <c r="E1460" i="5"/>
  <c r="G1460" i="5" s="1"/>
  <c r="E1459" i="5"/>
  <c r="G1459" i="5" s="1"/>
  <c r="E1458" i="5"/>
  <c r="G1458" i="5" s="1"/>
  <c r="E1457" i="5"/>
  <c r="G1457" i="5" s="1"/>
  <c r="E1456" i="5"/>
  <c r="G1456" i="5" s="1"/>
  <c r="E1455" i="5"/>
  <c r="G1455" i="5" s="1"/>
  <c r="E1454" i="5"/>
  <c r="G1454" i="5" s="1"/>
  <c r="E1453" i="5"/>
  <c r="G1453" i="5" s="1"/>
  <c r="E1452" i="5"/>
  <c r="G1452" i="5" s="1"/>
  <c r="E1451" i="5"/>
  <c r="G1451" i="5" s="1"/>
  <c r="E1450" i="5"/>
  <c r="G1450" i="5" s="1"/>
  <c r="E1449" i="5"/>
  <c r="G1449" i="5" s="1"/>
  <c r="E1448" i="5"/>
  <c r="G1448" i="5" s="1"/>
  <c r="E1447" i="5"/>
  <c r="G1447" i="5" s="1"/>
  <c r="E1446" i="5"/>
  <c r="G1446" i="5" s="1"/>
  <c r="E1445" i="5"/>
  <c r="G1445" i="5" s="1"/>
  <c r="E1444" i="5"/>
  <c r="G1444" i="5" s="1"/>
  <c r="E1443" i="5"/>
  <c r="G1443" i="5" s="1"/>
  <c r="E1442" i="5"/>
  <c r="G1442" i="5" s="1"/>
  <c r="E1441" i="5"/>
  <c r="G1441" i="5" s="1"/>
  <c r="E1440" i="5"/>
  <c r="G1440" i="5" s="1"/>
  <c r="E1439" i="5"/>
  <c r="G1439" i="5" s="1"/>
  <c r="E1438" i="5"/>
  <c r="G1438" i="5" s="1"/>
  <c r="E1437" i="5"/>
  <c r="G1437" i="5" s="1"/>
  <c r="E1436" i="5"/>
  <c r="G1436" i="5" s="1"/>
  <c r="E1435" i="5"/>
  <c r="G1435" i="5" s="1"/>
  <c r="E1434" i="5"/>
  <c r="G1434" i="5" s="1"/>
  <c r="E1433" i="5"/>
  <c r="G1433" i="5" s="1"/>
  <c r="E1432" i="5"/>
  <c r="G1432" i="5" s="1"/>
  <c r="E1431" i="5"/>
  <c r="G1431" i="5" s="1"/>
  <c r="E1430" i="5"/>
  <c r="G1430" i="5" s="1"/>
  <c r="E1429" i="5"/>
  <c r="G1429" i="5" s="1"/>
  <c r="E1428" i="5"/>
  <c r="G1428" i="5" s="1"/>
  <c r="E1427" i="5"/>
  <c r="G1427" i="5" s="1"/>
  <c r="E1426" i="5"/>
  <c r="G1426" i="5" s="1"/>
  <c r="E1425" i="5"/>
  <c r="G1425" i="5" s="1"/>
  <c r="E1424" i="5"/>
  <c r="G1424" i="5" s="1"/>
  <c r="E1423" i="5"/>
  <c r="G1423" i="5" s="1"/>
  <c r="E1422" i="5"/>
  <c r="G1422" i="5" s="1"/>
  <c r="E1421" i="5"/>
  <c r="G1421" i="5" s="1"/>
  <c r="E1420" i="5"/>
  <c r="G1420" i="5" s="1"/>
  <c r="E1419" i="5"/>
  <c r="G1419" i="5" s="1"/>
  <c r="E1418" i="5"/>
  <c r="G1418" i="5" s="1"/>
  <c r="E1417" i="5"/>
  <c r="G1417" i="5" s="1"/>
  <c r="E1416" i="5"/>
  <c r="G1416" i="5" s="1"/>
  <c r="E1415" i="5"/>
  <c r="G1415" i="5" s="1"/>
  <c r="E1414" i="5"/>
  <c r="G1414" i="5" s="1"/>
  <c r="E1413" i="5"/>
  <c r="G1413" i="5" s="1"/>
  <c r="E1412" i="5"/>
  <c r="G1412" i="5" s="1"/>
  <c r="E1411" i="5"/>
  <c r="G1411" i="5" s="1"/>
  <c r="E1410" i="5"/>
  <c r="G1410" i="5" s="1"/>
  <c r="E1409" i="5"/>
  <c r="G1409" i="5" s="1"/>
  <c r="E1408" i="5"/>
  <c r="G1408" i="5" s="1"/>
  <c r="E1407" i="5"/>
  <c r="G1407" i="5" s="1"/>
  <c r="E1406" i="5"/>
  <c r="G1406" i="5" s="1"/>
  <c r="E1405" i="5"/>
  <c r="G1405" i="5" s="1"/>
  <c r="E1404" i="5"/>
  <c r="G1404" i="5" s="1"/>
  <c r="E1403" i="5"/>
  <c r="G1403" i="5" s="1"/>
  <c r="E1402" i="5"/>
  <c r="G1402" i="5" s="1"/>
  <c r="E1401" i="5"/>
  <c r="G1401" i="5" s="1"/>
  <c r="E1400" i="5"/>
  <c r="G1400" i="5" s="1"/>
  <c r="E1399" i="5"/>
  <c r="G1399" i="5" s="1"/>
  <c r="E1398" i="5"/>
  <c r="G1398" i="5" s="1"/>
  <c r="E1397" i="5"/>
  <c r="G1397" i="5" s="1"/>
  <c r="E1396" i="5"/>
  <c r="G1396" i="5" s="1"/>
  <c r="E1395" i="5"/>
  <c r="G1395" i="5" s="1"/>
  <c r="E1394" i="5"/>
  <c r="G1394" i="5" s="1"/>
  <c r="E1393" i="5"/>
  <c r="G1393" i="5" s="1"/>
  <c r="E1392" i="5"/>
  <c r="G1392" i="5" s="1"/>
  <c r="E1391" i="5"/>
  <c r="G1391" i="5" s="1"/>
  <c r="E1390" i="5"/>
  <c r="G1390" i="5" s="1"/>
  <c r="E1389" i="5"/>
  <c r="G1389" i="5" s="1"/>
  <c r="E1388" i="5"/>
  <c r="G1388" i="5" s="1"/>
  <c r="E1387" i="5"/>
  <c r="G1387" i="5" s="1"/>
  <c r="E1386" i="5"/>
  <c r="G1386" i="5" s="1"/>
  <c r="E1385" i="5"/>
  <c r="G1385" i="5" s="1"/>
  <c r="E1384" i="5"/>
  <c r="G1384" i="5" s="1"/>
  <c r="E1383" i="5"/>
  <c r="G1383" i="5" s="1"/>
  <c r="E1382" i="5"/>
  <c r="G1382" i="5" s="1"/>
  <c r="E1381" i="5"/>
  <c r="G1381" i="5" s="1"/>
  <c r="E1380" i="5"/>
  <c r="G1380" i="5" s="1"/>
  <c r="E1379" i="5"/>
  <c r="G1379" i="5" s="1"/>
  <c r="E1378" i="5"/>
  <c r="G1378" i="5" s="1"/>
  <c r="E1377" i="5"/>
  <c r="G1377" i="5" s="1"/>
  <c r="E1376" i="5"/>
  <c r="G1376" i="5" s="1"/>
  <c r="E1375" i="5"/>
  <c r="G1375" i="5" s="1"/>
  <c r="E1374" i="5"/>
  <c r="G1374" i="5" s="1"/>
  <c r="E1373" i="5"/>
  <c r="G1373" i="5" s="1"/>
  <c r="E1372" i="5"/>
  <c r="G1372" i="5" s="1"/>
  <c r="E1371" i="5"/>
  <c r="G1371" i="5" s="1"/>
  <c r="E1370" i="5"/>
  <c r="G1370" i="5" s="1"/>
  <c r="E1369" i="5"/>
  <c r="G1369" i="5" s="1"/>
  <c r="E1368" i="5"/>
  <c r="G1368" i="5" s="1"/>
  <c r="E1367" i="5"/>
  <c r="G1367" i="5" s="1"/>
  <c r="E1366" i="5"/>
  <c r="G1366" i="5" s="1"/>
  <c r="E1365" i="5"/>
  <c r="G1365" i="5" s="1"/>
  <c r="E1364" i="5"/>
  <c r="G1364" i="5" s="1"/>
  <c r="E1363" i="5"/>
  <c r="G1363" i="5" s="1"/>
  <c r="E1362" i="5"/>
  <c r="G1362" i="5" s="1"/>
  <c r="E1361" i="5"/>
  <c r="G1361" i="5" s="1"/>
  <c r="E1360" i="5"/>
  <c r="G1360" i="5" s="1"/>
  <c r="E1359" i="5"/>
  <c r="G1359" i="5" s="1"/>
  <c r="E1358" i="5"/>
  <c r="G1358" i="5" s="1"/>
  <c r="E1357" i="5"/>
  <c r="G1357" i="5" s="1"/>
  <c r="E1356" i="5"/>
  <c r="G1356" i="5" s="1"/>
  <c r="E1355" i="5"/>
  <c r="G1355" i="5" s="1"/>
  <c r="E1354" i="5"/>
  <c r="G1354" i="5" s="1"/>
  <c r="E1353" i="5"/>
  <c r="G1353" i="5" s="1"/>
  <c r="E1352" i="5"/>
  <c r="G1352" i="5" s="1"/>
  <c r="E1351" i="5"/>
  <c r="G1351" i="5" s="1"/>
  <c r="E1350" i="5"/>
  <c r="G1350" i="5" s="1"/>
  <c r="E1349" i="5"/>
  <c r="G1349" i="5" s="1"/>
  <c r="E1348" i="5"/>
  <c r="G1348" i="5" s="1"/>
  <c r="E1347" i="5"/>
  <c r="G1347" i="5" s="1"/>
  <c r="E1346" i="5"/>
  <c r="G1346" i="5" s="1"/>
  <c r="E1345" i="5"/>
  <c r="G1345" i="5" s="1"/>
  <c r="E1344" i="5"/>
  <c r="G1344" i="5" s="1"/>
  <c r="E1343" i="5"/>
  <c r="G1343" i="5" s="1"/>
  <c r="E1342" i="5"/>
  <c r="G1342" i="5" s="1"/>
  <c r="E1341" i="5"/>
  <c r="G1341" i="5" s="1"/>
  <c r="E1340" i="5"/>
  <c r="G1340" i="5" s="1"/>
  <c r="E1339" i="5"/>
  <c r="G1339" i="5" s="1"/>
  <c r="E1338" i="5"/>
  <c r="G1338" i="5" s="1"/>
  <c r="E1337" i="5"/>
  <c r="G1337" i="5" s="1"/>
  <c r="E1336" i="5"/>
  <c r="G1336" i="5" s="1"/>
  <c r="E1335" i="5"/>
  <c r="G1335" i="5" s="1"/>
  <c r="E1334" i="5"/>
  <c r="G1334" i="5" s="1"/>
  <c r="E1333" i="5"/>
  <c r="G1333" i="5" s="1"/>
  <c r="E1332" i="5"/>
  <c r="G1332" i="5" s="1"/>
  <c r="E1331" i="5"/>
  <c r="G1331" i="5" s="1"/>
  <c r="E1330" i="5"/>
  <c r="G1330" i="5" s="1"/>
  <c r="E1329" i="5"/>
  <c r="G1329" i="5" s="1"/>
  <c r="E1328" i="5"/>
  <c r="G1328" i="5" s="1"/>
  <c r="E1327" i="5"/>
  <c r="G1327" i="5" s="1"/>
  <c r="E1326" i="5"/>
  <c r="G1326" i="5" s="1"/>
  <c r="E1325" i="5"/>
  <c r="G1325" i="5" s="1"/>
  <c r="E1324" i="5"/>
  <c r="G1324" i="5" s="1"/>
  <c r="E1323" i="5"/>
  <c r="G1323" i="5" s="1"/>
  <c r="E1322" i="5"/>
  <c r="G1322" i="5" s="1"/>
  <c r="E1321" i="5"/>
  <c r="G1321" i="5" s="1"/>
  <c r="E1320" i="5"/>
  <c r="G1320" i="5" s="1"/>
  <c r="E1319" i="5"/>
  <c r="G1319" i="5" s="1"/>
  <c r="E1318" i="5"/>
  <c r="G1318" i="5" s="1"/>
  <c r="E1317" i="5"/>
  <c r="G1317" i="5" s="1"/>
  <c r="E1316" i="5"/>
  <c r="G1316" i="5" s="1"/>
  <c r="E1315" i="5"/>
  <c r="G1315" i="5" s="1"/>
  <c r="E1314" i="5"/>
  <c r="G1314" i="5" s="1"/>
  <c r="E1313" i="5"/>
  <c r="G1313" i="5" s="1"/>
  <c r="E1312" i="5"/>
  <c r="G1312" i="5" s="1"/>
  <c r="E1311" i="5"/>
  <c r="G1311" i="5" s="1"/>
  <c r="E1310" i="5"/>
  <c r="G1310" i="5" s="1"/>
  <c r="E1309" i="5"/>
  <c r="G1309" i="5" s="1"/>
  <c r="E1308" i="5"/>
  <c r="G1308" i="5" s="1"/>
  <c r="E1307" i="5"/>
  <c r="G1307" i="5" s="1"/>
  <c r="E1306" i="5"/>
  <c r="G1306" i="5" s="1"/>
  <c r="E1305" i="5"/>
  <c r="G1305" i="5" s="1"/>
  <c r="E1304" i="5"/>
  <c r="G1304" i="5" s="1"/>
  <c r="E1303" i="5"/>
  <c r="G1303" i="5" s="1"/>
  <c r="E1302" i="5"/>
  <c r="G1302" i="5" s="1"/>
  <c r="E1301" i="5"/>
  <c r="G1301" i="5" s="1"/>
  <c r="E1300" i="5"/>
  <c r="G1300" i="5" s="1"/>
  <c r="E1299" i="5"/>
  <c r="G1299" i="5" s="1"/>
  <c r="E1298" i="5"/>
  <c r="G1298" i="5" s="1"/>
  <c r="E1297" i="5"/>
  <c r="G1297" i="5" s="1"/>
  <c r="E1296" i="5"/>
  <c r="G1296" i="5" s="1"/>
  <c r="E1295" i="5"/>
  <c r="G1295" i="5" s="1"/>
  <c r="E1294" i="5"/>
  <c r="G1294" i="5" s="1"/>
  <c r="E1293" i="5"/>
  <c r="G1293" i="5" s="1"/>
  <c r="E1292" i="5"/>
  <c r="G1292" i="5" s="1"/>
  <c r="E1291" i="5"/>
  <c r="G1291" i="5" s="1"/>
  <c r="E1290" i="5"/>
  <c r="G1290" i="5" s="1"/>
  <c r="E1289" i="5"/>
  <c r="G1289" i="5" s="1"/>
  <c r="E1288" i="5"/>
  <c r="G1288" i="5" s="1"/>
  <c r="E1287" i="5"/>
  <c r="G1287" i="5" s="1"/>
  <c r="E1286" i="5"/>
  <c r="G1286" i="5" s="1"/>
  <c r="E1285" i="5"/>
  <c r="G1285" i="5" s="1"/>
  <c r="E1284" i="5"/>
  <c r="G1284" i="5" s="1"/>
  <c r="E1283" i="5"/>
  <c r="G1283" i="5" s="1"/>
  <c r="E1282" i="5"/>
  <c r="G1282" i="5" s="1"/>
  <c r="E1281" i="5"/>
  <c r="G1281" i="5" s="1"/>
  <c r="E1280" i="5"/>
  <c r="G1280" i="5" s="1"/>
  <c r="E1279" i="5"/>
  <c r="G1279" i="5" s="1"/>
  <c r="E1278" i="5"/>
  <c r="G1278" i="5" s="1"/>
  <c r="E1277" i="5"/>
  <c r="G1277" i="5" s="1"/>
  <c r="E1276" i="5"/>
  <c r="G1276" i="5" s="1"/>
  <c r="E1275" i="5"/>
  <c r="G1275" i="5" s="1"/>
  <c r="E1274" i="5"/>
  <c r="G1274" i="5" s="1"/>
  <c r="E1273" i="5"/>
  <c r="G1273" i="5" s="1"/>
  <c r="E1272" i="5"/>
  <c r="G1272" i="5" s="1"/>
  <c r="E1271" i="5"/>
  <c r="G1271" i="5" s="1"/>
  <c r="E1270" i="5"/>
  <c r="G1270" i="5" s="1"/>
  <c r="E1269" i="5"/>
  <c r="G1269" i="5" s="1"/>
  <c r="E1268" i="5"/>
  <c r="G1268" i="5" s="1"/>
  <c r="E1267" i="5"/>
  <c r="G1267" i="5" s="1"/>
  <c r="E1266" i="5"/>
  <c r="G1266" i="5" s="1"/>
  <c r="E1265" i="5"/>
  <c r="G1265" i="5" s="1"/>
  <c r="E1264" i="5"/>
  <c r="G1264" i="5" s="1"/>
  <c r="E1263" i="5"/>
  <c r="G1263" i="5" s="1"/>
  <c r="E1262" i="5"/>
  <c r="G1262" i="5" s="1"/>
  <c r="E1261" i="5"/>
  <c r="G1261" i="5" s="1"/>
  <c r="E1260" i="5"/>
  <c r="G1260" i="5" s="1"/>
  <c r="E1259" i="5"/>
  <c r="G1259" i="5" s="1"/>
  <c r="E1258" i="5"/>
  <c r="G1258" i="5" s="1"/>
  <c r="E1257" i="5"/>
  <c r="G1257" i="5" s="1"/>
  <c r="E1256" i="5"/>
  <c r="G1256" i="5" s="1"/>
  <c r="E1255" i="5"/>
  <c r="G1255" i="5" s="1"/>
  <c r="E1254" i="5"/>
  <c r="G1254" i="5" s="1"/>
  <c r="E1253" i="5"/>
  <c r="G1253" i="5" s="1"/>
  <c r="E1252" i="5"/>
  <c r="G1252" i="5" s="1"/>
  <c r="E1251" i="5"/>
  <c r="G1251" i="5" s="1"/>
  <c r="E1250" i="5"/>
  <c r="G1250" i="5" s="1"/>
  <c r="E1249" i="5"/>
  <c r="G1249" i="5" s="1"/>
  <c r="E1248" i="5"/>
  <c r="G1248" i="5" s="1"/>
  <c r="E1247" i="5"/>
  <c r="G1247" i="5" s="1"/>
  <c r="E1246" i="5"/>
  <c r="G1246" i="5" s="1"/>
  <c r="E1245" i="5"/>
  <c r="G1245" i="5" s="1"/>
  <c r="E1244" i="5"/>
  <c r="G1244" i="5" s="1"/>
  <c r="E1243" i="5"/>
  <c r="G1243" i="5" s="1"/>
  <c r="E1242" i="5"/>
  <c r="G1242" i="5" s="1"/>
  <c r="E1241" i="5"/>
  <c r="G1241" i="5" s="1"/>
  <c r="E1240" i="5"/>
  <c r="G1240" i="5" s="1"/>
  <c r="E1239" i="5"/>
  <c r="G1239" i="5" s="1"/>
  <c r="E1238" i="5"/>
  <c r="G1238" i="5" s="1"/>
  <c r="E1237" i="5"/>
  <c r="G1237" i="5" s="1"/>
  <c r="E1236" i="5"/>
  <c r="G1236" i="5" s="1"/>
  <c r="E1235" i="5"/>
  <c r="G1235" i="5" s="1"/>
  <c r="E1234" i="5"/>
  <c r="G1234" i="5" s="1"/>
  <c r="E1233" i="5"/>
  <c r="G1233" i="5" s="1"/>
  <c r="E1232" i="5"/>
  <c r="G1232" i="5" s="1"/>
  <c r="E1231" i="5"/>
  <c r="G1231" i="5" s="1"/>
  <c r="E1230" i="5"/>
  <c r="G1230" i="5" s="1"/>
  <c r="E1229" i="5"/>
  <c r="G1229" i="5" s="1"/>
  <c r="E1228" i="5"/>
  <c r="G1228" i="5" s="1"/>
  <c r="E1227" i="5"/>
  <c r="G1227" i="5" s="1"/>
  <c r="E1226" i="5"/>
  <c r="G1226" i="5" s="1"/>
  <c r="E1225" i="5"/>
  <c r="G1225" i="5" s="1"/>
  <c r="E1224" i="5"/>
  <c r="G1224" i="5" s="1"/>
  <c r="E1223" i="5"/>
  <c r="G1223" i="5" s="1"/>
  <c r="E1222" i="5"/>
  <c r="G1222" i="5" s="1"/>
  <c r="E1221" i="5"/>
  <c r="G1221" i="5" s="1"/>
  <c r="E1220" i="5"/>
  <c r="G1220" i="5" s="1"/>
  <c r="E1219" i="5"/>
  <c r="G1219" i="5" s="1"/>
  <c r="E1218" i="5"/>
  <c r="G1218" i="5" s="1"/>
  <c r="E1217" i="5"/>
  <c r="G1217" i="5" s="1"/>
  <c r="E1216" i="5"/>
  <c r="G1216" i="5" s="1"/>
  <c r="E1215" i="5"/>
  <c r="G1215" i="5" s="1"/>
  <c r="E1214" i="5"/>
  <c r="G1214" i="5" s="1"/>
  <c r="E1213" i="5"/>
  <c r="G1213" i="5" s="1"/>
  <c r="E1212" i="5"/>
  <c r="G1212" i="5" s="1"/>
  <c r="E1211" i="5"/>
  <c r="G1211" i="5" s="1"/>
  <c r="E1210" i="5"/>
  <c r="G1210" i="5" s="1"/>
  <c r="E1209" i="5"/>
  <c r="G1209" i="5" s="1"/>
  <c r="E1208" i="5"/>
  <c r="G1208" i="5" s="1"/>
  <c r="E1207" i="5"/>
  <c r="G1207" i="5" s="1"/>
  <c r="E1206" i="5"/>
  <c r="G1206" i="5" s="1"/>
  <c r="E1205" i="5"/>
  <c r="G1205" i="5" s="1"/>
  <c r="E1204" i="5"/>
  <c r="G1204" i="5" s="1"/>
  <c r="E1203" i="5"/>
  <c r="G1203" i="5" s="1"/>
  <c r="E1202" i="5"/>
  <c r="G1202" i="5" s="1"/>
  <c r="E1201" i="5"/>
  <c r="G1201" i="5" s="1"/>
  <c r="E1200" i="5"/>
  <c r="G1200" i="5" s="1"/>
  <c r="E1199" i="5"/>
  <c r="G1199" i="5" s="1"/>
  <c r="E1198" i="5"/>
  <c r="G1198" i="5" s="1"/>
  <c r="E1197" i="5"/>
  <c r="G1197" i="5" s="1"/>
  <c r="E1196" i="5"/>
  <c r="G1196" i="5" s="1"/>
  <c r="E1195" i="5"/>
  <c r="G1195" i="5" s="1"/>
  <c r="E1194" i="5"/>
  <c r="G1194" i="5" s="1"/>
  <c r="E1193" i="5"/>
  <c r="G1193" i="5" s="1"/>
  <c r="E1192" i="5"/>
  <c r="G1192" i="5" s="1"/>
  <c r="E1191" i="5"/>
  <c r="G1191" i="5" s="1"/>
  <c r="E1190" i="5"/>
  <c r="G1190" i="5" s="1"/>
  <c r="E1189" i="5"/>
  <c r="G1189" i="5" s="1"/>
  <c r="E1188" i="5"/>
  <c r="G1188" i="5" s="1"/>
  <c r="E1187" i="5"/>
  <c r="G1187" i="5" s="1"/>
  <c r="E1186" i="5"/>
  <c r="G1186" i="5" s="1"/>
  <c r="E1185" i="5"/>
  <c r="G1185" i="5" s="1"/>
  <c r="E1184" i="5"/>
  <c r="G1184" i="5" s="1"/>
  <c r="E1183" i="5"/>
  <c r="G1183" i="5" s="1"/>
  <c r="E1182" i="5"/>
  <c r="G1182" i="5" s="1"/>
  <c r="E1181" i="5"/>
  <c r="G1181" i="5" s="1"/>
  <c r="E1180" i="5"/>
  <c r="G1180" i="5" s="1"/>
  <c r="E1179" i="5"/>
  <c r="G1179" i="5" s="1"/>
  <c r="E1178" i="5"/>
  <c r="G1178" i="5" s="1"/>
  <c r="E1177" i="5"/>
  <c r="G1177" i="5" s="1"/>
  <c r="E1176" i="5"/>
  <c r="G1176" i="5" s="1"/>
  <c r="E1175" i="5"/>
  <c r="G1175" i="5" s="1"/>
  <c r="E1174" i="5"/>
  <c r="G1174" i="5" s="1"/>
  <c r="E1173" i="5"/>
  <c r="G1173" i="5" s="1"/>
  <c r="E1172" i="5"/>
  <c r="G1172" i="5" s="1"/>
  <c r="E1171" i="5"/>
  <c r="G1171" i="5" s="1"/>
  <c r="E1170" i="5"/>
  <c r="G1170" i="5" s="1"/>
  <c r="E1169" i="5"/>
  <c r="G1169" i="5" s="1"/>
  <c r="E1168" i="5"/>
  <c r="G1168" i="5" s="1"/>
  <c r="E1167" i="5"/>
  <c r="G1167" i="5" s="1"/>
  <c r="E1166" i="5"/>
  <c r="G1166" i="5" s="1"/>
  <c r="E1165" i="5"/>
  <c r="G1165" i="5" s="1"/>
  <c r="E1164" i="5"/>
  <c r="G1164" i="5" s="1"/>
  <c r="E1163" i="5"/>
  <c r="G1163" i="5" s="1"/>
  <c r="E1162" i="5"/>
  <c r="G1162" i="5" s="1"/>
  <c r="E1161" i="5"/>
  <c r="G1161" i="5" s="1"/>
  <c r="E1160" i="5"/>
  <c r="G1160" i="5" s="1"/>
  <c r="E1159" i="5"/>
  <c r="G1159" i="5" s="1"/>
  <c r="E1158" i="5"/>
  <c r="G1158" i="5" s="1"/>
  <c r="E1157" i="5"/>
  <c r="G1157" i="5" s="1"/>
  <c r="E1156" i="5"/>
  <c r="G1156" i="5" s="1"/>
  <c r="E1155" i="5"/>
  <c r="G1155" i="5" s="1"/>
  <c r="E1154" i="5"/>
  <c r="G1154" i="5" s="1"/>
  <c r="E1153" i="5"/>
  <c r="G1153" i="5" s="1"/>
  <c r="E1152" i="5"/>
  <c r="G1152" i="5" s="1"/>
  <c r="E1151" i="5"/>
  <c r="G1151" i="5" s="1"/>
  <c r="E1150" i="5"/>
  <c r="G1150" i="5" s="1"/>
  <c r="E1149" i="5"/>
  <c r="G1149" i="5" s="1"/>
  <c r="E1148" i="5"/>
  <c r="G1148" i="5" s="1"/>
  <c r="E1147" i="5"/>
  <c r="G1147" i="5" s="1"/>
  <c r="E1146" i="5"/>
  <c r="G1146" i="5" s="1"/>
  <c r="E1145" i="5"/>
  <c r="G1145" i="5" s="1"/>
  <c r="E1144" i="5"/>
  <c r="G1144" i="5" s="1"/>
  <c r="E1143" i="5"/>
  <c r="G1143" i="5" s="1"/>
  <c r="E1142" i="5"/>
  <c r="G1142" i="5" s="1"/>
  <c r="E1141" i="5"/>
  <c r="G1141" i="5" s="1"/>
  <c r="E1140" i="5"/>
  <c r="G1140" i="5" s="1"/>
  <c r="E1139" i="5"/>
  <c r="G1139" i="5" s="1"/>
  <c r="E1138" i="5"/>
  <c r="G1138" i="5" s="1"/>
  <c r="E1137" i="5"/>
  <c r="G1137" i="5" s="1"/>
  <c r="E1136" i="5"/>
  <c r="G1136" i="5" s="1"/>
  <c r="E1135" i="5"/>
  <c r="G1135" i="5" s="1"/>
  <c r="E1134" i="5"/>
  <c r="G1134" i="5" s="1"/>
  <c r="E1133" i="5"/>
  <c r="G1133" i="5" s="1"/>
  <c r="E1132" i="5"/>
  <c r="G1132" i="5" s="1"/>
  <c r="E1131" i="5"/>
  <c r="G1131" i="5" s="1"/>
  <c r="E1130" i="5"/>
  <c r="G1130" i="5" s="1"/>
  <c r="E1129" i="5"/>
  <c r="G1129" i="5" s="1"/>
  <c r="E1128" i="5"/>
  <c r="G1128" i="5" s="1"/>
  <c r="E1127" i="5"/>
  <c r="G1127" i="5" s="1"/>
  <c r="E1126" i="5"/>
  <c r="G1126" i="5" s="1"/>
  <c r="E1125" i="5"/>
  <c r="G1125" i="5" s="1"/>
  <c r="E1124" i="5"/>
  <c r="G1124" i="5" s="1"/>
  <c r="E1123" i="5"/>
  <c r="G1123" i="5" s="1"/>
  <c r="E1122" i="5"/>
  <c r="G1122" i="5" s="1"/>
  <c r="E1121" i="5"/>
  <c r="G1121" i="5" s="1"/>
  <c r="E1120" i="5"/>
  <c r="G1120" i="5" s="1"/>
  <c r="E1119" i="5"/>
  <c r="G1119" i="5" s="1"/>
  <c r="E1118" i="5"/>
  <c r="G1118" i="5" s="1"/>
  <c r="E1117" i="5"/>
  <c r="G1117" i="5" s="1"/>
  <c r="E1116" i="5"/>
  <c r="G1116" i="5" s="1"/>
  <c r="E1115" i="5"/>
  <c r="G1115" i="5" s="1"/>
  <c r="E1114" i="5"/>
  <c r="G1114" i="5" s="1"/>
  <c r="E1113" i="5"/>
  <c r="G1113" i="5" s="1"/>
  <c r="E1112" i="5"/>
  <c r="G1112" i="5" s="1"/>
  <c r="E1111" i="5"/>
  <c r="G1111" i="5" s="1"/>
  <c r="E1110" i="5"/>
  <c r="G1110" i="5" s="1"/>
  <c r="E1109" i="5"/>
  <c r="G1109" i="5" s="1"/>
  <c r="E1108" i="5"/>
  <c r="G1108" i="5" s="1"/>
  <c r="E1107" i="5"/>
  <c r="G1107" i="5" s="1"/>
  <c r="E1106" i="5"/>
  <c r="G1106" i="5" s="1"/>
  <c r="E1105" i="5"/>
  <c r="G1105" i="5" s="1"/>
  <c r="E1104" i="5"/>
  <c r="G1104" i="5" s="1"/>
  <c r="E1103" i="5"/>
  <c r="G1103" i="5" s="1"/>
  <c r="E1102" i="5"/>
  <c r="G1102" i="5" s="1"/>
  <c r="E1101" i="5"/>
  <c r="G1101" i="5" s="1"/>
  <c r="E1100" i="5"/>
  <c r="G1100" i="5" s="1"/>
  <c r="E1099" i="5"/>
  <c r="G1099" i="5" s="1"/>
  <c r="E1098" i="5"/>
  <c r="G1098" i="5" s="1"/>
  <c r="E1097" i="5"/>
  <c r="G1097" i="5" s="1"/>
  <c r="E1096" i="5"/>
  <c r="G1096" i="5" s="1"/>
  <c r="E1095" i="5"/>
  <c r="G1095" i="5" s="1"/>
  <c r="E1094" i="5"/>
  <c r="G1094" i="5" s="1"/>
  <c r="E1093" i="5"/>
  <c r="G1093" i="5" s="1"/>
  <c r="E1092" i="5"/>
  <c r="G1092" i="5" s="1"/>
  <c r="E1091" i="5"/>
  <c r="G1091" i="5" s="1"/>
  <c r="E1090" i="5"/>
  <c r="G1090" i="5" s="1"/>
  <c r="E1089" i="5"/>
  <c r="G1089" i="5" s="1"/>
  <c r="E1088" i="5"/>
  <c r="G1088" i="5" s="1"/>
  <c r="E1087" i="5"/>
  <c r="G1087" i="5" s="1"/>
  <c r="E1086" i="5"/>
  <c r="G1086" i="5" s="1"/>
  <c r="E1085" i="5"/>
  <c r="G1085" i="5" s="1"/>
  <c r="E1084" i="5"/>
  <c r="G1084" i="5" s="1"/>
  <c r="E1083" i="5"/>
  <c r="G1083" i="5" s="1"/>
  <c r="E1082" i="5"/>
  <c r="G1082" i="5" s="1"/>
  <c r="E1081" i="5"/>
  <c r="G1081" i="5" s="1"/>
  <c r="E1080" i="5"/>
  <c r="G1080" i="5" s="1"/>
  <c r="E1079" i="5"/>
  <c r="G1079" i="5" s="1"/>
  <c r="E1078" i="5"/>
  <c r="G1078" i="5" s="1"/>
  <c r="E1077" i="5"/>
  <c r="G1077" i="5" s="1"/>
  <c r="E1076" i="5"/>
  <c r="G1076" i="5" s="1"/>
  <c r="E1075" i="5"/>
  <c r="G1075" i="5" s="1"/>
  <c r="E1074" i="5"/>
  <c r="G1074" i="5" s="1"/>
  <c r="E1073" i="5"/>
  <c r="G1073" i="5" s="1"/>
  <c r="E1072" i="5"/>
  <c r="G1072" i="5" s="1"/>
  <c r="E1071" i="5"/>
  <c r="G1071" i="5" s="1"/>
  <c r="E1070" i="5"/>
  <c r="G1070" i="5" s="1"/>
  <c r="E1069" i="5"/>
  <c r="G1069" i="5" s="1"/>
  <c r="E1068" i="5"/>
  <c r="G1068" i="5" s="1"/>
  <c r="E1067" i="5"/>
  <c r="G1067" i="5" s="1"/>
  <c r="E1066" i="5"/>
  <c r="G1066" i="5" s="1"/>
  <c r="E1065" i="5"/>
  <c r="G1065" i="5" s="1"/>
  <c r="E1064" i="5"/>
  <c r="G1064" i="5" s="1"/>
  <c r="E1063" i="5"/>
  <c r="G1063" i="5" s="1"/>
  <c r="E1062" i="5"/>
  <c r="G1062" i="5" s="1"/>
  <c r="E1061" i="5"/>
  <c r="G1061" i="5" s="1"/>
  <c r="E1060" i="5"/>
  <c r="G1060" i="5" s="1"/>
  <c r="E1059" i="5"/>
  <c r="G1059" i="5" s="1"/>
  <c r="E1058" i="5"/>
  <c r="G1058" i="5" s="1"/>
  <c r="E1057" i="5"/>
  <c r="G1057" i="5" s="1"/>
  <c r="E1056" i="5"/>
  <c r="G1056" i="5" s="1"/>
  <c r="E1055" i="5"/>
  <c r="G1055" i="5" s="1"/>
  <c r="E1054" i="5"/>
  <c r="G1054" i="5" s="1"/>
  <c r="E1053" i="5"/>
  <c r="G1053" i="5" s="1"/>
  <c r="E1052" i="5"/>
  <c r="G1052" i="5" s="1"/>
  <c r="E1051" i="5"/>
  <c r="G1051" i="5" s="1"/>
  <c r="E1050" i="5"/>
  <c r="G1050" i="5" s="1"/>
  <c r="E1049" i="5"/>
  <c r="G1049" i="5" s="1"/>
  <c r="E1048" i="5"/>
  <c r="G1048" i="5" s="1"/>
  <c r="E1047" i="5"/>
  <c r="G1047" i="5" s="1"/>
  <c r="E1046" i="5"/>
  <c r="G1046" i="5" s="1"/>
  <c r="E1045" i="5"/>
  <c r="G1045" i="5" s="1"/>
  <c r="E1044" i="5"/>
  <c r="G1044" i="5" s="1"/>
  <c r="E1043" i="5"/>
  <c r="G1043" i="5" s="1"/>
  <c r="E1042" i="5"/>
  <c r="G1042" i="5" s="1"/>
  <c r="E1041" i="5"/>
  <c r="G1041" i="5" s="1"/>
  <c r="E1040" i="5"/>
  <c r="G1040" i="5" s="1"/>
  <c r="E1039" i="5"/>
  <c r="G1039" i="5" s="1"/>
  <c r="E1038" i="5"/>
  <c r="G1038" i="5" s="1"/>
  <c r="E1037" i="5"/>
  <c r="G1037" i="5" s="1"/>
  <c r="E1036" i="5"/>
  <c r="G1036" i="5" s="1"/>
  <c r="E1035" i="5"/>
  <c r="G1035" i="5" s="1"/>
  <c r="E1034" i="5"/>
  <c r="G1034" i="5" s="1"/>
  <c r="E1033" i="5"/>
  <c r="G1033" i="5" s="1"/>
  <c r="E1032" i="5"/>
  <c r="G1032" i="5" s="1"/>
  <c r="E1031" i="5"/>
  <c r="G1031" i="5" s="1"/>
  <c r="E1030" i="5"/>
  <c r="G1030" i="5" s="1"/>
  <c r="E1029" i="5"/>
  <c r="G1029" i="5" s="1"/>
  <c r="E1028" i="5"/>
  <c r="G1028" i="5" s="1"/>
  <c r="E1027" i="5"/>
  <c r="G1027" i="5" s="1"/>
  <c r="E1026" i="5"/>
  <c r="G1026" i="5" s="1"/>
  <c r="E1025" i="5"/>
  <c r="G1025" i="5" s="1"/>
  <c r="E1024" i="5"/>
  <c r="G1024" i="5" s="1"/>
  <c r="E1023" i="5"/>
  <c r="G1023" i="5" s="1"/>
  <c r="E1022" i="5"/>
  <c r="G1022" i="5" s="1"/>
  <c r="E1021" i="5"/>
  <c r="G1021" i="5" s="1"/>
  <c r="E1020" i="5"/>
  <c r="G1020" i="5" s="1"/>
  <c r="E1019" i="5"/>
  <c r="G1019" i="5" s="1"/>
  <c r="E1018" i="5"/>
  <c r="G1018" i="5" s="1"/>
  <c r="E1017" i="5"/>
  <c r="G1017" i="5" s="1"/>
  <c r="E1016" i="5"/>
  <c r="G1016" i="5" s="1"/>
  <c r="E1015" i="5"/>
  <c r="G1015" i="5" s="1"/>
  <c r="E1014" i="5"/>
  <c r="G1014" i="5" s="1"/>
  <c r="E1013" i="5"/>
  <c r="G1013" i="5" s="1"/>
  <c r="E1012" i="5"/>
  <c r="G1012" i="5" s="1"/>
  <c r="E1011" i="5"/>
  <c r="G1011" i="5" s="1"/>
  <c r="E1010" i="5"/>
  <c r="G1010" i="5" s="1"/>
  <c r="E1009" i="5"/>
  <c r="G1009" i="5" s="1"/>
  <c r="E1008" i="5"/>
  <c r="G1008" i="5" s="1"/>
  <c r="E1007" i="5"/>
  <c r="G1007" i="5" s="1"/>
  <c r="E1006" i="5"/>
  <c r="G1006" i="5" s="1"/>
  <c r="E1005" i="5"/>
  <c r="G1005" i="5" s="1"/>
  <c r="E1004" i="5"/>
  <c r="G1004" i="5" s="1"/>
  <c r="E1003" i="5"/>
  <c r="G1003" i="5" s="1"/>
  <c r="E1002" i="5"/>
  <c r="G1002" i="5" s="1"/>
  <c r="E1001" i="5"/>
  <c r="G1001" i="5" s="1"/>
  <c r="E1000" i="5"/>
  <c r="G1000" i="5" s="1"/>
  <c r="E999" i="5"/>
  <c r="G999" i="5" s="1"/>
  <c r="E998" i="5"/>
  <c r="G998" i="5" s="1"/>
  <c r="E997" i="5"/>
  <c r="G997" i="5" s="1"/>
  <c r="E996" i="5"/>
  <c r="G996" i="5" s="1"/>
  <c r="E995" i="5"/>
  <c r="G995" i="5" s="1"/>
  <c r="E994" i="5"/>
  <c r="G994" i="5" s="1"/>
  <c r="E993" i="5"/>
  <c r="G993" i="5" s="1"/>
  <c r="E992" i="5"/>
  <c r="G992" i="5" s="1"/>
  <c r="E991" i="5"/>
  <c r="G991" i="5" s="1"/>
  <c r="E990" i="5"/>
  <c r="G990" i="5" s="1"/>
  <c r="E989" i="5"/>
  <c r="G989" i="5" s="1"/>
  <c r="E988" i="5"/>
  <c r="G988" i="5" s="1"/>
  <c r="E987" i="5"/>
  <c r="G987" i="5" s="1"/>
  <c r="E986" i="5"/>
  <c r="G986" i="5" s="1"/>
  <c r="E985" i="5"/>
  <c r="G985" i="5" s="1"/>
  <c r="E984" i="5"/>
  <c r="G984" i="5" s="1"/>
  <c r="E983" i="5"/>
  <c r="G983" i="5" s="1"/>
  <c r="E982" i="5"/>
  <c r="G982" i="5" s="1"/>
  <c r="E981" i="5"/>
  <c r="G981" i="5" s="1"/>
  <c r="E980" i="5"/>
  <c r="G980" i="5" s="1"/>
  <c r="E979" i="5"/>
  <c r="G979" i="5" s="1"/>
  <c r="E978" i="5"/>
  <c r="G978" i="5" s="1"/>
  <c r="E977" i="5"/>
  <c r="G977" i="5" s="1"/>
  <c r="E976" i="5"/>
  <c r="G976" i="5" s="1"/>
  <c r="E975" i="5"/>
  <c r="G975" i="5" s="1"/>
  <c r="E974" i="5"/>
  <c r="G974" i="5" s="1"/>
  <c r="E973" i="5"/>
  <c r="G973" i="5" s="1"/>
  <c r="E972" i="5"/>
  <c r="G972" i="5" s="1"/>
  <c r="E971" i="5"/>
  <c r="G971" i="5" s="1"/>
  <c r="E970" i="5"/>
  <c r="G970" i="5" s="1"/>
  <c r="E969" i="5"/>
  <c r="G969" i="5" s="1"/>
  <c r="E968" i="5"/>
  <c r="G968" i="5" s="1"/>
  <c r="E967" i="5"/>
  <c r="G967" i="5" s="1"/>
  <c r="E966" i="5"/>
  <c r="G966" i="5" s="1"/>
  <c r="E965" i="5"/>
  <c r="G965" i="5" s="1"/>
  <c r="E964" i="5"/>
  <c r="G964" i="5" s="1"/>
  <c r="E963" i="5"/>
  <c r="G963" i="5" s="1"/>
  <c r="E962" i="5"/>
  <c r="G962" i="5" s="1"/>
  <c r="E961" i="5"/>
  <c r="G961" i="5" s="1"/>
  <c r="E960" i="5"/>
  <c r="G960" i="5" s="1"/>
  <c r="E959" i="5"/>
  <c r="G959" i="5" s="1"/>
  <c r="E958" i="5"/>
  <c r="G958" i="5" s="1"/>
  <c r="E957" i="5"/>
  <c r="G957" i="5" s="1"/>
  <c r="E956" i="5"/>
  <c r="G956" i="5" s="1"/>
  <c r="E955" i="5"/>
  <c r="G955" i="5" s="1"/>
  <c r="E954" i="5"/>
  <c r="G954" i="5" s="1"/>
  <c r="E953" i="5"/>
  <c r="G953" i="5" s="1"/>
  <c r="E952" i="5"/>
  <c r="G952" i="5" s="1"/>
  <c r="E951" i="5"/>
  <c r="G951" i="5" s="1"/>
  <c r="E950" i="5"/>
  <c r="G950" i="5" s="1"/>
  <c r="E949" i="5"/>
  <c r="G949" i="5" s="1"/>
  <c r="E948" i="5"/>
  <c r="G948" i="5" s="1"/>
  <c r="E947" i="5"/>
  <c r="G947" i="5" s="1"/>
  <c r="E946" i="5"/>
  <c r="G946" i="5" s="1"/>
  <c r="E945" i="5"/>
  <c r="G945" i="5" s="1"/>
  <c r="E944" i="5"/>
  <c r="G944" i="5" s="1"/>
  <c r="E943" i="5"/>
  <c r="G943" i="5" s="1"/>
  <c r="E942" i="5"/>
  <c r="G942" i="5" s="1"/>
  <c r="E941" i="5"/>
  <c r="G941" i="5" s="1"/>
  <c r="E940" i="5"/>
  <c r="G940" i="5" s="1"/>
  <c r="E939" i="5"/>
  <c r="G939" i="5" s="1"/>
  <c r="E938" i="5"/>
  <c r="G938" i="5" s="1"/>
  <c r="E937" i="5"/>
  <c r="G937" i="5" s="1"/>
  <c r="E936" i="5"/>
  <c r="G936" i="5" s="1"/>
  <c r="E935" i="5"/>
  <c r="G935" i="5" s="1"/>
  <c r="E934" i="5"/>
  <c r="G934" i="5" s="1"/>
  <c r="E933" i="5"/>
  <c r="G933" i="5" s="1"/>
  <c r="E932" i="5"/>
  <c r="G932" i="5" s="1"/>
  <c r="E931" i="5"/>
  <c r="G931" i="5" s="1"/>
  <c r="E930" i="5"/>
  <c r="G930" i="5" s="1"/>
  <c r="E929" i="5"/>
  <c r="G929" i="5" s="1"/>
  <c r="E928" i="5"/>
  <c r="G928" i="5" s="1"/>
  <c r="E927" i="5"/>
  <c r="G927" i="5" s="1"/>
  <c r="E926" i="5"/>
  <c r="G926" i="5" s="1"/>
  <c r="E925" i="5"/>
  <c r="G925" i="5" s="1"/>
  <c r="E924" i="5"/>
  <c r="G924" i="5" s="1"/>
  <c r="E923" i="5"/>
  <c r="G923" i="5" s="1"/>
  <c r="E922" i="5"/>
  <c r="G922" i="5" s="1"/>
  <c r="E921" i="5"/>
  <c r="G921" i="5" s="1"/>
  <c r="E920" i="5"/>
  <c r="G920" i="5" s="1"/>
  <c r="E919" i="5"/>
  <c r="G919" i="5" s="1"/>
  <c r="E918" i="5"/>
  <c r="G918" i="5" s="1"/>
  <c r="E917" i="5"/>
  <c r="G917" i="5" s="1"/>
  <c r="E916" i="5"/>
  <c r="G916" i="5" s="1"/>
  <c r="E915" i="5"/>
  <c r="G915" i="5" s="1"/>
  <c r="E914" i="5"/>
  <c r="G914" i="5" s="1"/>
  <c r="E913" i="5"/>
  <c r="G913" i="5" s="1"/>
  <c r="E912" i="5"/>
  <c r="G912" i="5" s="1"/>
  <c r="E911" i="5"/>
  <c r="G911" i="5" s="1"/>
  <c r="E910" i="5"/>
  <c r="G910" i="5" s="1"/>
  <c r="E909" i="5"/>
  <c r="G909" i="5" s="1"/>
  <c r="E908" i="5"/>
  <c r="G908" i="5" s="1"/>
  <c r="E907" i="5"/>
  <c r="G907" i="5" s="1"/>
  <c r="E906" i="5"/>
  <c r="G906" i="5" s="1"/>
  <c r="E905" i="5"/>
  <c r="G905" i="5" s="1"/>
  <c r="E904" i="5"/>
  <c r="G904" i="5" s="1"/>
  <c r="E903" i="5"/>
  <c r="G903" i="5" s="1"/>
  <c r="E902" i="5"/>
  <c r="G902" i="5" s="1"/>
  <c r="E901" i="5"/>
  <c r="G901" i="5" s="1"/>
  <c r="E900" i="5"/>
  <c r="G900" i="5" s="1"/>
  <c r="E899" i="5"/>
  <c r="G899" i="5" s="1"/>
  <c r="E898" i="5"/>
  <c r="G898" i="5" s="1"/>
  <c r="E897" i="5"/>
  <c r="G897" i="5" s="1"/>
  <c r="E896" i="5"/>
  <c r="G896" i="5" s="1"/>
  <c r="E895" i="5"/>
  <c r="G895" i="5" s="1"/>
  <c r="E894" i="5"/>
  <c r="G894" i="5" s="1"/>
  <c r="E893" i="5"/>
  <c r="G893" i="5" s="1"/>
  <c r="E892" i="5"/>
  <c r="G892" i="5" s="1"/>
  <c r="E891" i="5"/>
  <c r="G891" i="5" s="1"/>
  <c r="E890" i="5"/>
  <c r="G890" i="5" s="1"/>
  <c r="E889" i="5"/>
  <c r="G889" i="5" s="1"/>
  <c r="E888" i="5"/>
  <c r="G888" i="5" s="1"/>
  <c r="E887" i="5"/>
  <c r="G887" i="5" s="1"/>
  <c r="E886" i="5"/>
  <c r="G886" i="5" s="1"/>
  <c r="E885" i="5"/>
  <c r="G885" i="5" s="1"/>
  <c r="E884" i="5"/>
  <c r="G884" i="5" s="1"/>
  <c r="E883" i="5"/>
  <c r="G883" i="5" s="1"/>
  <c r="E882" i="5"/>
  <c r="G882" i="5" s="1"/>
  <c r="E881" i="5"/>
  <c r="G881" i="5" s="1"/>
  <c r="E880" i="5"/>
  <c r="G880" i="5" s="1"/>
  <c r="E879" i="5"/>
  <c r="G879" i="5" s="1"/>
  <c r="E878" i="5"/>
  <c r="G878" i="5" s="1"/>
  <c r="E877" i="5"/>
  <c r="G877" i="5" s="1"/>
  <c r="E876" i="5"/>
  <c r="G876" i="5" s="1"/>
  <c r="E875" i="5"/>
  <c r="G875" i="5" s="1"/>
  <c r="E874" i="5"/>
  <c r="G874" i="5" s="1"/>
  <c r="E873" i="5"/>
  <c r="G873" i="5" s="1"/>
  <c r="E872" i="5"/>
  <c r="G872" i="5" s="1"/>
  <c r="E871" i="5"/>
  <c r="G871" i="5" s="1"/>
  <c r="E870" i="5"/>
  <c r="G870" i="5" s="1"/>
  <c r="E869" i="5"/>
  <c r="G869" i="5" s="1"/>
  <c r="E868" i="5"/>
  <c r="G868" i="5" s="1"/>
  <c r="E867" i="5"/>
  <c r="G867" i="5" s="1"/>
  <c r="E866" i="5"/>
  <c r="G866" i="5" s="1"/>
  <c r="E865" i="5"/>
  <c r="G865" i="5" s="1"/>
  <c r="E864" i="5"/>
  <c r="G864" i="5" s="1"/>
  <c r="E863" i="5"/>
  <c r="G863" i="5" s="1"/>
  <c r="E862" i="5"/>
  <c r="G862" i="5" s="1"/>
  <c r="E861" i="5"/>
  <c r="G861" i="5" s="1"/>
  <c r="E860" i="5"/>
  <c r="G860" i="5" s="1"/>
  <c r="E859" i="5"/>
  <c r="G859" i="5" s="1"/>
  <c r="E858" i="5"/>
  <c r="G858" i="5" s="1"/>
  <c r="E857" i="5"/>
  <c r="G857" i="5" s="1"/>
  <c r="E856" i="5"/>
  <c r="G856" i="5" s="1"/>
  <c r="E855" i="5"/>
  <c r="G855" i="5" s="1"/>
  <c r="E854" i="5"/>
  <c r="G854" i="5" s="1"/>
  <c r="E853" i="5"/>
  <c r="G853" i="5" s="1"/>
  <c r="E852" i="5"/>
  <c r="G852" i="5" s="1"/>
  <c r="E851" i="5"/>
  <c r="G851" i="5" s="1"/>
  <c r="E850" i="5"/>
  <c r="G850" i="5" s="1"/>
  <c r="E849" i="5"/>
  <c r="G849" i="5" s="1"/>
  <c r="E848" i="5"/>
  <c r="G848" i="5" s="1"/>
  <c r="E847" i="5"/>
  <c r="G847" i="5" s="1"/>
  <c r="E846" i="5"/>
  <c r="G846" i="5" s="1"/>
  <c r="E845" i="5"/>
  <c r="G845" i="5" s="1"/>
  <c r="E844" i="5"/>
  <c r="G844" i="5" s="1"/>
  <c r="E843" i="5"/>
  <c r="G843" i="5" s="1"/>
  <c r="E842" i="5"/>
  <c r="G842" i="5" s="1"/>
  <c r="E841" i="5"/>
  <c r="G841" i="5" s="1"/>
  <c r="E840" i="5"/>
  <c r="G840" i="5" s="1"/>
  <c r="E839" i="5"/>
  <c r="G839" i="5" s="1"/>
  <c r="E838" i="5"/>
  <c r="G838" i="5" s="1"/>
  <c r="E837" i="5"/>
  <c r="G837" i="5" s="1"/>
  <c r="E836" i="5"/>
  <c r="G836" i="5" s="1"/>
  <c r="E835" i="5"/>
  <c r="G835" i="5" s="1"/>
  <c r="E834" i="5"/>
  <c r="G834" i="5" s="1"/>
  <c r="E833" i="5"/>
  <c r="G833" i="5" s="1"/>
  <c r="E832" i="5"/>
  <c r="G832" i="5" s="1"/>
  <c r="E831" i="5"/>
  <c r="G831" i="5" s="1"/>
  <c r="E830" i="5"/>
  <c r="G830" i="5" s="1"/>
  <c r="E829" i="5"/>
  <c r="G829" i="5" s="1"/>
  <c r="E828" i="5"/>
  <c r="G828" i="5" s="1"/>
  <c r="E827" i="5"/>
  <c r="G827" i="5" s="1"/>
  <c r="E826" i="5"/>
  <c r="G826" i="5" s="1"/>
  <c r="E825" i="5"/>
  <c r="G825" i="5" s="1"/>
  <c r="E824" i="5"/>
  <c r="G824" i="5" s="1"/>
  <c r="E823" i="5"/>
  <c r="G823" i="5" s="1"/>
  <c r="E822" i="5"/>
  <c r="G822" i="5" s="1"/>
  <c r="E821" i="5"/>
  <c r="G821" i="5" s="1"/>
  <c r="E820" i="5"/>
  <c r="G820" i="5" s="1"/>
  <c r="E819" i="5"/>
  <c r="G819" i="5" s="1"/>
  <c r="E818" i="5"/>
  <c r="G818" i="5" s="1"/>
  <c r="E817" i="5"/>
  <c r="G817" i="5" s="1"/>
  <c r="E816" i="5"/>
  <c r="G816" i="5" s="1"/>
  <c r="E815" i="5"/>
  <c r="G815" i="5" s="1"/>
  <c r="E814" i="5"/>
  <c r="G814" i="5" s="1"/>
  <c r="E813" i="5"/>
  <c r="G813" i="5" s="1"/>
  <c r="E812" i="5"/>
  <c r="G812" i="5" s="1"/>
  <c r="E811" i="5"/>
  <c r="G811" i="5" s="1"/>
  <c r="E810" i="5"/>
  <c r="G810" i="5" s="1"/>
  <c r="E809" i="5"/>
  <c r="G809" i="5" s="1"/>
  <c r="E808" i="5"/>
  <c r="G808" i="5" s="1"/>
  <c r="E807" i="5"/>
  <c r="G807" i="5" s="1"/>
  <c r="E806" i="5"/>
  <c r="G806" i="5" s="1"/>
  <c r="E805" i="5"/>
  <c r="G805" i="5" s="1"/>
  <c r="E804" i="5"/>
  <c r="G804" i="5" s="1"/>
  <c r="E803" i="5"/>
  <c r="G803" i="5" s="1"/>
  <c r="E802" i="5"/>
  <c r="G802" i="5" s="1"/>
  <c r="E801" i="5"/>
  <c r="G801" i="5" s="1"/>
  <c r="E800" i="5"/>
  <c r="G800" i="5" s="1"/>
  <c r="E799" i="5"/>
  <c r="G799" i="5" s="1"/>
  <c r="E798" i="5"/>
  <c r="G798" i="5" s="1"/>
  <c r="E797" i="5"/>
  <c r="G797" i="5" s="1"/>
  <c r="E796" i="5"/>
  <c r="G796" i="5" s="1"/>
  <c r="E795" i="5"/>
  <c r="G795" i="5" s="1"/>
  <c r="E794" i="5"/>
  <c r="G794" i="5" s="1"/>
  <c r="E793" i="5"/>
  <c r="G793" i="5" s="1"/>
  <c r="E792" i="5"/>
  <c r="G792" i="5" s="1"/>
  <c r="E791" i="5"/>
  <c r="G791" i="5" s="1"/>
  <c r="E790" i="5"/>
  <c r="G790" i="5" s="1"/>
  <c r="E789" i="5"/>
  <c r="G789" i="5" s="1"/>
  <c r="E788" i="5"/>
  <c r="G788" i="5" s="1"/>
  <c r="E787" i="5"/>
  <c r="G787" i="5" s="1"/>
  <c r="E786" i="5"/>
  <c r="G786" i="5" s="1"/>
  <c r="E785" i="5"/>
  <c r="G785" i="5" s="1"/>
  <c r="E784" i="5"/>
  <c r="G784" i="5" s="1"/>
  <c r="E783" i="5"/>
  <c r="G783" i="5" s="1"/>
  <c r="E782" i="5"/>
  <c r="G782" i="5" s="1"/>
  <c r="E781" i="5"/>
  <c r="G781" i="5" s="1"/>
  <c r="E780" i="5"/>
  <c r="G780" i="5" s="1"/>
  <c r="E779" i="5"/>
  <c r="G779" i="5" s="1"/>
  <c r="E778" i="5"/>
  <c r="G778" i="5" s="1"/>
  <c r="E777" i="5"/>
  <c r="G777" i="5" s="1"/>
  <c r="E776" i="5"/>
  <c r="G776" i="5" s="1"/>
  <c r="E775" i="5"/>
  <c r="G775" i="5" s="1"/>
  <c r="E774" i="5"/>
  <c r="G774" i="5" s="1"/>
  <c r="E773" i="5"/>
  <c r="G773" i="5" s="1"/>
  <c r="E772" i="5"/>
  <c r="G772" i="5" s="1"/>
  <c r="E771" i="5"/>
  <c r="G771" i="5" s="1"/>
  <c r="E770" i="5"/>
  <c r="G770" i="5" s="1"/>
  <c r="E769" i="5"/>
  <c r="G769" i="5" s="1"/>
  <c r="E768" i="5"/>
  <c r="G768" i="5" s="1"/>
  <c r="E767" i="5"/>
  <c r="G767" i="5" s="1"/>
  <c r="E766" i="5"/>
  <c r="G766" i="5" s="1"/>
  <c r="E765" i="5"/>
  <c r="G765" i="5" s="1"/>
  <c r="E764" i="5"/>
  <c r="G764" i="5" s="1"/>
  <c r="E763" i="5"/>
  <c r="G763" i="5" s="1"/>
  <c r="E762" i="5"/>
  <c r="G762" i="5" s="1"/>
  <c r="E761" i="5"/>
  <c r="G761" i="5" s="1"/>
  <c r="E760" i="5"/>
  <c r="G760" i="5" s="1"/>
  <c r="E759" i="5"/>
  <c r="G759" i="5" s="1"/>
  <c r="E758" i="5"/>
  <c r="G758" i="5" s="1"/>
  <c r="E757" i="5"/>
  <c r="G757" i="5" s="1"/>
  <c r="E756" i="5"/>
  <c r="G756" i="5" s="1"/>
  <c r="E755" i="5"/>
  <c r="G755" i="5" s="1"/>
  <c r="E754" i="5"/>
  <c r="G754" i="5" s="1"/>
  <c r="E753" i="5"/>
  <c r="G753" i="5" s="1"/>
  <c r="E752" i="5"/>
  <c r="G752" i="5" s="1"/>
  <c r="E751" i="5"/>
  <c r="G751" i="5" s="1"/>
  <c r="E750" i="5"/>
  <c r="G750" i="5" s="1"/>
  <c r="E749" i="5"/>
  <c r="G749" i="5" s="1"/>
  <c r="E748" i="5"/>
  <c r="G748" i="5" s="1"/>
  <c r="E747" i="5"/>
  <c r="G747" i="5" s="1"/>
  <c r="E746" i="5"/>
  <c r="G746" i="5" s="1"/>
  <c r="E745" i="5"/>
  <c r="G745" i="5" s="1"/>
  <c r="E744" i="5"/>
  <c r="G744" i="5" s="1"/>
  <c r="E743" i="5"/>
  <c r="G743" i="5" s="1"/>
  <c r="E742" i="5"/>
  <c r="G742" i="5" s="1"/>
  <c r="E741" i="5"/>
  <c r="G741" i="5" s="1"/>
  <c r="E740" i="5"/>
  <c r="G740" i="5" s="1"/>
  <c r="E739" i="5"/>
  <c r="G739" i="5" s="1"/>
  <c r="E738" i="5"/>
  <c r="G738" i="5" s="1"/>
  <c r="E737" i="5"/>
  <c r="G737" i="5" s="1"/>
  <c r="E736" i="5"/>
  <c r="G736" i="5" s="1"/>
  <c r="E735" i="5"/>
  <c r="G735" i="5" s="1"/>
  <c r="E734" i="5"/>
  <c r="G734" i="5" s="1"/>
  <c r="E733" i="5"/>
  <c r="G733" i="5" s="1"/>
  <c r="E732" i="5"/>
  <c r="G732" i="5" s="1"/>
  <c r="E731" i="5"/>
  <c r="G731" i="5" s="1"/>
  <c r="E730" i="5"/>
  <c r="G730" i="5" s="1"/>
  <c r="E729" i="5"/>
  <c r="G729" i="5" s="1"/>
  <c r="E728" i="5"/>
  <c r="G728" i="5" s="1"/>
  <c r="E727" i="5"/>
  <c r="G727" i="5" s="1"/>
  <c r="E726" i="5"/>
  <c r="G726" i="5" s="1"/>
  <c r="E725" i="5"/>
  <c r="G725" i="5" s="1"/>
  <c r="E724" i="5"/>
  <c r="G724" i="5" s="1"/>
  <c r="E723" i="5"/>
  <c r="G723" i="5" s="1"/>
  <c r="E722" i="5"/>
  <c r="G722" i="5" s="1"/>
  <c r="E721" i="5"/>
  <c r="G721" i="5" s="1"/>
  <c r="E720" i="5"/>
  <c r="G720" i="5" s="1"/>
  <c r="E719" i="5"/>
  <c r="G719" i="5" s="1"/>
  <c r="E718" i="5"/>
  <c r="G718" i="5" s="1"/>
  <c r="E717" i="5"/>
  <c r="G717" i="5" s="1"/>
  <c r="E716" i="5"/>
  <c r="G716" i="5" s="1"/>
  <c r="E715" i="5"/>
  <c r="G715" i="5" s="1"/>
  <c r="E714" i="5"/>
  <c r="G714" i="5" s="1"/>
  <c r="E713" i="5"/>
  <c r="G713" i="5" s="1"/>
  <c r="E712" i="5"/>
  <c r="G712" i="5" s="1"/>
  <c r="E711" i="5"/>
  <c r="G711" i="5" s="1"/>
  <c r="E710" i="5"/>
  <c r="G710" i="5" s="1"/>
  <c r="E709" i="5"/>
  <c r="G709" i="5" s="1"/>
  <c r="E708" i="5"/>
  <c r="G708" i="5" s="1"/>
  <c r="E707" i="5"/>
  <c r="G707" i="5" s="1"/>
  <c r="E706" i="5"/>
  <c r="G706" i="5" s="1"/>
  <c r="E705" i="5"/>
  <c r="G705" i="5" s="1"/>
  <c r="E704" i="5"/>
  <c r="G704" i="5" s="1"/>
  <c r="E703" i="5"/>
  <c r="G703" i="5" s="1"/>
  <c r="E702" i="5"/>
  <c r="G702" i="5" s="1"/>
  <c r="E701" i="5"/>
  <c r="G701" i="5" s="1"/>
  <c r="E700" i="5"/>
  <c r="G700" i="5" s="1"/>
  <c r="E699" i="5"/>
  <c r="G699" i="5" s="1"/>
  <c r="E698" i="5"/>
  <c r="G698" i="5" s="1"/>
  <c r="E697" i="5"/>
  <c r="G697" i="5" s="1"/>
  <c r="E696" i="5"/>
  <c r="G696" i="5" s="1"/>
  <c r="E695" i="5"/>
  <c r="G695" i="5" s="1"/>
  <c r="E694" i="5"/>
  <c r="G694" i="5" s="1"/>
  <c r="E693" i="5"/>
  <c r="G693" i="5" s="1"/>
  <c r="E692" i="5"/>
  <c r="G692" i="5" s="1"/>
  <c r="E691" i="5"/>
  <c r="G691" i="5" s="1"/>
  <c r="E690" i="5"/>
  <c r="G690" i="5" s="1"/>
  <c r="E689" i="5"/>
  <c r="G689" i="5" s="1"/>
  <c r="E688" i="5"/>
  <c r="G688" i="5" s="1"/>
  <c r="E687" i="5"/>
  <c r="G687" i="5" s="1"/>
  <c r="E686" i="5"/>
  <c r="G686" i="5" s="1"/>
  <c r="E685" i="5"/>
  <c r="G685" i="5" s="1"/>
  <c r="E684" i="5"/>
  <c r="G684" i="5" s="1"/>
  <c r="E683" i="5"/>
  <c r="G683" i="5" s="1"/>
  <c r="E682" i="5"/>
  <c r="G682" i="5" s="1"/>
  <c r="E681" i="5"/>
  <c r="G681" i="5" s="1"/>
  <c r="E680" i="5"/>
  <c r="G680" i="5" s="1"/>
  <c r="E679" i="5"/>
  <c r="G679" i="5" s="1"/>
  <c r="E678" i="5"/>
  <c r="G678" i="5" s="1"/>
  <c r="E677" i="5"/>
  <c r="G677" i="5" s="1"/>
  <c r="E676" i="5"/>
  <c r="G676" i="5" s="1"/>
  <c r="E675" i="5"/>
  <c r="G675" i="5" s="1"/>
  <c r="E674" i="5"/>
  <c r="G674" i="5" s="1"/>
  <c r="E673" i="5"/>
  <c r="G673" i="5" s="1"/>
  <c r="E672" i="5"/>
  <c r="G672" i="5" s="1"/>
  <c r="E671" i="5"/>
  <c r="G671" i="5" s="1"/>
  <c r="E670" i="5"/>
  <c r="G670" i="5" s="1"/>
  <c r="E669" i="5"/>
  <c r="G669" i="5" s="1"/>
  <c r="E668" i="5"/>
  <c r="G668" i="5" s="1"/>
  <c r="E667" i="5"/>
  <c r="G667" i="5" s="1"/>
  <c r="E666" i="5"/>
  <c r="G666" i="5" s="1"/>
  <c r="E665" i="5"/>
  <c r="G665" i="5" s="1"/>
  <c r="E664" i="5"/>
  <c r="G664" i="5" s="1"/>
  <c r="E663" i="5"/>
  <c r="G663" i="5" s="1"/>
  <c r="E662" i="5"/>
  <c r="G662" i="5" s="1"/>
  <c r="E661" i="5"/>
  <c r="G661" i="5" s="1"/>
  <c r="E660" i="5"/>
  <c r="G660" i="5" s="1"/>
  <c r="E659" i="5"/>
  <c r="G659" i="5" s="1"/>
  <c r="E658" i="5"/>
  <c r="G658" i="5" s="1"/>
  <c r="E657" i="5"/>
  <c r="G657" i="5" s="1"/>
  <c r="E656" i="5"/>
  <c r="G656" i="5" s="1"/>
  <c r="E655" i="5"/>
  <c r="G655" i="5" s="1"/>
  <c r="E654" i="5"/>
  <c r="G654" i="5" s="1"/>
  <c r="E653" i="5"/>
  <c r="G653" i="5" s="1"/>
  <c r="E652" i="5"/>
  <c r="G652" i="5" s="1"/>
  <c r="E651" i="5"/>
  <c r="G651" i="5" s="1"/>
  <c r="E650" i="5"/>
  <c r="G650" i="5" s="1"/>
  <c r="E649" i="5"/>
  <c r="G649" i="5" s="1"/>
  <c r="E648" i="5"/>
  <c r="G648" i="5" s="1"/>
  <c r="E647" i="5"/>
  <c r="G647" i="5" s="1"/>
  <c r="E646" i="5"/>
  <c r="G646" i="5" s="1"/>
  <c r="E645" i="5"/>
  <c r="G645" i="5" s="1"/>
  <c r="E644" i="5"/>
  <c r="G644" i="5" s="1"/>
  <c r="E643" i="5"/>
  <c r="G643" i="5" s="1"/>
  <c r="E642" i="5"/>
  <c r="G642" i="5" s="1"/>
  <c r="E641" i="5"/>
  <c r="G641" i="5" s="1"/>
  <c r="E640" i="5"/>
  <c r="G640" i="5" s="1"/>
  <c r="E639" i="5"/>
  <c r="G639" i="5" s="1"/>
  <c r="E638" i="5"/>
  <c r="G638" i="5" s="1"/>
  <c r="E637" i="5"/>
  <c r="G637" i="5" s="1"/>
  <c r="E636" i="5"/>
  <c r="G636" i="5" s="1"/>
  <c r="E635" i="5"/>
  <c r="G635" i="5" s="1"/>
  <c r="E634" i="5"/>
  <c r="G634" i="5" s="1"/>
  <c r="E633" i="5"/>
  <c r="G633" i="5" s="1"/>
  <c r="E632" i="5"/>
  <c r="G632" i="5" s="1"/>
  <c r="E631" i="5"/>
  <c r="G631" i="5" s="1"/>
  <c r="E630" i="5"/>
  <c r="G630" i="5" s="1"/>
  <c r="E629" i="5"/>
  <c r="G629" i="5" s="1"/>
  <c r="E628" i="5"/>
  <c r="G628" i="5" s="1"/>
  <c r="E627" i="5"/>
  <c r="G627" i="5" s="1"/>
  <c r="E626" i="5"/>
  <c r="G626" i="5" s="1"/>
  <c r="E625" i="5"/>
  <c r="G625" i="5" s="1"/>
  <c r="E624" i="5"/>
  <c r="G624" i="5" s="1"/>
  <c r="E623" i="5"/>
  <c r="G623" i="5" s="1"/>
  <c r="E622" i="5"/>
  <c r="G622" i="5" s="1"/>
  <c r="E621" i="5"/>
  <c r="G621" i="5" s="1"/>
  <c r="E620" i="5"/>
  <c r="G620" i="5" s="1"/>
  <c r="E619" i="5"/>
  <c r="G619" i="5" s="1"/>
  <c r="E618" i="5"/>
  <c r="G618" i="5" s="1"/>
  <c r="E617" i="5"/>
  <c r="G617" i="5" s="1"/>
  <c r="E616" i="5"/>
  <c r="G616" i="5" s="1"/>
  <c r="E615" i="5"/>
  <c r="G615" i="5" s="1"/>
  <c r="E614" i="5"/>
  <c r="G614" i="5" s="1"/>
  <c r="E613" i="5"/>
  <c r="G613" i="5" s="1"/>
  <c r="E612" i="5"/>
  <c r="G612" i="5" s="1"/>
  <c r="E611" i="5"/>
  <c r="G611" i="5" s="1"/>
  <c r="E610" i="5"/>
  <c r="G610" i="5" s="1"/>
  <c r="E609" i="5"/>
  <c r="G609" i="5" s="1"/>
  <c r="E608" i="5"/>
  <c r="G608" i="5" s="1"/>
  <c r="E607" i="5"/>
  <c r="G607" i="5" s="1"/>
  <c r="E606" i="5"/>
  <c r="G606" i="5" s="1"/>
  <c r="E605" i="5"/>
  <c r="G605" i="5" s="1"/>
  <c r="E604" i="5"/>
  <c r="G604" i="5" s="1"/>
  <c r="E603" i="5"/>
  <c r="G603" i="5" s="1"/>
  <c r="E602" i="5"/>
  <c r="G602" i="5" s="1"/>
  <c r="E601" i="5"/>
  <c r="G601" i="5" s="1"/>
  <c r="E600" i="5"/>
  <c r="G600" i="5" s="1"/>
  <c r="E599" i="5"/>
  <c r="G599" i="5" s="1"/>
  <c r="E598" i="5"/>
  <c r="G598" i="5" s="1"/>
  <c r="E597" i="5"/>
  <c r="G597" i="5" s="1"/>
  <c r="E596" i="5"/>
  <c r="G596" i="5" s="1"/>
  <c r="E595" i="5"/>
  <c r="G595" i="5" s="1"/>
  <c r="E594" i="5"/>
  <c r="G594" i="5" s="1"/>
  <c r="E593" i="5"/>
  <c r="G593" i="5" s="1"/>
  <c r="E592" i="5"/>
  <c r="G592" i="5" s="1"/>
  <c r="E591" i="5"/>
  <c r="G591" i="5" s="1"/>
  <c r="E590" i="5"/>
  <c r="G590" i="5" s="1"/>
  <c r="E589" i="5"/>
  <c r="G589" i="5" s="1"/>
  <c r="E588" i="5"/>
  <c r="G588" i="5" s="1"/>
  <c r="E587" i="5"/>
  <c r="G587" i="5" s="1"/>
  <c r="E586" i="5"/>
  <c r="G586" i="5" s="1"/>
  <c r="E585" i="5"/>
  <c r="G585" i="5" s="1"/>
  <c r="E584" i="5"/>
  <c r="G584" i="5" s="1"/>
  <c r="E583" i="5"/>
  <c r="G583" i="5" s="1"/>
  <c r="E582" i="5"/>
  <c r="G582" i="5" s="1"/>
  <c r="E581" i="5"/>
  <c r="G581" i="5" s="1"/>
  <c r="E580" i="5"/>
  <c r="G580" i="5" s="1"/>
  <c r="E579" i="5"/>
  <c r="G579" i="5" s="1"/>
  <c r="E578" i="5"/>
  <c r="G578" i="5" s="1"/>
  <c r="E577" i="5"/>
  <c r="G577" i="5" s="1"/>
  <c r="E576" i="5"/>
  <c r="G576" i="5" s="1"/>
  <c r="E575" i="5"/>
  <c r="G575" i="5" s="1"/>
  <c r="E574" i="5"/>
  <c r="G574" i="5" s="1"/>
  <c r="E573" i="5"/>
  <c r="G573" i="5" s="1"/>
  <c r="E572" i="5"/>
  <c r="G572" i="5" s="1"/>
  <c r="E571" i="5"/>
  <c r="G571" i="5" s="1"/>
  <c r="E570" i="5"/>
  <c r="G570" i="5" s="1"/>
  <c r="E569" i="5"/>
  <c r="G569" i="5" s="1"/>
  <c r="E568" i="5"/>
  <c r="G568" i="5" s="1"/>
  <c r="E567" i="5"/>
  <c r="G567" i="5" s="1"/>
  <c r="E566" i="5"/>
  <c r="G566" i="5" s="1"/>
  <c r="E565" i="5"/>
  <c r="G565" i="5" s="1"/>
  <c r="E564" i="5"/>
  <c r="G564" i="5" s="1"/>
  <c r="E563" i="5"/>
  <c r="G563" i="5" s="1"/>
  <c r="E562" i="5"/>
  <c r="G562" i="5" s="1"/>
  <c r="E561" i="5"/>
  <c r="G561" i="5" s="1"/>
  <c r="E560" i="5"/>
  <c r="G560" i="5" s="1"/>
  <c r="E559" i="5"/>
  <c r="G559" i="5" s="1"/>
  <c r="E558" i="5"/>
  <c r="G558" i="5" s="1"/>
  <c r="E557" i="5"/>
  <c r="G557" i="5" s="1"/>
  <c r="E556" i="5"/>
  <c r="G556" i="5" s="1"/>
  <c r="E555" i="5"/>
  <c r="G555" i="5" s="1"/>
  <c r="E554" i="5"/>
  <c r="G554" i="5" s="1"/>
  <c r="E553" i="5"/>
  <c r="G553" i="5" s="1"/>
  <c r="E552" i="5"/>
  <c r="G552" i="5" s="1"/>
  <c r="E551" i="5"/>
  <c r="G551" i="5" s="1"/>
  <c r="E550" i="5"/>
  <c r="G550" i="5" s="1"/>
  <c r="E549" i="5"/>
  <c r="G549" i="5" s="1"/>
  <c r="E548" i="5"/>
  <c r="G548" i="5" s="1"/>
  <c r="E547" i="5"/>
  <c r="G547" i="5" s="1"/>
  <c r="E546" i="5"/>
  <c r="G546" i="5" s="1"/>
  <c r="E545" i="5"/>
  <c r="G545" i="5" s="1"/>
  <c r="E544" i="5"/>
  <c r="G544" i="5" s="1"/>
  <c r="E543" i="5"/>
  <c r="G543" i="5" s="1"/>
  <c r="E542" i="5"/>
  <c r="G542" i="5" s="1"/>
  <c r="E541" i="5"/>
  <c r="G541" i="5" s="1"/>
  <c r="E540" i="5"/>
  <c r="G540" i="5" s="1"/>
  <c r="E539" i="5"/>
  <c r="G539" i="5" s="1"/>
  <c r="E538" i="5"/>
  <c r="G538" i="5" s="1"/>
  <c r="E537" i="5"/>
  <c r="G537" i="5" s="1"/>
  <c r="E536" i="5"/>
  <c r="G536" i="5" s="1"/>
  <c r="E535" i="5"/>
  <c r="G535" i="5" s="1"/>
  <c r="E534" i="5"/>
  <c r="G534" i="5" s="1"/>
  <c r="E533" i="5"/>
  <c r="G533" i="5" s="1"/>
  <c r="E532" i="5"/>
  <c r="G532" i="5" s="1"/>
  <c r="E531" i="5"/>
  <c r="G531" i="5" s="1"/>
  <c r="E530" i="5"/>
  <c r="G530" i="5" s="1"/>
  <c r="E529" i="5"/>
  <c r="G529" i="5" s="1"/>
  <c r="E528" i="5"/>
  <c r="G528" i="5" s="1"/>
  <c r="E527" i="5"/>
  <c r="G527" i="5" s="1"/>
  <c r="E526" i="5"/>
  <c r="G526" i="5" s="1"/>
  <c r="E525" i="5"/>
  <c r="G525" i="5" s="1"/>
  <c r="E524" i="5"/>
  <c r="G524" i="5" s="1"/>
  <c r="E523" i="5"/>
  <c r="G523" i="5" s="1"/>
  <c r="E522" i="5"/>
  <c r="G522" i="5" s="1"/>
  <c r="E521" i="5"/>
  <c r="G521" i="5" s="1"/>
  <c r="E520" i="5"/>
  <c r="G520" i="5" s="1"/>
  <c r="E519" i="5"/>
  <c r="G519" i="5" s="1"/>
  <c r="E518" i="5"/>
  <c r="G518" i="5" s="1"/>
  <c r="E517" i="5"/>
  <c r="G517" i="5" s="1"/>
  <c r="E516" i="5"/>
  <c r="G516" i="5" s="1"/>
  <c r="E515" i="5"/>
  <c r="G515" i="5" s="1"/>
  <c r="E514" i="5"/>
  <c r="G514" i="5" s="1"/>
  <c r="E513" i="5"/>
  <c r="G513" i="5" s="1"/>
  <c r="E512" i="5"/>
  <c r="G512" i="5" s="1"/>
  <c r="E511" i="5"/>
  <c r="G511" i="5" s="1"/>
  <c r="E510" i="5"/>
  <c r="G510" i="5" s="1"/>
  <c r="E509" i="5"/>
  <c r="G509" i="5" s="1"/>
  <c r="E508" i="5"/>
  <c r="G508" i="5" s="1"/>
  <c r="E507" i="5"/>
  <c r="G507" i="5" s="1"/>
  <c r="E506" i="5"/>
  <c r="G506" i="5" s="1"/>
  <c r="E505" i="5"/>
  <c r="G505" i="5" s="1"/>
  <c r="E504" i="5"/>
  <c r="G504" i="5" s="1"/>
  <c r="E503" i="5"/>
  <c r="G503" i="5" s="1"/>
  <c r="E502" i="5"/>
  <c r="G502" i="5" s="1"/>
  <c r="E501" i="5"/>
  <c r="G501" i="5" s="1"/>
  <c r="E500" i="5"/>
  <c r="G500" i="5" s="1"/>
  <c r="E499" i="5"/>
  <c r="G499" i="5" s="1"/>
  <c r="E498" i="5"/>
  <c r="G498" i="5" s="1"/>
  <c r="E497" i="5"/>
  <c r="G497" i="5" s="1"/>
  <c r="E496" i="5"/>
  <c r="G496" i="5" s="1"/>
  <c r="E495" i="5"/>
  <c r="G495" i="5" s="1"/>
  <c r="E494" i="5"/>
  <c r="G494" i="5" s="1"/>
  <c r="E493" i="5"/>
  <c r="G493" i="5" s="1"/>
  <c r="E492" i="5"/>
  <c r="G492" i="5" s="1"/>
  <c r="E491" i="5"/>
  <c r="G491" i="5" s="1"/>
  <c r="E490" i="5"/>
  <c r="G490" i="5" s="1"/>
  <c r="E489" i="5"/>
  <c r="G489" i="5" s="1"/>
  <c r="E488" i="5"/>
  <c r="G488" i="5" s="1"/>
  <c r="E487" i="5"/>
  <c r="G487" i="5" s="1"/>
  <c r="E486" i="5"/>
  <c r="G486" i="5" s="1"/>
  <c r="E485" i="5"/>
  <c r="G485" i="5" s="1"/>
  <c r="E484" i="5"/>
  <c r="G484" i="5" s="1"/>
  <c r="E483" i="5"/>
  <c r="G483" i="5" s="1"/>
  <c r="E482" i="5"/>
  <c r="G482" i="5" s="1"/>
  <c r="E481" i="5"/>
  <c r="G481" i="5" s="1"/>
  <c r="E480" i="5"/>
  <c r="G480" i="5" s="1"/>
  <c r="E479" i="5"/>
  <c r="G479" i="5" s="1"/>
  <c r="E478" i="5"/>
  <c r="G478" i="5" s="1"/>
  <c r="E477" i="5"/>
  <c r="G477" i="5" s="1"/>
  <c r="E476" i="5"/>
  <c r="G476" i="5" s="1"/>
  <c r="E475" i="5"/>
  <c r="G475" i="5" s="1"/>
  <c r="E474" i="5"/>
  <c r="G474" i="5" s="1"/>
  <c r="E473" i="5"/>
  <c r="G473" i="5" s="1"/>
  <c r="E472" i="5"/>
  <c r="G472" i="5" s="1"/>
  <c r="E471" i="5"/>
  <c r="G471" i="5" s="1"/>
  <c r="E470" i="5"/>
  <c r="G470" i="5" s="1"/>
  <c r="E469" i="5"/>
  <c r="G469" i="5" s="1"/>
  <c r="E468" i="5"/>
  <c r="G468" i="5" s="1"/>
  <c r="E467" i="5"/>
  <c r="G467" i="5" s="1"/>
  <c r="E466" i="5"/>
  <c r="G466" i="5" s="1"/>
  <c r="E465" i="5"/>
  <c r="G465" i="5" s="1"/>
  <c r="E464" i="5"/>
  <c r="G464" i="5" s="1"/>
  <c r="E463" i="5"/>
  <c r="G463" i="5" s="1"/>
  <c r="E462" i="5"/>
  <c r="G462" i="5" s="1"/>
  <c r="E461" i="5"/>
  <c r="G461" i="5" s="1"/>
  <c r="E460" i="5"/>
  <c r="G460" i="5" s="1"/>
  <c r="E459" i="5"/>
  <c r="G459" i="5" s="1"/>
  <c r="E458" i="5"/>
  <c r="G458" i="5" s="1"/>
  <c r="E457" i="5"/>
  <c r="G457" i="5" s="1"/>
  <c r="E456" i="5"/>
  <c r="G456" i="5" s="1"/>
  <c r="E455" i="5"/>
  <c r="G455" i="5" s="1"/>
  <c r="E454" i="5"/>
  <c r="G454" i="5" s="1"/>
  <c r="E453" i="5"/>
  <c r="G453" i="5" s="1"/>
  <c r="E452" i="5"/>
  <c r="G452" i="5" s="1"/>
  <c r="E451" i="5"/>
  <c r="G451" i="5" s="1"/>
  <c r="E450" i="5"/>
  <c r="G450" i="5" s="1"/>
  <c r="E449" i="5"/>
  <c r="G449" i="5" s="1"/>
  <c r="E448" i="5"/>
  <c r="G448" i="5" s="1"/>
  <c r="E447" i="5"/>
  <c r="G447" i="5" s="1"/>
  <c r="E446" i="5"/>
  <c r="G446" i="5" s="1"/>
  <c r="E445" i="5"/>
  <c r="G445" i="5" s="1"/>
  <c r="E444" i="5"/>
  <c r="G444" i="5" s="1"/>
  <c r="E443" i="5"/>
  <c r="G443" i="5" s="1"/>
  <c r="E442" i="5"/>
  <c r="G442" i="5" s="1"/>
  <c r="E441" i="5"/>
  <c r="G441" i="5" s="1"/>
  <c r="E440" i="5"/>
  <c r="G440" i="5" s="1"/>
  <c r="E439" i="5"/>
  <c r="G439" i="5" s="1"/>
  <c r="E438" i="5"/>
  <c r="G438" i="5" s="1"/>
  <c r="E437" i="5"/>
  <c r="G437" i="5" s="1"/>
  <c r="E436" i="5"/>
  <c r="G436" i="5" s="1"/>
  <c r="E435" i="5"/>
  <c r="G435" i="5" s="1"/>
  <c r="E434" i="5"/>
  <c r="G434" i="5" s="1"/>
  <c r="E433" i="5"/>
  <c r="G433" i="5" s="1"/>
  <c r="E432" i="5"/>
  <c r="G432" i="5" s="1"/>
  <c r="E431" i="5"/>
  <c r="G431" i="5" s="1"/>
  <c r="E430" i="5"/>
  <c r="G430" i="5" s="1"/>
  <c r="E429" i="5"/>
  <c r="G429" i="5" s="1"/>
  <c r="E428" i="5"/>
  <c r="G428" i="5" s="1"/>
  <c r="E427" i="5"/>
  <c r="G427" i="5" s="1"/>
  <c r="E426" i="5"/>
  <c r="G426" i="5" s="1"/>
  <c r="E425" i="5"/>
  <c r="G425" i="5" s="1"/>
  <c r="E424" i="5"/>
  <c r="G424" i="5" s="1"/>
  <c r="E423" i="5"/>
  <c r="G423" i="5" s="1"/>
  <c r="E422" i="5"/>
  <c r="G422" i="5" s="1"/>
  <c r="E421" i="5"/>
  <c r="G421" i="5" s="1"/>
  <c r="E420" i="5"/>
  <c r="G420" i="5" s="1"/>
  <c r="E419" i="5"/>
  <c r="G419" i="5" s="1"/>
  <c r="E418" i="5"/>
  <c r="G418" i="5" s="1"/>
  <c r="E417" i="5"/>
  <c r="G417" i="5" s="1"/>
  <c r="E416" i="5"/>
  <c r="G416" i="5" s="1"/>
  <c r="E415" i="5"/>
  <c r="G415" i="5" s="1"/>
  <c r="E414" i="5"/>
  <c r="G414" i="5" s="1"/>
  <c r="E413" i="5"/>
  <c r="G413" i="5" s="1"/>
  <c r="E412" i="5"/>
  <c r="G412" i="5" s="1"/>
  <c r="E411" i="5"/>
  <c r="G411" i="5" s="1"/>
  <c r="E410" i="5"/>
  <c r="G410" i="5" s="1"/>
  <c r="E409" i="5"/>
  <c r="G409" i="5" s="1"/>
  <c r="E408" i="5"/>
  <c r="G408" i="5" s="1"/>
  <c r="E407" i="5"/>
  <c r="G407" i="5" s="1"/>
  <c r="E406" i="5"/>
  <c r="G406" i="5" s="1"/>
  <c r="E405" i="5"/>
  <c r="G405" i="5" s="1"/>
  <c r="E404" i="5"/>
  <c r="G404" i="5" s="1"/>
  <c r="E403" i="5"/>
  <c r="G403" i="5" s="1"/>
  <c r="E402" i="5"/>
  <c r="G402" i="5" s="1"/>
  <c r="E401" i="5"/>
  <c r="G401" i="5" s="1"/>
  <c r="E400" i="5"/>
  <c r="G400" i="5" s="1"/>
  <c r="E399" i="5"/>
  <c r="G399" i="5" s="1"/>
  <c r="E398" i="5"/>
  <c r="G398" i="5" s="1"/>
  <c r="E397" i="5"/>
  <c r="G397" i="5" s="1"/>
  <c r="E396" i="5"/>
  <c r="G396" i="5" s="1"/>
  <c r="E395" i="5"/>
  <c r="G395" i="5" s="1"/>
  <c r="E394" i="5"/>
  <c r="G394" i="5" s="1"/>
  <c r="E393" i="5"/>
  <c r="G393" i="5" s="1"/>
  <c r="E392" i="5"/>
  <c r="G392" i="5" s="1"/>
  <c r="E391" i="5"/>
  <c r="G391" i="5" s="1"/>
  <c r="E390" i="5"/>
  <c r="G390" i="5" s="1"/>
  <c r="E389" i="5"/>
  <c r="G389" i="5" s="1"/>
  <c r="E388" i="5"/>
  <c r="G388" i="5" s="1"/>
  <c r="E387" i="5"/>
  <c r="G387" i="5" s="1"/>
  <c r="E386" i="5"/>
  <c r="G386" i="5" s="1"/>
  <c r="E385" i="5"/>
  <c r="G385" i="5" s="1"/>
  <c r="E384" i="5"/>
  <c r="G384" i="5" s="1"/>
  <c r="E383" i="5"/>
  <c r="G383" i="5" s="1"/>
  <c r="E382" i="5"/>
  <c r="G382" i="5" s="1"/>
  <c r="E381" i="5"/>
  <c r="G381" i="5" s="1"/>
  <c r="E380" i="5"/>
  <c r="G380" i="5" s="1"/>
  <c r="E379" i="5"/>
  <c r="G379" i="5" s="1"/>
  <c r="E378" i="5"/>
  <c r="G378" i="5" s="1"/>
  <c r="E377" i="5"/>
  <c r="G377" i="5" s="1"/>
  <c r="E376" i="5"/>
  <c r="G376" i="5" s="1"/>
  <c r="E375" i="5"/>
  <c r="G375" i="5" s="1"/>
  <c r="E374" i="5"/>
  <c r="G374" i="5" s="1"/>
  <c r="E373" i="5"/>
  <c r="G373" i="5" s="1"/>
  <c r="E372" i="5"/>
  <c r="G372" i="5" s="1"/>
  <c r="E371" i="5"/>
  <c r="G371" i="5" s="1"/>
  <c r="E370" i="5"/>
  <c r="G370" i="5" s="1"/>
  <c r="E369" i="5"/>
  <c r="G369" i="5" s="1"/>
  <c r="E368" i="5"/>
  <c r="G368" i="5" s="1"/>
  <c r="E367" i="5"/>
  <c r="G367" i="5" s="1"/>
  <c r="E366" i="5"/>
  <c r="G366" i="5" s="1"/>
  <c r="E365" i="5"/>
  <c r="G365" i="5" s="1"/>
  <c r="E364" i="5"/>
  <c r="G364" i="5" s="1"/>
  <c r="E363" i="5"/>
  <c r="G363" i="5" s="1"/>
  <c r="E362" i="5"/>
  <c r="G362" i="5" s="1"/>
  <c r="E361" i="5"/>
  <c r="G361" i="5" s="1"/>
  <c r="E360" i="5"/>
  <c r="G360" i="5" s="1"/>
  <c r="E359" i="5"/>
  <c r="G359" i="5" s="1"/>
  <c r="E358" i="5"/>
  <c r="G358" i="5" s="1"/>
  <c r="E357" i="5"/>
  <c r="G357" i="5" s="1"/>
  <c r="E356" i="5"/>
  <c r="G356" i="5" s="1"/>
  <c r="E355" i="5"/>
  <c r="G355" i="5" s="1"/>
  <c r="E354" i="5"/>
  <c r="G354" i="5" s="1"/>
  <c r="E353" i="5"/>
  <c r="G353" i="5" s="1"/>
  <c r="E352" i="5"/>
  <c r="G352" i="5" s="1"/>
  <c r="E351" i="5"/>
  <c r="G351" i="5" s="1"/>
  <c r="E350" i="5"/>
  <c r="G350" i="5" s="1"/>
  <c r="E349" i="5"/>
  <c r="G349" i="5" s="1"/>
  <c r="E348" i="5"/>
  <c r="G348" i="5" s="1"/>
  <c r="E347" i="5"/>
  <c r="G347" i="5" s="1"/>
  <c r="E346" i="5"/>
  <c r="G346" i="5" s="1"/>
  <c r="E345" i="5"/>
  <c r="G345" i="5" s="1"/>
  <c r="E344" i="5"/>
  <c r="G344" i="5" s="1"/>
  <c r="E343" i="5"/>
  <c r="G343" i="5" s="1"/>
  <c r="E342" i="5"/>
  <c r="G342" i="5" s="1"/>
  <c r="E341" i="5"/>
  <c r="G341" i="5" s="1"/>
  <c r="E340" i="5"/>
  <c r="G340" i="5" s="1"/>
  <c r="E339" i="5"/>
  <c r="G339" i="5" s="1"/>
  <c r="E338" i="5"/>
  <c r="G338" i="5" s="1"/>
  <c r="E337" i="5"/>
  <c r="G337" i="5" s="1"/>
  <c r="E336" i="5"/>
  <c r="G336" i="5" s="1"/>
  <c r="E335" i="5"/>
  <c r="G335" i="5" s="1"/>
  <c r="E334" i="5"/>
  <c r="G334" i="5" s="1"/>
  <c r="E333" i="5"/>
  <c r="G333" i="5" s="1"/>
  <c r="E332" i="5"/>
  <c r="G332" i="5" s="1"/>
  <c r="E331" i="5"/>
  <c r="G331" i="5" s="1"/>
  <c r="E330" i="5"/>
  <c r="G330" i="5" s="1"/>
  <c r="E329" i="5"/>
  <c r="G329" i="5" s="1"/>
  <c r="E328" i="5"/>
  <c r="G328" i="5" s="1"/>
  <c r="E327" i="5"/>
  <c r="G327" i="5" s="1"/>
  <c r="E326" i="5"/>
  <c r="G326" i="5" s="1"/>
  <c r="E325" i="5"/>
  <c r="G325" i="5" s="1"/>
  <c r="E324" i="5"/>
  <c r="G324" i="5" s="1"/>
  <c r="E323" i="5"/>
  <c r="G323" i="5" s="1"/>
  <c r="E322" i="5"/>
  <c r="G322" i="5" s="1"/>
  <c r="E321" i="5"/>
  <c r="G321" i="5" s="1"/>
  <c r="E320" i="5"/>
  <c r="G320" i="5" s="1"/>
  <c r="E319" i="5"/>
  <c r="G319" i="5" s="1"/>
  <c r="E318" i="5"/>
  <c r="G318" i="5" s="1"/>
  <c r="E317" i="5"/>
  <c r="G317" i="5" s="1"/>
  <c r="E316" i="5"/>
  <c r="G316" i="5" s="1"/>
  <c r="E315" i="5"/>
  <c r="G315" i="5" s="1"/>
  <c r="E314" i="5"/>
  <c r="G314" i="5" s="1"/>
  <c r="E313" i="5"/>
  <c r="G313" i="5" s="1"/>
  <c r="E312" i="5"/>
  <c r="G312" i="5" s="1"/>
  <c r="E311" i="5"/>
  <c r="G311" i="5" s="1"/>
  <c r="E310" i="5"/>
  <c r="G310" i="5" s="1"/>
  <c r="E309" i="5"/>
  <c r="G309" i="5" s="1"/>
  <c r="E308" i="5"/>
  <c r="G308" i="5" s="1"/>
  <c r="E307" i="5"/>
  <c r="G307" i="5" s="1"/>
  <c r="E306" i="5"/>
  <c r="G306" i="5" s="1"/>
  <c r="E305" i="5"/>
  <c r="G305" i="5" s="1"/>
  <c r="E304" i="5"/>
  <c r="G304" i="5" s="1"/>
  <c r="E303" i="5"/>
  <c r="G303" i="5" s="1"/>
  <c r="E302" i="5"/>
  <c r="G302" i="5" s="1"/>
  <c r="E301" i="5"/>
  <c r="G301" i="5" s="1"/>
  <c r="E300" i="5"/>
  <c r="G300" i="5" s="1"/>
  <c r="E299" i="5"/>
  <c r="G299" i="5" s="1"/>
  <c r="E298" i="5"/>
  <c r="G298" i="5" s="1"/>
  <c r="E297" i="5"/>
  <c r="G297" i="5" s="1"/>
  <c r="E296" i="5"/>
  <c r="G296" i="5" s="1"/>
  <c r="E295" i="5"/>
  <c r="G295" i="5" s="1"/>
  <c r="E294" i="5"/>
  <c r="G294" i="5" s="1"/>
  <c r="E293" i="5"/>
  <c r="G293" i="5" s="1"/>
  <c r="E292" i="5"/>
  <c r="G292" i="5" s="1"/>
  <c r="E291" i="5"/>
  <c r="G291" i="5" s="1"/>
  <c r="E290" i="5"/>
  <c r="G290" i="5" s="1"/>
  <c r="E289" i="5"/>
  <c r="G289" i="5" s="1"/>
  <c r="E288" i="5"/>
  <c r="G288" i="5" s="1"/>
  <c r="E287" i="5"/>
  <c r="G287" i="5" s="1"/>
  <c r="E286" i="5"/>
  <c r="G286" i="5" s="1"/>
  <c r="E285" i="5"/>
  <c r="G285" i="5" s="1"/>
  <c r="E284" i="5"/>
  <c r="G284" i="5" s="1"/>
  <c r="E283" i="5"/>
  <c r="G283" i="5" s="1"/>
  <c r="E282" i="5"/>
  <c r="G282" i="5" s="1"/>
  <c r="E281" i="5"/>
  <c r="G281" i="5" s="1"/>
  <c r="E280" i="5"/>
  <c r="G280" i="5" s="1"/>
  <c r="E279" i="5"/>
  <c r="G279" i="5" s="1"/>
  <c r="E278" i="5"/>
  <c r="G278" i="5" s="1"/>
  <c r="E277" i="5"/>
  <c r="G277" i="5" s="1"/>
  <c r="E276" i="5"/>
  <c r="G276" i="5" s="1"/>
  <c r="E275" i="5"/>
  <c r="G275" i="5" s="1"/>
  <c r="E274" i="5"/>
  <c r="G274" i="5" s="1"/>
  <c r="E273" i="5"/>
  <c r="G273" i="5" s="1"/>
  <c r="E272" i="5"/>
  <c r="G272" i="5" s="1"/>
  <c r="E271" i="5"/>
  <c r="G271" i="5" s="1"/>
  <c r="E270" i="5"/>
  <c r="G270" i="5" s="1"/>
  <c r="E269" i="5"/>
  <c r="G269" i="5" s="1"/>
  <c r="E268" i="5"/>
  <c r="G268" i="5" s="1"/>
  <c r="E267" i="5"/>
  <c r="G267" i="5" s="1"/>
  <c r="E266" i="5"/>
  <c r="G266" i="5" s="1"/>
  <c r="E265" i="5"/>
  <c r="G265" i="5" s="1"/>
  <c r="E264" i="5"/>
  <c r="G264" i="5" s="1"/>
  <c r="E263" i="5"/>
  <c r="G263" i="5" s="1"/>
  <c r="E262" i="5"/>
  <c r="G262" i="5" s="1"/>
  <c r="E261" i="5"/>
  <c r="G261" i="5" s="1"/>
  <c r="E260" i="5"/>
  <c r="G260" i="5" s="1"/>
  <c r="E259" i="5"/>
  <c r="G259" i="5" s="1"/>
  <c r="E258" i="5"/>
  <c r="G258" i="5" s="1"/>
  <c r="E257" i="5"/>
  <c r="G257" i="5" s="1"/>
  <c r="E256" i="5"/>
  <c r="G256" i="5" s="1"/>
  <c r="E255" i="5"/>
  <c r="G255" i="5" s="1"/>
  <c r="E254" i="5"/>
  <c r="G254" i="5" s="1"/>
  <c r="E253" i="5"/>
  <c r="G253" i="5" s="1"/>
  <c r="E252" i="5"/>
  <c r="G252" i="5" s="1"/>
  <c r="E251" i="5"/>
  <c r="G251" i="5" s="1"/>
  <c r="E250" i="5"/>
  <c r="G250" i="5" s="1"/>
  <c r="E249" i="5"/>
  <c r="G249" i="5" s="1"/>
  <c r="E248" i="5"/>
  <c r="G248" i="5" s="1"/>
  <c r="E247" i="5"/>
  <c r="G247" i="5" s="1"/>
  <c r="E246" i="5"/>
  <c r="G246" i="5" s="1"/>
  <c r="E245" i="5"/>
  <c r="G245" i="5" s="1"/>
  <c r="E244" i="5"/>
  <c r="G244" i="5" s="1"/>
  <c r="E243" i="5"/>
  <c r="G243" i="5" s="1"/>
  <c r="E242" i="5"/>
  <c r="G242" i="5" s="1"/>
  <c r="E241" i="5"/>
  <c r="G241" i="5" s="1"/>
  <c r="E240" i="5"/>
  <c r="G240" i="5" s="1"/>
  <c r="E239" i="5"/>
  <c r="G239" i="5" s="1"/>
  <c r="E238" i="5"/>
  <c r="G238" i="5" s="1"/>
  <c r="E237" i="5"/>
  <c r="G237" i="5" s="1"/>
  <c r="E236" i="5"/>
  <c r="G236" i="5" s="1"/>
  <c r="E235" i="5"/>
  <c r="G235" i="5" s="1"/>
  <c r="E234" i="5"/>
  <c r="G234" i="5" s="1"/>
  <c r="E233" i="5"/>
  <c r="G233" i="5" s="1"/>
  <c r="E232" i="5"/>
  <c r="G232" i="5" s="1"/>
  <c r="E231" i="5"/>
  <c r="G231" i="5" s="1"/>
  <c r="E230" i="5"/>
  <c r="G230" i="5" s="1"/>
  <c r="E229" i="5"/>
  <c r="G229" i="5" s="1"/>
  <c r="E228" i="5"/>
  <c r="G228" i="5" s="1"/>
  <c r="E227" i="5"/>
  <c r="G227" i="5" s="1"/>
  <c r="E226" i="5"/>
  <c r="G226" i="5" s="1"/>
  <c r="E225" i="5"/>
  <c r="G225" i="5" s="1"/>
  <c r="E224" i="5"/>
  <c r="G224" i="5" s="1"/>
  <c r="E223" i="5"/>
  <c r="G223" i="5" s="1"/>
  <c r="E222" i="5"/>
  <c r="G222" i="5" s="1"/>
  <c r="E221" i="5"/>
  <c r="G221" i="5" s="1"/>
  <c r="E220" i="5"/>
  <c r="G220" i="5" s="1"/>
  <c r="E219" i="5"/>
  <c r="G219" i="5" s="1"/>
  <c r="E218" i="5"/>
  <c r="G218" i="5" s="1"/>
  <c r="E217" i="5"/>
  <c r="G217" i="5" s="1"/>
  <c r="E216" i="5"/>
  <c r="G216" i="5" s="1"/>
  <c r="E215" i="5"/>
  <c r="G215" i="5" s="1"/>
  <c r="E214" i="5"/>
  <c r="G214" i="5" s="1"/>
  <c r="E213" i="5"/>
  <c r="G213" i="5" s="1"/>
  <c r="E212" i="5"/>
  <c r="G212" i="5" s="1"/>
  <c r="E211" i="5"/>
  <c r="G211" i="5" s="1"/>
  <c r="E210" i="5"/>
  <c r="G210" i="5" s="1"/>
  <c r="E209" i="5"/>
  <c r="G209" i="5" s="1"/>
  <c r="E208" i="5"/>
  <c r="G208" i="5" s="1"/>
  <c r="E207" i="5"/>
  <c r="G207" i="5" s="1"/>
  <c r="E206" i="5"/>
  <c r="G206" i="5" s="1"/>
  <c r="E205" i="5"/>
  <c r="G205" i="5" s="1"/>
  <c r="E204" i="5"/>
  <c r="G204" i="5" s="1"/>
  <c r="E203" i="5"/>
  <c r="G203" i="5" s="1"/>
  <c r="E202" i="5"/>
  <c r="G202" i="5" s="1"/>
  <c r="E201" i="5"/>
  <c r="G201" i="5" s="1"/>
  <c r="E200" i="5"/>
  <c r="G200" i="5" s="1"/>
  <c r="E199" i="5"/>
  <c r="G199" i="5" s="1"/>
  <c r="E198" i="5"/>
  <c r="G198" i="5" s="1"/>
  <c r="E197" i="5"/>
  <c r="G197" i="5" s="1"/>
  <c r="E196" i="5"/>
  <c r="G196" i="5" s="1"/>
  <c r="E195" i="5"/>
  <c r="G195" i="5" s="1"/>
  <c r="E194" i="5"/>
  <c r="G194" i="5" s="1"/>
  <c r="E193" i="5"/>
  <c r="G193" i="5" s="1"/>
  <c r="E192" i="5"/>
  <c r="G192" i="5" s="1"/>
  <c r="E191" i="5"/>
  <c r="G191" i="5" s="1"/>
  <c r="E190" i="5"/>
  <c r="G190" i="5" s="1"/>
  <c r="E189" i="5"/>
  <c r="G189" i="5" s="1"/>
  <c r="E188" i="5"/>
  <c r="G188" i="5" s="1"/>
  <c r="E187" i="5"/>
  <c r="G187" i="5" s="1"/>
  <c r="E186" i="5"/>
  <c r="G186" i="5" s="1"/>
  <c r="E185" i="5"/>
  <c r="G185" i="5" s="1"/>
  <c r="E184" i="5"/>
  <c r="G184" i="5" s="1"/>
  <c r="E183" i="5"/>
  <c r="G183" i="5" s="1"/>
  <c r="E182" i="5"/>
  <c r="G182" i="5" s="1"/>
  <c r="E181" i="5"/>
  <c r="G181" i="5" s="1"/>
  <c r="E180" i="5"/>
  <c r="G180" i="5" s="1"/>
  <c r="E179" i="5"/>
  <c r="G179" i="5" s="1"/>
  <c r="E178" i="5"/>
  <c r="G178" i="5" s="1"/>
  <c r="E177" i="5"/>
  <c r="G177" i="5" s="1"/>
  <c r="E176" i="5"/>
  <c r="G176" i="5" s="1"/>
  <c r="E175" i="5"/>
  <c r="G175" i="5" s="1"/>
  <c r="E174" i="5"/>
  <c r="G174" i="5" s="1"/>
  <c r="E173" i="5"/>
  <c r="G173" i="5" s="1"/>
  <c r="E172" i="5"/>
  <c r="G172" i="5" s="1"/>
  <c r="E171" i="5"/>
  <c r="G171" i="5" s="1"/>
  <c r="E170" i="5"/>
  <c r="G170" i="5" s="1"/>
  <c r="E169" i="5"/>
  <c r="G169" i="5" s="1"/>
  <c r="E168" i="5"/>
  <c r="G168" i="5" s="1"/>
  <c r="E167" i="5"/>
  <c r="G167" i="5" s="1"/>
  <c r="E166" i="5"/>
  <c r="G166" i="5" s="1"/>
  <c r="E165" i="5"/>
  <c r="G165" i="5" s="1"/>
  <c r="E164" i="5"/>
  <c r="G164" i="5" s="1"/>
  <c r="E163" i="5"/>
  <c r="G163" i="5" s="1"/>
  <c r="E162" i="5"/>
  <c r="G162" i="5" s="1"/>
  <c r="E161" i="5"/>
  <c r="G161" i="5" s="1"/>
  <c r="E160" i="5"/>
  <c r="G160" i="5" s="1"/>
  <c r="E159" i="5"/>
  <c r="G159" i="5" s="1"/>
  <c r="E158" i="5"/>
  <c r="G158" i="5" s="1"/>
  <c r="E157" i="5"/>
  <c r="G157" i="5" s="1"/>
  <c r="E156" i="5"/>
  <c r="G156" i="5" s="1"/>
  <c r="E155" i="5"/>
  <c r="G155" i="5" s="1"/>
  <c r="E154" i="5"/>
  <c r="G154" i="5" s="1"/>
  <c r="E153" i="5"/>
  <c r="G153" i="5" s="1"/>
  <c r="E152" i="5"/>
  <c r="G152" i="5" s="1"/>
  <c r="E151" i="5"/>
  <c r="G151" i="5" s="1"/>
  <c r="E150" i="5"/>
  <c r="G150" i="5" s="1"/>
  <c r="E149" i="5"/>
  <c r="G149" i="5" s="1"/>
  <c r="E148" i="5"/>
  <c r="G148" i="5" s="1"/>
  <c r="E147" i="5"/>
  <c r="G147" i="5" s="1"/>
  <c r="E146" i="5"/>
  <c r="G146" i="5" s="1"/>
  <c r="E145" i="5"/>
  <c r="G145" i="5" s="1"/>
  <c r="E144" i="5"/>
  <c r="G144" i="5" s="1"/>
  <c r="E143" i="5"/>
  <c r="G143" i="5" s="1"/>
  <c r="E142" i="5"/>
  <c r="G142" i="5" s="1"/>
  <c r="E141" i="5"/>
  <c r="G141" i="5" s="1"/>
  <c r="E140" i="5"/>
  <c r="G140" i="5" s="1"/>
  <c r="E139" i="5"/>
  <c r="G139" i="5" s="1"/>
  <c r="E138" i="5"/>
  <c r="G138" i="5" s="1"/>
  <c r="E137" i="5"/>
  <c r="G137" i="5" s="1"/>
  <c r="E136" i="5"/>
  <c r="G136" i="5" s="1"/>
  <c r="E135" i="5"/>
  <c r="G135" i="5" s="1"/>
  <c r="E134" i="5"/>
  <c r="G134" i="5" s="1"/>
  <c r="E133" i="5"/>
  <c r="G133" i="5" s="1"/>
  <c r="E132" i="5"/>
  <c r="G132" i="5" s="1"/>
  <c r="E131" i="5"/>
  <c r="G131" i="5" s="1"/>
  <c r="E130" i="5"/>
  <c r="G130" i="5" s="1"/>
  <c r="E129" i="5"/>
  <c r="G129" i="5" s="1"/>
  <c r="E128" i="5"/>
  <c r="G128" i="5" s="1"/>
  <c r="E127" i="5"/>
  <c r="G127" i="5" s="1"/>
  <c r="E126" i="5"/>
  <c r="G126" i="5" s="1"/>
  <c r="E125" i="5"/>
  <c r="G125" i="5" s="1"/>
  <c r="E124" i="5"/>
  <c r="G124" i="5" s="1"/>
  <c r="E123" i="5"/>
  <c r="G123" i="5" s="1"/>
  <c r="E122" i="5"/>
  <c r="G122" i="5" s="1"/>
  <c r="E121" i="5"/>
  <c r="G121" i="5" s="1"/>
  <c r="E120" i="5"/>
  <c r="G120" i="5" s="1"/>
  <c r="E119" i="5"/>
  <c r="G119" i="5" s="1"/>
  <c r="E118" i="5"/>
  <c r="G118" i="5" s="1"/>
  <c r="E117" i="5"/>
  <c r="G117" i="5" s="1"/>
  <c r="E116" i="5"/>
  <c r="G116" i="5" s="1"/>
  <c r="E115" i="5"/>
  <c r="G115" i="5" s="1"/>
  <c r="E114" i="5"/>
  <c r="G114" i="5" s="1"/>
  <c r="E113" i="5"/>
  <c r="G113" i="5" s="1"/>
  <c r="E112" i="5"/>
  <c r="G112" i="5" s="1"/>
  <c r="E111" i="5"/>
  <c r="G111" i="5" s="1"/>
  <c r="E110" i="5"/>
  <c r="G110" i="5" s="1"/>
  <c r="E109" i="5"/>
  <c r="G109" i="5" s="1"/>
  <c r="E108" i="5"/>
  <c r="G108" i="5" s="1"/>
  <c r="E107" i="5"/>
  <c r="G107" i="5" s="1"/>
  <c r="E106" i="5"/>
  <c r="G106" i="5" s="1"/>
  <c r="E105" i="5"/>
  <c r="G105" i="5" s="1"/>
  <c r="E104" i="5"/>
  <c r="G104" i="5" s="1"/>
  <c r="E103" i="5"/>
  <c r="G103" i="5" s="1"/>
  <c r="E102" i="5"/>
  <c r="G102" i="5" s="1"/>
  <c r="E101" i="5"/>
  <c r="G101" i="5" s="1"/>
  <c r="E100" i="5"/>
  <c r="G100" i="5" s="1"/>
  <c r="E99" i="5"/>
  <c r="G99" i="5" s="1"/>
  <c r="E98" i="5"/>
  <c r="G98" i="5" s="1"/>
  <c r="E97" i="5"/>
  <c r="G97" i="5" s="1"/>
  <c r="E96" i="5"/>
  <c r="G96" i="5" s="1"/>
  <c r="E95" i="5"/>
  <c r="G95" i="5" s="1"/>
  <c r="E94" i="5"/>
  <c r="G94" i="5" s="1"/>
  <c r="E93" i="5"/>
  <c r="G93" i="5" s="1"/>
  <c r="E92" i="5"/>
  <c r="G92" i="5" s="1"/>
  <c r="E91" i="5"/>
  <c r="G91" i="5" s="1"/>
  <c r="E90" i="5"/>
  <c r="G90" i="5" s="1"/>
  <c r="E89" i="5"/>
  <c r="G89" i="5" s="1"/>
  <c r="E88" i="5"/>
  <c r="G88" i="5" s="1"/>
  <c r="E87" i="5"/>
  <c r="G87" i="5" s="1"/>
  <c r="E86" i="5"/>
  <c r="G86" i="5" s="1"/>
  <c r="E85" i="5"/>
  <c r="G85" i="5" s="1"/>
  <c r="E84" i="5"/>
  <c r="G84" i="5" s="1"/>
  <c r="E83" i="5"/>
  <c r="G83" i="5" s="1"/>
  <c r="E82" i="5"/>
  <c r="G82" i="5" s="1"/>
  <c r="E81" i="5"/>
  <c r="G81" i="5" s="1"/>
  <c r="E80" i="5"/>
  <c r="G80" i="5" s="1"/>
  <c r="E79" i="5"/>
  <c r="G79" i="5" s="1"/>
  <c r="E78" i="5"/>
  <c r="G78" i="5" s="1"/>
  <c r="E77" i="5"/>
  <c r="G77" i="5" s="1"/>
  <c r="E76" i="5"/>
  <c r="G76" i="5" s="1"/>
  <c r="E75" i="5"/>
  <c r="G75" i="5" s="1"/>
  <c r="E74" i="5"/>
  <c r="G74" i="5" s="1"/>
  <c r="E73" i="5"/>
  <c r="G73" i="5" s="1"/>
  <c r="E72" i="5"/>
  <c r="G72" i="5" s="1"/>
  <c r="E71" i="5"/>
  <c r="G71" i="5" s="1"/>
  <c r="E70" i="5"/>
  <c r="G70" i="5" s="1"/>
  <c r="E69" i="5"/>
  <c r="G69" i="5" s="1"/>
  <c r="E68" i="5"/>
  <c r="G68" i="5" s="1"/>
  <c r="E67" i="5"/>
  <c r="G67" i="5" s="1"/>
  <c r="E66" i="5"/>
  <c r="G66" i="5" s="1"/>
  <c r="E65" i="5"/>
  <c r="G65" i="5" s="1"/>
  <c r="E64" i="5"/>
  <c r="G64" i="5" s="1"/>
  <c r="E63" i="5"/>
  <c r="G63" i="5" s="1"/>
  <c r="E62" i="5"/>
  <c r="G62" i="5" s="1"/>
  <c r="E61" i="5"/>
  <c r="G61" i="5" s="1"/>
  <c r="E60" i="5"/>
  <c r="G60" i="5" s="1"/>
  <c r="E59" i="5"/>
  <c r="G59" i="5" s="1"/>
  <c r="E58" i="5"/>
  <c r="G58" i="5" s="1"/>
  <c r="E57" i="5"/>
  <c r="G57" i="5" s="1"/>
  <c r="E56" i="5"/>
  <c r="G56" i="5" s="1"/>
  <c r="E55" i="5"/>
  <c r="G55" i="5" s="1"/>
  <c r="E54" i="5"/>
  <c r="G54" i="5" s="1"/>
  <c r="E53" i="5"/>
  <c r="G53" i="5" s="1"/>
  <c r="E52" i="5"/>
  <c r="G52" i="5" s="1"/>
  <c r="E51" i="5"/>
  <c r="G51" i="5" s="1"/>
  <c r="E50" i="5"/>
  <c r="G50" i="5" s="1"/>
  <c r="E49" i="5"/>
  <c r="G49" i="5" s="1"/>
  <c r="E48" i="5"/>
  <c r="G48" i="5" s="1"/>
  <c r="E47" i="5"/>
  <c r="G47" i="5" s="1"/>
  <c r="E46" i="5"/>
  <c r="G46" i="5" s="1"/>
  <c r="E45" i="5"/>
  <c r="G45" i="5" s="1"/>
  <c r="E44" i="5"/>
  <c r="G44" i="5" s="1"/>
  <c r="E43" i="5"/>
  <c r="G43" i="5" s="1"/>
  <c r="E42" i="5"/>
  <c r="G42" i="5" s="1"/>
  <c r="E41" i="5"/>
  <c r="G41" i="5" s="1"/>
  <c r="E40" i="5"/>
  <c r="G40" i="5" s="1"/>
  <c r="E39" i="5"/>
  <c r="G39" i="5" s="1"/>
  <c r="E38" i="5"/>
  <c r="G38" i="5" s="1"/>
  <c r="E37" i="5"/>
  <c r="G37" i="5" s="1"/>
  <c r="E36" i="5"/>
  <c r="G36" i="5" s="1"/>
  <c r="E35" i="5"/>
  <c r="G35" i="5" s="1"/>
  <c r="E34" i="5"/>
  <c r="G34" i="5" s="1"/>
  <c r="E33" i="5"/>
  <c r="G33" i="5" s="1"/>
  <c r="E32" i="5"/>
  <c r="G32" i="5" s="1"/>
  <c r="E31" i="5"/>
  <c r="G31" i="5" s="1"/>
  <c r="E30" i="5"/>
  <c r="G30" i="5" s="1"/>
  <c r="E29" i="5"/>
  <c r="G29" i="5" s="1"/>
  <c r="E28" i="5"/>
  <c r="G28" i="5" s="1"/>
  <c r="E27" i="5"/>
  <c r="G27" i="5" s="1"/>
  <c r="E26" i="5"/>
  <c r="G26" i="5" s="1"/>
  <c r="E25" i="5"/>
  <c r="G25" i="5" s="1"/>
  <c r="E24" i="5"/>
  <c r="G24" i="5" s="1"/>
  <c r="E23" i="5"/>
  <c r="G23" i="5" s="1"/>
  <c r="E22" i="5"/>
  <c r="G22" i="5" s="1"/>
  <c r="E21" i="5"/>
  <c r="G21" i="5" s="1"/>
  <c r="E20" i="5"/>
  <c r="G20" i="5" s="1"/>
  <c r="E19" i="5"/>
  <c r="G19" i="5" s="1"/>
  <c r="E18" i="5"/>
  <c r="G18" i="5" s="1"/>
  <c r="E17" i="5"/>
  <c r="G17" i="5" s="1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E9" i="5"/>
  <c r="G9" i="5" s="1"/>
  <c r="E8" i="5"/>
  <c r="G8" i="5" s="1"/>
  <c r="E7" i="5"/>
  <c r="G7" i="5" s="1"/>
  <c r="E6" i="5"/>
  <c r="G6" i="5" s="1"/>
  <c r="E5" i="5"/>
  <c r="G5" i="5" s="1"/>
  <c r="E4" i="5"/>
  <c r="G4" i="5" s="1"/>
  <c r="E3" i="5"/>
  <c r="G3" i="5" s="1"/>
  <c r="E2" i="5"/>
  <c r="G2" i="5" s="1"/>
  <c r="B43" i="1"/>
  <c r="F13" i="1" s="1"/>
  <c r="A40" i="1"/>
  <c r="B38" i="1"/>
  <c r="A35" i="1"/>
  <c r="B33" i="1"/>
  <c r="D13" i="1" s="1"/>
  <c r="A29" i="1"/>
  <c r="B27" i="1"/>
  <c r="C13" i="1" s="1"/>
  <c r="A25" i="1"/>
  <c r="B23" i="1"/>
  <c r="B13" i="1" s="1"/>
  <c r="A19" i="1"/>
  <c r="E13" i="1"/>
  <c r="A145" i="2"/>
  <c r="A142" i="2"/>
  <c r="C140" i="2"/>
  <c r="A136" i="2"/>
  <c r="A133" i="2"/>
  <c r="A130" i="2"/>
  <c r="C127" i="2"/>
  <c r="C104" i="2"/>
  <c r="C78" i="2"/>
  <c r="C43" i="2"/>
  <c r="C25" i="2"/>
  <c r="F13" i="2"/>
  <c r="E13" i="2"/>
  <c r="D13" i="2"/>
  <c r="C13" i="2"/>
  <c r="B13" i="2"/>
  <c r="E11" i="2" l="1"/>
  <c r="F10" i="2"/>
  <c r="B10" i="2"/>
  <c r="C9" i="2"/>
  <c r="D8" i="2"/>
  <c r="D11" i="2"/>
  <c r="E10" i="2"/>
  <c r="F9" i="2"/>
  <c r="B9" i="2"/>
  <c r="C8" i="2"/>
  <c r="C11" i="2"/>
  <c r="E9" i="2"/>
  <c r="B8" i="2"/>
  <c r="B11" i="2"/>
  <c r="D10" i="2"/>
  <c r="F8" i="2"/>
  <c r="F11" i="2"/>
  <c r="C10" i="2"/>
  <c r="E8" i="2"/>
  <c r="D9" i="2"/>
  <c r="D12" i="2" l="1"/>
  <c r="E12" i="2"/>
  <c r="B15" i="2"/>
  <c r="C15" i="2" s="1"/>
  <c r="D15" i="2" s="1"/>
  <c r="E15" i="2" s="1"/>
  <c r="F15" i="2" s="1"/>
  <c r="B12" i="2"/>
  <c r="F12" i="2"/>
  <c r="C12" i="2"/>
  <c r="F18" i="1"/>
  <c r="F15" i="1"/>
  <c r="D18" i="1"/>
  <c r="C18" i="1"/>
  <c r="B18" i="1"/>
  <c r="B15" i="1"/>
  <c r="C15" i="1"/>
  <c r="D15" i="1"/>
  <c r="E15" i="1"/>
  <c r="E18" i="1"/>
</calcChain>
</file>

<file path=xl/sharedStrings.xml><?xml version="1.0" encoding="utf-8"?>
<sst xmlns="http://schemas.openxmlformats.org/spreadsheetml/2006/main" count="23644" uniqueCount="4553">
  <si>
    <t>PREVISÃO FINANCEIRA SEMANAL</t>
  </si>
  <si>
    <t>28/09 - Segunda-Feira</t>
  </si>
  <si>
    <t>29/09 - Terça-Feira</t>
  </si>
  <si>
    <t>30/09 - Quarta-Feira</t>
  </si>
  <si>
    <t>01/10 - Quinta-Feira</t>
  </si>
  <si>
    <t>02/10 - Sexta-Feira</t>
  </si>
  <si>
    <t>SALDO INICIAL</t>
  </si>
  <si>
    <t>CONTAS À RECEBER</t>
  </si>
  <si>
    <t>Cobrança Bradesc</t>
  </si>
  <si>
    <t>Cobrança Banrisul</t>
  </si>
  <si>
    <t>Depósito Clientes</t>
  </si>
  <si>
    <t>Outras carteiras</t>
  </si>
  <si>
    <t>CONTAS À PAGAR</t>
  </si>
  <si>
    <t>SALDO</t>
  </si>
  <si>
    <t>PRF4SISTEMAS</t>
  </si>
  <si>
    <t>ADVOCACIA GERAL DA UNIAO</t>
  </si>
  <si>
    <t>221608</t>
  </si>
  <si>
    <t>CEREALISTA SERIEMA LTDA</t>
  </si>
  <si>
    <t>786</t>
  </si>
  <si>
    <t>KOSTER &amp; MATSCHINSKE LTDA - ME</t>
  </si>
  <si>
    <t>221599</t>
  </si>
  <si>
    <t>RODRIGO CRISTIANO MICHALSKI IRGANG</t>
  </si>
  <si>
    <t>2172049</t>
  </si>
  <si>
    <t>TECON RIO GRANDE S/A</t>
  </si>
  <si>
    <t>Total</t>
  </si>
  <si>
    <t>19600044 FT</t>
  </si>
  <si>
    <t>EXPRESSO SAO MIGUEL  S/A</t>
  </si>
  <si>
    <t>2499391 FT</t>
  </si>
  <si>
    <t>FL BRASIL HOLDING LOGISTICA E TRANSPORTE</t>
  </si>
  <si>
    <t>16</t>
  </si>
  <si>
    <t>GILSON SAMPAIO RIBEIRO REPRESENTACOES</t>
  </si>
  <si>
    <t>95565</t>
  </si>
  <si>
    <t>GLOBALFOOD SISTEMAS INGREDIENTES</t>
  </si>
  <si>
    <t>142188</t>
  </si>
  <si>
    <t>INDUSTRIA DE BENEFICIAMENTO DE LEITE MAR</t>
  </si>
  <si>
    <t>737</t>
  </si>
  <si>
    <t>JSANTOS EMPILHADEIRA DE CARGAS EIRELI ME</t>
  </si>
  <si>
    <t>28092026</t>
  </si>
  <si>
    <t>LEANDRO RENATO BERTOLDO</t>
  </si>
  <si>
    <t>12979</t>
  </si>
  <si>
    <t>RODOVIARIO CORSO LTDA</t>
  </si>
  <si>
    <t>140602</t>
  </si>
  <si>
    <t>SIM REDE DE POSTOS LTDA</t>
  </si>
  <si>
    <t>3159 FT</t>
  </si>
  <si>
    <t>TRANSPORTES IRMAOS BOHRER LTDA</t>
  </si>
  <si>
    <t>272434 FT</t>
  </si>
  <si>
    <t>TURBO TRANSPORTES E LOGISTICA LTDA</t>
  </si>
  <si>
    <t>32354</t>
  </si>
  <si>
    <t>UNIROL ROLAMENTOS RETENT. PECAS LTDA.</t>
  </si>
  <si>
    <t>1</t>
  </si>
  <si>
    <t>V.A.C. PRATES GESTAO &amp; RESULTADOS LTDA</t>
  </si>
  <si>
    <t>438489 FT</t>
  </si>
  <si>
    <t>VBR LOGISTICA LTDA</t>
  </si>
  <si>
    <t>WESLEN MACHADO</t>
  </si>
  <si>
    <t>1037793</t>
  </si>
  <si>
    <t>(sem nome)</t>
  </si>
  <si>
    <t>1182491280</t>
  </si>
  <si>
    <t>1183692167</t>
  </si>
  <si>
    <t>1183697278</t>
  </si>
  <si>
    <t>16142</t>
  </si>
  <si>
    <t>16143</t>
  </si>
  <si>
    <t>16144</t>
  </si>
  <si>
    <t>16145</t>
  </si>
  <si>
    <t>4119</t>
  </si>
  <si>
    <t>6</t>
  </si>
  <si>
    <t>68659030001 FT</t>
  </si>
  <si>
    <t>ALFA TRANSPORTES ESPECIAIS LTDA</t>
  </si>
  <si>
    <t>5</t>
  </si>
  <si>
    <t>ALIEVI ADVOGADOS ASSOCIADOS</t>
  </si>
  <si>
    <t>1824</t>
  </si>
  <si>
    <t>ASSOCIACAO DE LOGISTICA REVERSA DE EMBAL</t>
  </si>
  <si>
    <t>1037792</t>
  </si>
  <si>
    <t>COMERCIAL DE ALIMENTOS ENTRE IJUIS LTDA</t>
  </si>
  <si>
    <t>80612</t>
  </si>
  <si>
    <t>DUBAI INDUSTRIA E COMERCIO DE PRODUTOS ALIMENTICIOS LTDA</t>
  </si>
  <si>
    <t>01756681 FT</t>
  </si>
  <si>
    <t>EMP TRANSPORTES PAJUCARA LTDA</t>
  </si>
  <si>
    <t>1112 FT</t>
  </si>
  <si>
    <t>EXPRESSO PST TRANSLOG LTDA</t>
  </si>
  <si>
    <t>13648</t>
  </si>
  <si>
    <t>L A DA LUZ LOPES</t>
  </si>
  <si>
    <t>703</t>
  </si>
  <si>
    <t>MARCA BRAZIL  MARCAS E PATENTES</t>
  </si>
  <si>
    <t>4074</t>
  </si>
  <si>
    <t>MECASUL AUTO MECANICA S. A</t>
  </si>
  <si>
    <t>PARC FEDERAL</t>
  </si>
  <si>
    <t>PARCELAMENTO IMPOSTOS FEDERAIS 102024</t>
  </si>
  <si>
    <t>8781</t>
  </si>
  <si>
    <t>PARFIX DISTRIBUIDORA DE FIXADORES LTDA.</t>
  </si>
  <si>
    <t>1182479714</t>
  </si>
  <si>
    <t>ROADCARD INSTITUICAO DE PAGAMENTO INTEGRADO DA LOGISTICA S.A</t>
  </si>
  <si>
    <t>609</t>
  </si>
  <si>
    <t>RODRIGO DE SOUZA PAGNOSSIN</t>
  </si>
  <si>
    <t>68780889</t>
  </si>
  <si>
    <t>SCHEID AUTOMACAO E FABRICACAO DE EQUIP LTDA</t>
  </si>
  <si>
    <t>15914</t>
  </si>
  <si>
    <t>SESI SERVICO SOCIAL DA INDUSTRIA</t>
  </si>
  <si>
    <t>5173</t>
  </si>
  <si>
    <t>SILVA ATACAREJO LTDA</t>
  </si>
  <si>
    <t>21339</t>
  </si>
  <si>
    <t>7985</t>
  </si>
  <si>
    <t>SUPERMERCADO DENTI LTDA</t>
  </si>
  <si>
    <t>3011579 FT</t>
  </si>
  <si>
    <t>TECMAR TRANSPORTES LTDA</t>
  </si>
  <si>
    <t>2172048</t>
  </si>
  <si>
    <t>0439819000 FT</t>
  </si>
  <si>
    <t>TRD TRANSPORTE RODOVIARIO DALFAN LTDA</t>
  </si>
  <si>
    <t>25</t>
  </si>
  <si>
    <t>26</t>
  </si>
  <si>
    <t>4007</t>
  </si>
  <si>
    <t>54</t>
  </si>
  <si>
    <t>73</t>
  </si>
  <si>
    <t>7599</t>
  </si>
  <si>
    <t>9595</t>
  </si>
  <si>
    <t>8303</t>
  </si>
  <si>
    <t>ACQUATEC INDUSTRIA, COMERCIO E TRANSPORTES DE PRODUTOS QUIMI</t>
  </si>
  <si>
    <t>526</t>
  </si>
  <si>
    <t>AMPAK INDUSTRIA E COMERCIO LTDA</t>
  </si>
  <si>
    <t>31</t>
  </si>
  <si>
    <t>ASSMANN &amp; BELMONTE LTDA</t>
  </si>
  <si>
    <t>8231</t>
  </si>
  <si>
    <t>ASSOC RIOGR DE EMPR DE ASSIST TEC E EXTENSAO RURAL - EMATER</t>
  </si>
  <si>
    <t>2641 FT</t>
  </si>
  <si>
    <t>C.L.N. TRANSPORTES LTDA</t>
  </si>
  <si>
    <t>9594</t>
  </si>
  <si>
    <t>CETRIC CENTRAL DE TRAT DE RES SOL INDS E</t>
  </si>
  <si>
    <t>24</t>
  </si>
  <si>
    <t>CRM SERVICOS DE LIMPEZA LTDA</t>
  </si>
  <si>
    <t>80641</t>
  </si>
  <si>
    <t>1415033 FT</t>
  </si>
  <si>
    <t>GRUTKARGAS TRANSPORTES LTDA</t>
  </si>
  <si>
    <t>72</t>
  </si>
  <si>
    <t>HELENA GARZELLA</t>
  </si>
  <si>
    <t>25619</t>
  </si>
  <si>
    <t>LIBRAGA, BRANDAO SUPERMERCADOS LTDA.</t>
  </si>
  <si>
    <t>662807</t>
  </si>
  <si>
    <t>LOJAS FRICKE LTDA</t>
  </si>
  <si>
    <t>1735</t>
  </si>
  <si>
    <t>RECLAMATLUCAS SILVA</t>
  </si>
  <si>
    <t>RECLAMATORIAS TRABALHISTAS</t>
  </si>
  <si>
    <t>19623</t>
  </si>
  <si>
    <t>0439837000 FT</t>
  </si>
  <si>
    <t>3</t>
  </si>
  <si>
    <t>77912</t>
  </si>
  <si>
    <t>8271</t>
  </si>
  <si>
    <t>136049</t>
  </si>
  <si>
    <t>ALAC LABORATORIO ALAC LTDA</t>
  </si>
  <si>
    <t>48889</t>
  </si>
  <si>
    <t>CASA LIMPA PROD. DE LIMPEZA LTDA</t>
  </si>
  <si>
    <t>16478 FT</t>
  </si>
  <si>
    <t>COTRACAR COOP DE PREST DE SERV DE TRANSP</t>
  </si>
  <si>
    <t>2</t>
  </si>
  <si>
    <t>DANIEL VOGT SOCIEDADE INDIVIDUAL DE ADVO</t>
  </si>
  <si>
    <t>80661</t>
  </si>
  <si>
    <t>39</t>
  </si>
  <si>
    <t>I. J. DRESCH LTDA</t>
  </si>
  <si>
    <t>44024</t>
  </si>
  <si>
    <t>IND.DE PRODUTOS ALIMENTICIOS O.K. LTDA</t>
  </si>
  <si>
    <t>167907</t>
  </si>
  <si>
    <t>84834</t>
  </si>
  <si>
    <t>LUCIANA D. R. ARNHOLDO</t>
  </si>
  <si>
    <t>1246</t>
  </si>
  <si>
    <t>MECANICA GUBERT LTDA</t>
  </si>
  <si>
    <t>8273944 FT</t>
  </si>
  <si>
    <t>REUNIDAS TRANSPORTES S/A</t>
  </si>
  <si>
    <t>7637</t>
  </si>
  <si>
    <t>12611337</t>
  </si>
  <si>
    <t>STORM SERVICOS AUTOMOTIVOS LTDA EPP</t>
  </si>
  <si>
    <t>449</t>
  </si>
  <si>
    <t>SUPERMERCADO NIEDERAUER LTDA</t>
  </si>
  <si>
    <t>0439866700 FT</t>
  </si>
  <si>
    <t>32396</t>
  </si>
  <si>
    <t>22249</t>
  </si>
  <si>
    <t>VIDEIRA VERDE PROD ALIM EIRELI</t>
  </si>
  <si>
    <t>IMPOSTOS</t>
  </si>
  <si>
    <t>Total impostos</t>
  </si>
  <si>
    <t>14688</t>
  </si>
  <si>
    <t>7184</t>
  </si>
  <si>
    <t>1317</t>
  </si>
  <si>
    <t>ISS RETIDO A RECOLHER</t>
  </si>
  <si>
    <t>SEGUNDA</t>
  </si>
  <si>
    <t>TERÇA</t>
  </si>
  <si>
    <t>QUARTA</t>
  </si>
  <si>
    <t>QUINTA</t>
  </si>
  <si>
    <t>SEXTA</t>
  </si>
  <si>
    <t>BANRISUL COBRANCA</t>
  </si>
  <si>
    <t>BRADESCO COBRANCA</t>
  </si>
  <si>
    <t>CARTORIO</t>
  </si>
  <si>
    <t>CONTAS A RECEBER</t>
  </si>
  <si>
    <t>FUNCIONARIOS</t>
  </si>
  <si>
    <t>PROTESTO</t>
  </si>
  <si>
    <t>CONTAS A PAGAR (2)</t>
  </si>
  <si>
    <t>HONORARIOS ADVOC A PAGAR (99)</t>
  </si>
  <si>
    <t>SEGUROS A PAGAR (51)</t>
  </si>
  <si>
    <t>ISS RETIDO A RECOLHER (22)</t>
  </si>
  <si>
    <t>PARCEL FEDERAL 102024 (89)</t>
  </si>
  <si>
    <t>INDENIZACOES TRABALHISTAS (49)</t>
  </si>
  <si>
    <t>FGTS A RECOLHER (13)</t>
  </si>
  <si>
    <t>Carteira</t>
  </si>
  <si>
    <t>D+</t>
  </si>
  <si>
    <t>Observação</t>
  </si>
  <si>
    <t>Edite o D+ aqui (ou as datas em Dias_Sem_Compensacao): Detalhamento e Planilha1 recalculam sozinhos. Carteira sem cadastro = D+1.</t>
  </si>
  <si>
    <t>100</t>
  </si>
  <si>
    <t>33</t>
  </si>
  <si>
    <t>102</t>
  </si>
  <si>
    <t>74</t>
  </si>
  <si>
    <t>Data</t>
  </si>
  <si>
    <t>Descrição</t>
  </si>
  <si>
    <t>Data bruto</t>
  </si>
  <si>
    <t>Código</t>
  </si>
  <si>
    <t>Tipo</t>
  </si>
  <si>
    <t>Cliente</t>
  </si>
  <si>
    <t>Entrada banco</t>
  </si>
  <si>
    <t>Fornecedor/A pagar</t>
  </si>
  <si>
    <t>Saída banco</t>
  </si>
  <si>
    <t>Fornecedor</t>
  </si>
  <si>
    <t>Duplicata</t>
  </si>
  <si>
    <t>CLIENTES</t>
  </si>
  <si>
    <t>ADRIANA BEDINOTO GUERRA 01204028079</t>
  </si>
  <si>
    <t>220758</t>
  </si>
  <si>
    <t>FABIO P LIXINSKI</t>
  </si>
  <si>
    <t>221083</t>
  </si>
  <si>
    <t>PABLO MARQUES DA FONTOURA CORREA 03101692083</t>
  </si>
  <si>
    <t>220504</t>
  </si>
  <si>
    <t>FABIO IRINEU NATIVIDADE PEREIRA</t>
  </si>
  <si>
    <t>219988</t>
  </si>
  <si>
    <t>220560</t>
  </si>
  <si>
    <t>SUPERMERCADO TODO DIA LTDA</t>
  </si>
  <si>
    <t>220353</t>
  </si>
  <si>
    <t>THIARLA DA SILVA SILVEIRA</t>
  </si>
  <si>
    <t>220608</t>
  </si>
  <si>
    <t>221170</t>
  </si>
  <si>
    <t>COMERCIO DE ALIMENTOS SANTI LTDA</t>
  </si>
  <si>
    <t>219683</t>
  </si>
  <si>
    <t>ELZA CELANIRA ESTEVES DE MEDEIROS</t>
  </si>
  <si>
    <t>220860</t>
  </si>
  <si>
    <t>220654</t>
  </si>
  <si>
    <t>ANTONIO KRAHL TERRA</t>
  </si>
  <si>
    <t>221270</t>
  </si>
  <si>
    <t>COMERCIO E TRANSPORTE DE FRUTAS JUSTO LTDA</t>
  </si>
  <si>
    <t>220429</t>
  </si>
  <si>
    <t>CRISTIANO DA SILVA DE AVILA</t>
  </si>
  <si>
    <t>220947</t>
  </si>
  <si>
    <t>DS ATACADO E DISTRIBUICAO DE DOCES E SALGADOS LTDA.</t>
  </si>
  <si>
    <t>220430</t>
  </si>
  <si>
    <t>ERICK HUBER CABREIRA</t>
  </si>
  <si>
    <t>220958</t>
  </si>
  <si>
    <t>NICARETTA IRMAOS LTDA</t>
  </si>
  <si>
    <t>220173</t>
  </si>
  <si>
    <t>RESTAURANTE E PADARIA KICOLOSSO LTDA</t>
  </si>
  <si>
    <t>220935</t>
  </si>
  <si>
    <t>RUKART GUILHERME JOST</t>
  </si>
  <si>
    <t>221286</t>
  </si>
  <si>
    <t>ADRIANA NOBA CAVALHEIRO</t>
  </si>
  <si>
    <t>220507</t>
  </si>
  <si>
    <t>AGROINDUSTRIA DE DOCES E SALGADOS SCHNEIDER LTDA</t>
  </si>
  <si>
    <t>220267</t>
  </si>
  <si>
    <t>ALTAMIR SOUZA MARQUES</t>
  </si>
  <si>
    <t>220772</t>
  </si>
  <si>
    <t>ANDRE STRIEDER LTDA</t>
  </si>
  <si>
    <t>220466</t>
  </si>
  <si>
    <t>ANDRESSA PEREIRA COLLARES</t>
  </si>
  <si>
    <t>220216</t>
  </si>
  <si>
    <t>BAZANA &amp; FILHOS LTDA.</t>
  </si>
  <si>
    <t>219873</t>
  </si>
  <si>
    <t>CARLOS GARI BECKER DIAS</t>
  </si>
  <si>
    <t>220766</t>
  </si>
  <si>
    <t>CARMEN LUISA DOS SANTOS RODRIGUES E CIA LTDA</t>
  </si>
  <si>
    <t>220762</t>
  </si>
  <si>
    <t>CLAUDIA FENSTERSEIFER BOTTURA</t>
  </si>
  <si>
    <t>220720</t>
  </si>
  <si>
    <t>CLAUDIOMIR DO NASCIMENTO-PADARIA</t>
  </si>
  <si>
    <t>220722</t>
  </si>
  <si>
    <t>COMERCIO DE ALIMENTOS ROHENKHOL LTDA.</t>
  </si>
  <si>
    <t>220679</t>
  </si>
  <si>
    <t>220684</t>
  </si>
  <si>
    <t>COOPERATIVA AGRÁRIA SAO JOSE LTDA.</t>
  </si>
  <si>
    <t>220768</t>
  </si>
  <si>
    <t>COOPERATIVA DOS PRODUTORES DE ALECRIM LTDA.</t>
  </si>
  <si>
    <t>220687</t>
  </si>
  <si>
    <t>DESEJOS DO PALADAR LTDA</t>
  </si>
  <si>
    <t>221079</t>
  </si>
  <si>
    <t>DIEGO ANDREI ROHTE</t>
  </si>
  <si>
    <t>220480</t>
  </si>
  <si>
    <t>DU-PAO INDUSTRIA E COMERCIO DE PAES LTDA.</t>
  </si>
  <si>
    <t>220215</t>
  </si>
  <si>
    <t>EDER CENAIR PEREIRA</t>
  </si>
  <si>
    <t>220692</t>
  </si>
  <si>
    <t>ELAINE MARIA LENZ</t>
  </si>
  <si>
    <t>220695</t>
  </si>
  <si>
    <t>ELIO SEBASTIAO RAUPP</t>
  </si>
  <si>
    <t>220211</t>
  </si>
  <si>
    <t>ELISANGELA TEREZINHA ANDRADE BATISTA</t>
  </si>
  <si>
    <t>220763</t>
  </si>
  <si>
    <t>ELTON KRONBAUER LTDA</t>
  </si>
  <si>
    <t>220483</t>
  </si>
  <si>
    <t>ENIO LUIZ STANGHERLIN</t>
  </si>
  <si>
    <t>220757</t>
  </si>
  <si>
    <t>EUCLEIA MARTINELLI 98760181087</t>
  </si>
  <si>
    <t>221045</t>
  </si>
  <si>
    <t>FABIO PRESTES DA SILVA</t>
  </si>
  <si>
    <t>220193</t>
  </si>
  <si>
    <t>FELIPE PAES E DOCES LTDA.</t>
  </si>
  <si>
    <t>220674</t>
  </si>
  <si>
    <t>FRESCURA DE MATOS E CIA LTDA</t>
  </si>
  <si>
    <t>221081</t>
  </si>
  <si>
    <t>GONCALVES ARUH E CIA LTDA</t>
  </si>
  <si>
    <t>220509</t>
  </si>
  <si>
    <t>JOEL DIERINGS E CIA LTDA ME</t>
  </si>
  <si>
    <t>220698</t>
  </si>
  <si>
    <t>KRAMER E CIA LTDA</t>
  </si>
  <si>
    <t>220737</t>
  </si>
  <si>
    <t>LEANDRO RODRIGUES DA SILVA E CIA LTDA.</t>
  </si>
  <si>
    <t>220179</t>
  </si>
  <si>
    <t>LEONEL MARTINS DA ROSA</t>
  </si>
  <si>
    <t>220743</t>
  </si>
  <si>
    <t>LM COMERCIO DE ALIMENTOS LTDA.</t>
  </si>
  <si>
    <t>220783</t>
  </si>
  <si>
    <t>LUIS ANDRE DA COSTA SCHULTZ</t>
  </si>
  <si>
    <t>220742</t>
  </si>
  <si>
    <t>MARA RUBIA SCHWERZ CASARTELLI</t>
  </si>
  <si>
    <t>221085</t>
  </si>
  <si>
    <t>MARCIO VALMIR MULLER LTDA.</t>
  </si>
  <si>
    <t>221353</t>
  </si>
  <si>
    <t>MARCOS ROGERIO DIETER</t>
  </si>
  <si>
    <t>221352</t>
  </si>
  <si>
    <t>MARILUSI MARTINS DALL ASEN</t>
  </si>
  <si>
    <t>221078</t>
  </si>
  <si>
    <t>MAURO WERNER</t>
  </si>
  <si>
    <t>220491</t>
  </si>
  <si>
    <t>MCN PIZZAS LTDA</t>
  </si>
  <si>
    <t>220704</t>
  </si>
  <si>
    <t>MERCADO E ACOUGUE SEMPRE ABERTO LTDA</t>
  </si>
  <si>
    <t>221357</t>
  </si>
  <si>
    <t>MERCADO E PADARIA DOCE LAR LTDA.</t>
  </si>
  <si>
    <t>220694</t>
  </si>
  <si>
    <t>MG FINK LTDA</t>
  </si>
  <si>
    <t>220715</t>
  </si>
  <si>
    <t>PADARIA 24H LTDA</t>
  </si>
  <si>
    <t>221066</t>
  </si>
  <si>
    <t>PADARIA E CONFEITARIA FIGUEIREDO LTDA</t>
  </si>
  <si>
    <t>221061</t>
  </si>
  <si>
    <t>PADARIA E CONFEITARIA SAVIONEK LTDA</t>
  </si>
  <si>
    <t>221038</t>
  </si>
  <si>
    <t>PADARIA MODELO LTDA</t>
  </si>
  <si>
    <t>220765</t>
  </si>
  <si>
    <t>PAULO BOLZAN MENEGHEL</t>
  </si>
  <si>
    <t>220749</t>
  </si>
  <si>
    <t>PAULO RENATO BOHN E CIA LTDA</t>
  </si>
  <si>
    <t>220727</t>
  </si>
  <si>
    <t>RAUBER &amp; CIA. LTDA.</t>
  </si>
  <si>
    <t>220673</t>
  </si>
  <si>
    <t>ROSELAINE DE FATIMA DIVERIO FERRER</t>
  </si>
  <si>
    <t>220760</t>
  </si>
  <si>
    <t>SALGADINHOS PATTY LTDA.</t>
  </si>
  <si>
    <t>220723</t>
  </si>
  <si>
    <t>SALTY INDUSTRIA, COMERCIO E DISTRIBUICAO DE ALIMENTOS CONGEL</t>
  </si>
  <si>
    <t>221055</t>
  </si>
  <si>
    <t>SCHITTLER E GEWEHR LTDA</t>
  </si>
  <si>
    <t>220237</t>
  </si>
  <si>
    <t>SERGIO ANTONIO MOREIRA</t>
  </si>
  <si>
    <t>221035</t>
  </si>
  <si>
    <t>220496</t>
  </si>
  <si>
    <t>220677</t>
  </si>
  <si>
    <t>220678</t>
  </si>
  <si>
    <t>SILVEIRA BITENCOURT PADARIA E CONFEITARIA LTDA</t>
  </si>
  <si>
    <t>220753</t>
  </si>
  <si>
    <t>SONIA TEREZINHA SANTOS DOS SANTOS</t>
  </si>
  <si>
    <t>221082</t>
  </si>
  <si>
    <t>SUPERMERCADO SUPER SANTO ANTONIO LTDA</t>
  </si>
  <si>
    <t>220784</t>
  </si>
  <si>
    <t>WALDIR ANTONIO BOHN</t>
  </si>
  <si>
    <t>220188</t>
  </si>
  <si>
    <t>ADRIANA SANCHEZ ZULIANE</t>
  </si>
  <si>
    <t>220589</t>
  </si>
  <si>
    <t>ALEX RODRIGUES 02314211090</t>
  </si>
  <si>
    <t>220552</t>
  </si>
  <si>
    <t>ANTONIO JAMIR GUTERRES SOARES 70076189015</t>
  </si>
  <si>
    <t>220556</t>
  </si>
  <si>
    <t>AREND COMERCIO VAREJISTA MERCADORIAS ALIMENTICIAS LTDA</t>
  </si>
  <si>
    <t>220613</t>
  </si>
  <si>
    <t>BALBINOT &amp; CIA LTDA</t>
  </si>
  <si>
    <t>220592</t>
  </si>
  <si>
    <t>BERENICE GENEROSA DOS SANTOS</t>
  </si>
  <si>
    <t>221426</t>
  </si>
  <si>
    <t>CARDOSO, RITERBUSCH E CIA LTDA.</t>
  </si>
  <si>
    <t>220538</t>
  </si>
  <si>
    <t>CARLOS ALBERTO DOS SANTOS DUARTE</t>
  </si>
  <si>
    <t>220596</t>
  </si>
  <si>
    <t>CIANE DE SOUZA JARDIM LTDA.</t>
  </si>
  <si>
    <t>220578</t>
  </si>
  <si>
    <t>221115</t>
  </si>
  <si>
    <t>COMERCIO DE ALIMENTOS LIMA LTDA</t>
  </si>
  <si>
    <t>220540</t>
  </si>
  <si>
    <t>COOPERATIVA AGRICOLA MISTA AGUDO LTDA.</t>
  </si>
  <si>
    <t>220829</t>
  </si>
  <si>
    <t>220830</t>
  </si>
  <si>
    <t>DIEGO CARDOSO</t>
  </si>
  <si>
    <t>220314</t>
  </si>
  <si>
    <t>DIVINO SABOR PADARIA E CONFEITARIA LTDA</t>
  </si>
  <si>
    <t>220799</t>
  </si>
  <si>
    <t>DOIS ZE INDUSTRIA DE PANIFICACAO LTDA.</t>
  </si>
  <si>
    <t>220809</t>
  </si>
  <si>
    <t>EDUARDO ANTONIO DE LIMA CARRE 02741135037</t>
  </si>
  <si>
    <t>220539</t>
  </si>
  <si>
    <t>EDUARDO TATSCH</t>
  </si>
  <si>
    <t>221162</t>
  </si>
  <si>
    <t>EVERTON LUIS FERNANDES ALBUQUERQUE</t>
  </si>
  <si>
    <t>221431</t>
  </si>
  <si>
    <t>FRANCIELE SOARES RODRIGUES</t>
  </si>
  <si>
    <t>220332</t>
  </si>
  <si>
    <t>FRANCISCO HELDER VILAGRAN DA ROSA</t>
  </si>
  <si>
    <t>220825</t>
  </si>
  <si>
    <t>FRUTEIRA REI DAS FRUTAS LTDA</t>
  </si>
  <si>
    <t>219963</t>
  </si>
  <si>
    <t>GABRIELA DA SILVA BRUM</t>
  </si>
  <si>
    <t>221176</t>
  </si>
  <si>
    <t>JEFERSON LUIS SANTOS DOS SANTOS</t>
  </si>
  <si>
    <t>221437</t>
  </si>
  <si>
    <t>JULIANO BARRETO GUILANZONI</t>
  </si>
  <si>
    <t>219984</t>
  </si>
  <si>
    <t>LA FERROVIA PIZZAS LTDA</t>
  </si>
  <si>
    <t>220541</t>
  </si>
  <si>
    <t>LORENI DA SILVA DIAS &amp; CIA. LTDA.</t>
  </si>
  <si>
    <t>221159</t>
  </si>
  <si>
    <t>MARINA L RITTER &amp; FILHO LTDA</t>
  </si>
  <si>
    <t>220824</t>
  </si>
  <si>
    <t>MERCADO SEHN E SCHWINN LTDA</t>
  </si>
  <si>
    <t>219952</t>
  </si>
  <si>
    <t>MICHEL ANDRE CARVALHO MACIEL</t>
  </si>
  <si>
    <t>221179</t>
  </si>
  <si>
    <t>MINI MERCADO E ACOUGUE CRISTIANO E SANDRO LTDA.</t>
  </si>
  <si>
    <t>220548</t>
  </si>
  <si>
    <t>N. A. R. GONCALVES  E CIA LTDA</t>
  </si>
  <si>
    <t>219964</t>
  </si>
  <si>
    <t>NEDEL DALLA CORTE E CIA LTDA</t>
  </si>
  <si>
    <t>220600</t>
  </si>
  <si>
    <t>NEUSA MARIA ZELINSKI</t>
  </si>
  <si>
    <t>220572</t>
  </si>
  <si>
    <t>221124</t>
  </si>
  <si>
    <t>PADARIA E CONFEITARIA DO PALHACINHO LTDA</t>
  </si>
  <si>
    <t>221467</t>
  </si>
  <si>
    <t>PADARIA INDUSTRIAL LTDA</t>
  </si>
  <si>
    <t>220610</t>
  </si>
  <si>
    <t>221181</t>
  </si>
  <si>
    <t>PADARIA QUE DELICIA PAES LTDA</t>
  </si>
  <si>
    <t>219981</t>
  </si>
  <si>
    <t>220800</t>
  </si>
  <si>
    <t>ROSELENE SARTORI DEBESAITIS &amp; CIA. LTDA.</t>
  </si>
  <si>
    <t>220545</t>
  </si>
  <si>
    <t>S. LISCANO FLORES LTDA</t>
  </si>
  <si>
    <t>220616</t>
  </si>
  <si>
    <t>SABORES DA SERRA PIZZARIA LTDA</t>
  </si>
  <si>
    <t>220817</t>
  </si>
  <si>
    <t>SANDRA PILGER MANFIO</t>
  </si>
  <si>
    <t>220358</t>
  </si>
  <si>
    <t>220584</t>
  </si>
  <si>
    <t>220586</t>
  </si>
  <si>
    <t>220785</t>
  </si>
  <si>
    <t>220787</t>
  </si>
  <si>
    <t>SPODE E CIA LTDA.</t>
  </si>
  <si>
    <t>221161</t>
  </si>
  <si>
    <t>221089</t>
  </si>
  <si>
    <t>SUPERMERCADO RORATTO E RODRIGUES LTDA</t>
  </si>
  <si>
    <t>220543</t>
  </si>
  <si>
    <t>SUPERMERCADO SAURESSING LTDA</t>
  </si>
  <si>
    <t>221464</t>
  </si>
  <si>
    <t>TONIJON DOMINGUES DE OLIVEIRA</t>
  </si>
  <si>
    <t>220591</t>
  </si>
  <si>
    <t>TRESSOLDI VAREJISTA LTDA.</t>
  </si>
  <si>
    <t>220812</t>
  </si>
  <si>
    <t>V. ULRICH SCHMITZ LTDA</t>
  </si>
  <si>
    <t>221465</t>
  </si>
  <si>
    <t>VANDERLEI ROSA DE QUEVEDO 34208097000</t>
  </si>
  <si>
    <t>221165</t>
  </si>
  <si>
    <t>VANIA MARQUES CABRAL DIAS</t>
  </si>
  <si>
    <t>221130</t>
  </si>
  <si>
    <t>ALMIRA SANTOS NUNES</t>
  </si>
  <si>
    <t>220852</t>
  </si>
  <si>
    <t>CARLA MARIA AGUIRREGARAY LIBONATTI</t>
  </si>
  <si>
    <t>221193</t>
  </si>
  <si>
    <t>CELSO LUIZ DAL MOLIN</t>
  </si>
  <si>
    <t>221201</t>
  </si>
  <si>
    <t>COMERCIAL DE ALIMENTOS FROHLICH LTDA.</t>
  </si>
  <si>
    <t>220877</t>
  </si>
  <si>
    <t>COMERCIO DE PRODUTOS ALIMENTICIOS PASQUALOTTI LTDA</t>
  </si>
  <si>
    <t>220891</t>
  </si>
  <si>
    <t>CONFEITARIA MORAES E PAPPEN LTDA</t>
  </si>
  <si>
    <t>220619</t>
  </si>
  <si>
    <t>DISTRIBUIDORA DE ALIMENTOS DAS MISSOES LTDA</t>
  </si>
  <si>
    <t>221205</t>
  </si>
  <si>
    <t>DISTRIBUIDORA DE ALIMENTOS SUL FRANGOS LTDA</t>
  </si>
  <si>
    <t>221197</t>
  </si>
  <si>
    <t>EMILIO BERACOCHEA GONZALEZ</t>
  </si>
  <si>
    <t>221192</t>
  </si>
  <si>
    <t>JAQUELINE ANDREIA KOCHENBORGER</t>
  </si>
  <si>
    <t>220635</t>
  </si>
  <si>
    <t>LEILA TERESINHA DAL CORTIVO</t>
  </si>
  <si>
    <t>220890</t>
  </si>
  <si>
    <t>M. DE FATIMA RECOBA SEVERO LTDA</t>
  </si>
  <si>
    <t>221196</t>
  </si>
  <si>
    <t>MACHRY ATACADO D TUDO LTDA.</t>
  </si>
  <si>
    <t>220617</t>
  </si>
  <si>
    <t>MARIA CLARICE FOCKINK</t>
  </si>
  <si>
    <t>220632</t>
  </si>
  <si>
    <t>MARILEI ROSANE WEIRICH MULLER</t>
  </si>
  <si>
    <t>220640</t>
  </si>
  <si>
    <t>MERCADO O.S. LTDA.</t>
  </si>
  <si>
    <t>220639</t>
  </si>
  <si>
    <t>MERCADO REMPEL LTDA.</t>
  </si>
  <si>
    <t>220637</t>
  </si>
  <si>
    <t>MILTON BRUNO BOHNERT LTDA.</t>
  </si>
  <si>
    <t>220638</t>
  </si>
  <si>
    <t>MR ATACAREJO LTDA</t>
  </si>
  <si>
    <t>220894</t>
  </si>
  <si>
    <t>ODAIR JOSE KARAS DE SOUZA</t>
  </si>
  <si>
    <t>220883</t>
  </si>
  <si>
    <t>PORTAL SUPERMERCADOS LTDA</t>
  </si>
  <si>
    <t>220643</t>
  </si>
  <si>
    <t>PROVISAO COMERCIO DE GENEROS ALIMENTICIOS LTDA.</t>
  </si>
  <si>
    <t>221198</t>
  </si>
  <si>
    <t>RAFAELA LOPES DA ROSA 04791420098</t>
  </si>
  <si>
    <t>220853</t>
  </si>
  <si>
    <t>REDOL ALIMENTOS LTDA</t>
  </si>
  <si>
    <t>220396</t>
  </si>
  <si>
    <t>RICKY RESTAURANTE E PIZZARIA LTDA</t>
  </si>
  <si>
    <t>220645</t>
  </si>
  <si>
    <t>SANDRO DOS SANTOS DE SOUZA MINIMERCADOS</t>
  </si>
  <si>
    <t>220642</t>
  </si>
  <si>
    <t>SONIA REGINA SANTOS DA CUNHA COMERCIO VAREJISTA DE CARNES LT</t>
  </si>
  <si>
    <t>221195</t>
  </si>
  <si>
    <t>220622</t>
  </si>
  <si>
    <t>220623</t>
  </si>
  <si>
    <t>SUPERMERCADO SALUKI LTDA</t>
  </si>
  <si>
    <t>220630</t>
  </si>
  <si>
    <t>SUPERP COMERCIAL DE ALIMENTOS LTDA</t>
  </si>
  <si>
    <t>220879</t>
  </si>
  <si>
    <t>VOLMAR MAURER JUNIOR LTDA.</t>
  </si>
  <si>
    <t>220851</t>
  </si>
  <si>
    <t>A. ANDERLE PRODUTOS ALIMENTICIOS LTDA</t>
  </si>
  <si>
    <t>220092</t>
  </si>
  <si>
    <t>CARMEN BAERWALDT VORPAGEL</t>
  </si>
  <si>
    <t>221378</t>
  </si>
  <si>
    <t>DAMARIS CRISTINA BATISTA STEFFENS LOPES 02581466057</t>
  </si>
  <si>
    <t>220400</t>
  </si>
  <si>
    <t>DANIELI LETICIA MORAES WESCHENFELDER LTDA</t>
  </si>
  <si>
    <t>221365</t>
  </si>
  <si>
    <t>221555</t>
  </si>
  <si>
    <t>FELIPE DUNCKE</t>
  </si>
  <si>
    <t>221347</t>
  </si>
  <si>
    <t>HAAS SUPERMERCADOS LTDA</t>
  </si>
  <si>
    <t>220663</t>
  </si>
  <si>
    <t>JOAO GABRIEL BUENO</t>
  </si>
  <si>
    <t>220647</t>
  </si>
  <si>
    <t>KAHKAU PANIFICACAO LTDA.</t>
  </si>
  <si>
    <t>220095</t>
  </si>
  <si>
    <t>LIBRAGA, BRANDAO SUPERMERCADOS LTDA</t>
  </si>
  <si>
    <t>220410</t>
  </si>
  <si>
    <t>220408</t>
  </si>
  <si>
    <t>220409</t>
  </si>
  <si>
    <t>NAIR TERESINHA DOMINGUES BUENO</t>
  </si>
  <si>
    <t>221319</t>
  </si>
  <si>
    <t>REIN &amp; CIA LTDA</t>
  </si>
  <si>
    <t>220399</t>
  </si>
  <si>
    <t>RIBEIRO GOBBI LTDA</t>
  </si>
  <si>
    <t>220646</t>
  </si>
  <si>
    <t>ROGERIO LUMERTZ MENGUE</t>
  </si>
  <si>
    <t>220658</t>
  </si>
  <si>
    <t>SONIA MARIA WITCZAK</t>
  </si>
  <si>
    <t>220651</t>
  </si>
  <si>
    <t>SUPERMERCADO ROQUE LTDA.</t>
  </si>
  <si>
    <t>220653</t>
  </si>
  <si>
    <t>220655</t>
  </si>
  <si>
    <t>WOLLMANN E CIA LTDA</t>
  </si>
  <si>
    <t>221236</t>
  </si>
  <si>
    <t>220953</t>
  </si>
  <si>
    <t>ANTONIO MARCOS AMARAL NUNES</t>
  </si>
  <si>
    <t>221268</t>
  </si>
  <si>
    <t>CHARLENI S DILVA TARONE LONGO</t>
  </si>
  <si>
    <t>220999</t>
  </si>
  <si>
    <t>CLAIR MARIA BAIERLE</t>
  </si>
  <si>
    <t>221284</t>
  </si>
  <si>
    <t>CMF PADARIA LTDA</t>
  </si>
  <si>
    <t>221299</t>
  </si>
  <si>
    <t>COMERCIO E REPRESENTACOES AGRICOLA RELVA LTDA.</t>
  </si>
  <si>
    <t>220934</t>
  </si>
  <si>
    <t>COMPRA CERTA DISTRIBUIDORA ALIMENTICIA E PAPELARIA LTDA.</t>
  </si>
  <si>
    <t>221606</t>
  </si>
  <si>
    <t>221607</t>
  </si>
  <si>
    <t>DONNA COMERCIO DE GENEROS ALIMENTICIOS LTDA</t>
  </si>
  <si>
    <t>220453</t>
  </si>
  <si>
    <t>FERNANDA RAQUEL RUSCH TRETER</t>
  </si>
  <si>
    <t>220929</t>
  </si>
  <si>
    <t>FRANCISCO ARTHUR TAVARES PEREIRA</t>
  </si>
  <si>
    <t>220950</t>
  </si>
  <si>
    <t>GIDANI SUPERMERCADO LTDA</t>
  </si>
  <si>
    <t>220946</t>
  </si>
  <si>
    <t>IRMAOS BERTUOLI LTDA.</t>
  </si>
  <si>
    <t>220997</t>
  </si>
  <si>
    <t>JONAS KASTER BARTZ E CIA LTDA</t>
  </si>
  <si>
    <t>220952</t>
  </si>
  <si>
    <t>JOSE LUIS NASCIMENTO DA SILVA</t>
  </si>
  <si>
    <t>220942</t>
  </si>
  <si>
    <t>JOSIANE FOUCHY CERON</t>
  </si>
  <si>
    <t>220951</t>
  </si>
  <si>
    <t>LUIS CARLOS SETIM</t>
  </si>
  <si>
    <t>220986</t>
  </si>
  <si>
    <t>LUNAJU SUPERMERCADOS LTDA</t>
  </si>
  <si>
    <t>220976</t>
  </si>
  <si>
    <t>M P J COMERCIO DE ALIMENTOS LTDA</t>
  </si>
  <si>
    <t>220941</t>
  </si>
  <si>
    <t>MERCADO GOLLMANN LTDA.</t>
  </si>
  <si>
    <t>220972</t>
  </si>
  <si>
    <t>NATALIA MENGUE ROMERO</t>
  </si>
  <si>
    <t>220444</t>
  </si>
  <si>
    <t>NOELISE FOESCH RACHOR LTDA</t>
  </si>
  <si>
    <t>221288</t>
  </si>
  <si>
    <t>PADARIA LAUER LTDA</t>
  </si>
  <si>
    <t>220961</t>
  </si>
  <si>
    <t>PERETTO SUPERMERCADOS LTDA</t>
  </si>
  <si>
    <t>220996</t>
  </si>
  <si>
    <t>RESTAURANTE OFICINA LTDA</t>
  </si>
  <si>
    <t>220944</t>
  </si>
  <si>
    <t>ROSELI WALAU DE FRAGA</t>
  </si>
  <si>
    <t>221266</t>
  </si>
  <si>
    <t>220967</t>
  </si>
  <si>
    <t>221312</t>
  </si>
  <si>
    <t>220427</t>
  </si>
  <si>
    <t>SILVIO DA SILVA MARTINS</t>
  </si>
  <si>
    <t>220948</t>
  </si>
  <si>
    <t>SUPER BOMBARDELLI LTDA</t>
  </si>
  <si>
    <t>221282</t>
  </si>
  <si>
    <t>SUPERMERCADO FRIEDRICH LTDA</t>
  </si>
  <si>
    <t>220971</t>
  </si>
  <si>
    <t>SUPERMERCADO PANISSI LTDA.</t>
  </si>
  <si>
    <t>220995</t>
  </si>
  <si>
    <t>T B FORTI</t>
  </si>
  <si>
    <t>220450</t>
  </si>
  <si>
    <t>WILMAR DOS REIS</t>
  </si>
  <si>
    <t>220922</t>
  </si>
  <si>
    <t>ADAIR VARGAS LIMA</t>
  </si>
  <si>
    <t>221034</t>
  </si>
  <si>
    <t>ADILSON CARDOSO TRINDADE</t>
  </si>
  <si>
    <t>221403</t>
  </si>
  <si>
    <t>221341</t>
  </si>
  <si>
    <t>BIANCA LETICIA GOLIMBIEVSKI</t>
  </si>
  <si>
    <t>221040</t>
  </si>
  <si>
    <t>CARLOS ALBERTO WISNIEWSKI JABS 03215419017</t>
  </si>
  <si>
    <t>221363</t>
  </si>
  <si>
    <t>221047</t>
  </si>
  <si>
    <t>COOPERATIVA DOS PEQUENOS AGRICULTORES DE PORTO XAVIER LTDA</t>
  </si>
  <si>
    <t>221044</t>
  </si>
  <si>
    <t>ELTON LUIS HORN</t>
  </si>
  <si>
    <t>220675</t>
  </si>
  <si>
    <t>ILC COMERCIAL DE ALIMENTOS LTDA</t>
  </si>
  <si>
    <t>221338</t>
  </si>
  <si>
    <t>ILKA ZIRR MOGDANS 77599802053</t>
  </si>
  <si>
    <t>221380</t>
  </si>
  <si>
    <t>JOEL BUTINSKI</t>
  </si>
  <si>
    <t>221043</t>
  </si>
  <si>
    <t>JORGE LUIS FREITAS PACHECO</t>
  </si>
  <si>
    <t>221399</t>
  </si>
  <si>
    <t>221342</t>
  </si>
  <si>
    <t>LEANDRO ARRACHE PINHEIRO 69174393049</t>
  </si>
  <si>
    <t>221394</t>
  </si>
  <si>
    <t>LEONIR KOHLER LTDA.</t>
  </si>
  <si>
    <t>220733</t>
  </si>
  <si>
    <t>LIANA MAISA SCHNEIDER</t>
  </si>
  <si>
    <t>221036</t>
  </si>
  <si>
    <t>LILIAN RODRIGUES GOMES DE OLIVEIRA</t>
  </si>
  <si>
    <t>221075</t>
  </si>
  <si>
    <t>MARCIO THUROW TIMM</t>
  </si>
  <si>
    <t>221335</t>
  </si>
  <si>
    <t>MERCADO DUNCKE LTDA</t>
  </si>
  <si>
    <t>221368</t>
  </si>
  <si>
    <t>MINIMERCADO LEMOS LTDA</t>
  </si>
  <si>
    <t>221336</t>
  </si>
  <si>
    <t>221340</t>
  </si>
  <si>
    <t>NORMA TEREZINHA FOLLMANN</t>
  </si>
  <si>
    <t>221017</t>
  </si>
  <si>
    <t>221411</t>
  </si>
  <si>
    <t>PANIFICADORA 25 DE SETEMBRO LTDA</t>
  </si>
  <si>
    <t>220717</t>
  </si>
  <si>
    <t>PATRICIA SERVO E CIA LTDA ME</t>
  </si>
  <si>
    <t>221014</t>
  </si>
  <si>
    <t>221377</t>
  </si>
  <si>
    <t>RECANTO INDUSTRIA DE PANIFICACAO LTDA</t>
  </si>
  <si>
    <t>221041</t>
  </si>
  <si>
    <t>REGINA BEATRIZ MAGERL RAMBO 02969116073</t>
  </si>
  <si>
    <t>221042</t>
  </si>
  <si>
    <t>ROBSON CUNHA NAYMAIER</t>
  </si>
  <si>
    <t>221057</t>
  </si>
  <si>
    <t>SIMONE WELTER E PAULO AIRTON FRAGA DOS SANTOS LTDA</t>
  </si>
  <si>
    <t>220780</t>
  </si>
  <si>
    <t>SIMONIA OLIVEIRA DE LIMA - PADARIA</t>
  </si>
  <si>
    <t>221058</t>
  </si>
  <si>
    <t>SUPERMERCADO EBERHARDT LTDA.</t>
  </si>
  <si>
    <t>221026</t>
  </si>
  <si>
    <t>SUPERMERCADO HERMES LTDA</t>
  </si>
  <si>
    <t>221050</t>
  </si>
  <si>
    <t>SUPERMERCADO POLLA LTDA</t>
  </si>
  <si>
    <t>221370</t>
  </si>
  <si>
    <t>221328</t>
  </si>
  <si>
    <t>TARUMA CARNES LTDA</t>
  </si>
  <si>
    <t>221076</t>
  </si>
  <si>
    <t>VANUSA SILVA &amp; CIA LTDA</t>
  </si>
  <si>
    <t>221024</t>
  </si>
  <si>
    <t>221049</t>
  </si>
  <si>
    <t>ALAN DOS SANTOS MEDEIROS</t>
  </si>
  <si>
    <t>221122</t>
  </si>
  <si>
    <t>221139</t>
  </si>
  <si>
    <t>221178</t>
  </si>
  <si>
    <t>ARILY ALFREDO AREND</t>
  </si>
  <si>
    <t>221164</t>
  </si>
  <si>
    <t>COFFEE BLACK RS LTDA.</t>
  </si>
  <si>
    <t>221171</t>
  </si>
  <si>
    <t>COOPERATIVA AGROP DE PROD E COMERC DE JABOTICABA LTDA</t>
  </si>
  <si>
    <t>221090</t>
  </si>
  <si>
    <t>EDUARDO FONSECA AMORIM</t>
  </si>
  <si>
    <t>220590</t>
  </si>
  <si>
    <t>FABIO ALVES SUTIL</t>
  </si>
  <si>
    <t>221445</t>
  </si>
  <si>
    <t>221129</t>
  </si>
  <si>
    <t>IGOR TADEU CORREA GOI 00723591024</t>
  </si>
  <si>
    <t>220796</t>
  </si>
  <si>
    <t>INOR FORTI</t>
  </si>
  <si>
    <t>221185</t>
  </si>
  <si>
    <t>JAQUES MAURICIO GALLI E CIA LTDA</t>
  </si>
  <si>
    <t>221440</t>
  </si>
  <si>
    <t>JEFERSON BRASIL DA SILVA</t>
  </si>
  <si>
    <t>221427</t>
  </si>
  <si>
    <t>JOAO ROBERTO TEIXEIRA REQUINI 94493294000</t>
  </si>
  <si>
    <t>221436</t>
  </si>
  <si>
    <t>KAUANA AOSANI CERRI 03493473010</t>
  </si>
  <si>
    <t>220794</t>
  </si>
  <si>
    <t>LUANA MACHADO WESZ</t>
  </si>
  <si>
    <t>221156</t>
  </si>
  <si>
    <t>MARCIO HUMBERTO FLORIANO PERES</t>
  </si>
  <si>
    <t>221116</t>
  </si>
  <si>
    <t>220795</t>
  </si>
  <si>
    <t>RIBACHEK DISTRIBUIDORA DE ALIMENTOS LTDA</t>
  </si>
  <si>
    <t>220807</t>
  </si>
  <si>
    <t>220808</t>
  </si>
  <si>
    <t>220810</t>
  </si>
  <si>
    <t>220813</t>
  </si>
  <si>
    <t>220814</t>
  </si>
  <si>
    <t>ROBSON LOPES</t>
  </si>
  <si>
    <t>221456</t>
  </si>
  <si>
    <t>220790</t>
  </si>
  <si>
    <t>SERGIO DE OLIVEIRA DA SILVA</t>
  </si>
  <si>
    <t>221432</t>
  </si>
  <si>
    <t>220791</t>
  </si>
  <si>
    <t>SUPERMERCADO SALVIERI LTDA</t>
  </si>
  <si>
    <t>220822</t>
  </si>
  <si>
    <t>SUPERMERCADO SORRISO LTDA.</t>
  </si>
  <si>
    <t>220788</t>
  </si>
  <si>
    <t>TEREZINHA ANTUNES NUNES</t>
  </si>
  <si>
    <t>221443</t>
  </si>
  <si>
    <t>VALDOCI CARLOS SOARES</t>
  </si>
  <si>
    <t>220828</t>
  </si>
  <si>
    <t>ALAIR DA CHAGA</t>
  </si>
  <si>
    <t>220884</t>
  </si>
  <si>
    <t>CLORI STIVANIN PADARIA</t>
  </si>
  <si>
    <t>220861</t>
  </si>
  <si>
    <t>221209</t>
  </si>
  <si>
    <t>COMERCIAL DE ALIMENTOS ESCOBAR LTDA</t>
  </si>
  <si>
    <t>220892</t>
  </si>
  <si>
    <t>DEOMIRA L S DELLA BONA LTDA.</t>
  </si>
  <si>
    <t>220880</t>
  </si>
  <si>
    <t>ELENIDES DOS SANTOS FRANCHINI</t>
  </si>
  <si>
    <t>220887</t>
  </si>
  <si>
    <t>ELENIR FAGUNDES SCHMIDT PEREIRA</t>
  </si>
  <si>
    <t>221595</t>
  </si>
  <si>
    <t>220846</t>
  </si>
  <si>
    <t>MARLENE ZELINSKI</t>
  </si>
  <si>
    <t>221449</t>
  </si>
  <si>
    <t>RCM SUPERMERCADO LTDA</t>
  </si>
  <si>
    <t>220875</t>
  </si>
  <si>
    <t>SUPERMERCADO NEGRELLO LTDA.</t>
  </si>
  <si>
    <t>221206</t>
  </si>
  <si>
    <t>TAMIRES SANTOS DA ROSA LTDA</t>
  </si>
  <si>
    <t>221526</t>
  </si>
  <si>
    <t>IRIS DURKS MATTANA LTDA</t>
  </si>
  <si>
    <t>221229</t>
  </si>
  <si>
    <t>JOCIEL HENRIQUE DA SILVA</t>
  </si>
  <si>
    <t>221238</t>
  </si>
  <si>
    <t>MERCADO GETULIO LTDA.</t>
  </si>
  <si>
    <t>220897</t>
  </si>
  <si>
    <t>MERCADO IRMAOS SCHMITZ LTDA</t>
  </si>
  <si>
    <t>221569</t>
  </si>
  <si>
    <t>SUPERMERCADO PORTELLA DE MORAES LTDA.</t>
  </si>
  <si>
    <t>221235</t>
  </si>
  <si>
    <t>SUPERMERCADO SACOLAO VERDE LTDA</t>
  </si>
  <si>
    <t>221241</t>
  </si>
  <si>
    <t>ANDRESSA VITORIA ROSSIN DA ROSA</t>
  </si>
  <si>
    <t>221256</t>
  </si>
  <si>
    <t>BDF PIZZARIA LTDA</t>
  </si>
  <si>
    <t>221382</t>
  </si>
  <si>
    <t>CARLA HENKE RIBAS</t>
  </si>
  <si>
    <t>221318</t>
  </si>
  <si>
    <t>CATIA ZOUNAR DOS SANTOS</t>
  </si>
  <si>
    <t>220923</t>
  </si>
  <si>
    <t>CLACI MATTE KURTZ</t>
  </si>
  <si>
    <t>220918</t>
  </si>
  <si>
    <t>CLAIRE HERNANDES MORAES 01599443090</t>
  </si>
  <si>
    <t>221398</t>
  </si>
  <si>
    <t>CLAUDINEI GRUTZMANN LTDA.</t>
  </si>
  <si>
    <t>221369</t>
  </si>
  <si>
    <t>221300</t>
  </si>
  <si>
    <t>CM HAAS LTDA</t>
  </si>
  <si>
    <t>221287</t>
  </si>
  <si>
    <t>COMERCIAL BERTEI LTDA</t>
  </si>
  <si>
    <t>221255</t>
  </si>
  <si>
    <t>COMERCIO DE ALIMENTOS D'AGOSTIN REHN LTDA</t>
  </si>
  <si>
    <t>221577</t>
  </si>
  <si>
    <t>221359</t>
  </si>
  <si>
    <t>DENISE KERBER E CIA LTDA</t>
  </si>
  <si>
    <t>220983</t>
  </si>
  <si>
    <t>EDIO FRANCISCO BRAUN</t>
  </si>
  <si>
    <t>221371</t>
  </si>
  <si>
    <t>ELTON ARENHART</t>
  </si>
  <si>
    <t>221294</t>
  </si>
  <si>
    <t>221351</t>
  </si>
  <si>
    <t>221401</t>
  </si>
  <si>
    <t>GABRIELA DA ROSA PETZINGER</t>
  </si>
  <si>
    <t>221587</t>
  </si>
  <si>
    <t>GRACIELE MICHELSEN KUNZLER</t>
  </si>
  <si>
    <t>220736</t>
  </si>
  <si>
    <t>IVONE CLECI GURSKI</t>
  </si>
  <si>
    <t>221349</t>
  </si>
  <si>
    <t>221258</t>
  </si>
  <si>
    <t>220963</t>
  </si>
  <si>
    <t>LEONTINA CORREA PINTO</t>
  </si>
  <si>
    <t>220916</t>
  </si>
  <si>
    <t>221379</t>
  </si>
  <si>
    <t>MARCELA BANDEIRA PACHECO</t>
  </si>
  <si>
    <t>221387</t>
  </si>
  <si>
    <t>MARCIEL JOSE UES</t>
  </si>
  <si>
    <t>221409</t>
  </si>
  <si>
    <t>MARCIO POLITOWSKI</t>
  </si>
  <si>
    <t>221367</t>
  </si>
  <si>
    <t>MARCO ANTONIO LETTNIN</t>
  </si>
  <si>
    <t>221345</t>
  </si>
  <si>
    <t>MARISTELA ALTEVOGT SCHENKEL</t>
  </si>
  <si>
    <t>220919</t>
  </si>
  <si>
    <t>221375</t>
  </si>
  <si>
    <t>MERCADO LIMASIL LTDA</t>
  </si>
  <si>
    <t>220925</t>
  </si>
  <si>
    <t>221285</t>
  </si>
  <si>
    <t>NINA ALIMENTOS LTDA.</t>
  </si>
  <si>
    <t>220917</t>
  </si>
  <si>
    <t>NORMA WILLRICH RODRIGUES</t>
  </si>
  <si>
    <t>221389</t>
  </si>
  <si>
    <t>PADARIA E BISCOITARIA 3 DE MAIO LTDA</t>
  </si>
  <si>
    <t>221306</t>
  </si>
  <si>
    <t>PAULO M. DE SOUZA E CIA LTDA</t>
  </si>
  <si>
    <t>221260</t>
  </si>
  <si>
    <t>RAFAEL NATAL MACALAI</t>
  </si>
  <si>
    <t>220910</t>
  </si>
  <si>
    <t>RENATO SERAFIM PORTO DE SOUZA</t>
  </si>
  <si>
    <t>221330</t>
  </si>
  <si>
    <t>RESTAURANTE NETHER LTDA</t>
  </si>
  <si>
    <t>221283</t>
  </si>
  <si>
    <t>221277</t>
  </si>
  <si>
    <t>RONEI RUDOLFO RICHTER &amp; CIA LTDA</t>
  </si>
  <si>
    <t>220915</t>
  </si>
  <si>
    <t>SALETI BERNY ZANOLETE</t>
  </si>
  <si>
    <t>221596</t>
  </si>
  <si>
    <t>SERGIO VAZ DA CUNHA</t>
  </si>
  <si>
    <t>221391</t>
  </si>
  <si>
    <t>SOLANGE TERESINHA BACK PINTO 01714336026</t>
  </si>
  <si>
    <t>221348</t>
  </si>
  <si>
    <t>SUPERMERCADO ECKERT LTDA</t>
  </si>
  <si>
    <t>220914</t>
  </si>
  <si>
    <t>SUPERMERCADO FRIZZO LTDA</t>
  </si>
  <si>
    <t>221320</t>
  </si>
  <si>
    <t>221457</t>
  </si>
  <si>
    <t>221101</t>
  </si>
  <si>
    <t>CLEONICE CARVALHO ALVES</t>
  </si>
  <si>
    <t>221140</t>
  </si>
  <si>
    <t>COMERCIAL DE ALIMENTOS ROSINK LTDA.</t>
  </si>
  <si>
    <t>221121</t>
  </si>
  <si>
    <t>221102</t>
  </si>
  <si>
    <t>EDEMAR DA SILVA OBRIGON LTDA</t>
  </si>
  <si>
    <t>221095</t>
  </si>
  <si>
    <t>221099</t>
  </si>
  <si>
    <t>221458</t>
  </si>
  <si>
    <t>FATIMA RIBEIRO NOLASCO</t>
  </si>
  <si>
    <t>221444</t>
  </si>
  <si>
    <t>HENRIQUE MATEUS JESKE BIHAIN</t>
  </si>
  <si>
    <t>221417</t>
  </si>
  <si>
    <t>221106</t>
  </si>
  <si>
    <t>IRMAOS KRISE LTDA</t>
  </si>
  <si>
    <t>221480</t>
  </si>
  <si>
    <t>JENNIFER BORGES DE FIGUEIREDO</t>
  </si>
  <si>
    <t>221439</t>
  </si>
  <si>
    <t>JORGE HUMBERTO CORREA FAGUNDES</t>
  </si>
  <si>
    <t>221136</t>
  </si>
  <si>
    <t>JUSTO RAFAEL DE ARAUJO CAMARGO</t>
  </si>
  <si>
    <t>221434</t>
  </si>
  <si>
    <t>221100</t>
  </si>
  <si>
    <t>LEONARDO GARAY BARRETO</t>
  </si>
  <si>
    <t>221429</t>
  </si>
  <si>
    <t>221501</t>
  </si>
  <si>
    <t>MACRO ATACADO KROLOW LTDA</t>
  </si>
  <si>
    <t>221148</t>
  </si>
  <si>
    <t>221149</t>
  </si>
  <si>
    <t>221150</t>
  </si>
  <si>
    <t>221151</t>
  </si>
  <si>
    <t>MERCADO ROMA LTDA</t>
  </si>
  <si>
    <t>221462</t>
  </si>
  <si>
    <t>MF DISTRIBUIDORA DE ALIMENTOS &amp; LOGISTICA LTDA.</t>
  </si>
  <si>
    <t>221466</t>
  </si>
  <si>
    <t>221104</t>
  </si>
  <si>
    <t>NEUSA TUCHTENHAGEN BERTO</t>
  </si>
  <si>
    <t>221477</t>
  </si>
  <si>
    <t>PAULO ROSA DOS SANTOS BARBOSA</t>
  </si>
  <si>
    <t>221172</t>
  </si>
  <si>
    <t>REDECOP S A IND COM IMP E EXPORTACAO</t>
  </si>
  <si>
    <t>221107</t>
  </si>
  <si>
    <t>221419</t>
  </si>
  <si>
    <t>221097</t>
  </si>
  <si>
    <t>S K PADARIA LTDA</t>
  </si>
  <si>
    <t>221497</t>
  </si>
  <si>
    <t>UNIMED NOROESTE/RS - SOCIEDADE COOP. DE ASSIS. A SAUDE LTDA</t>
  </si>
  <si>
    <t>221093</t>
  </si>
  <si>
    <t>AGROPECUARIA TRES J LTDA.</t>
  </si>
  <si>
    <t>221522</t>
  </si>
  <si>
    <t>ANDRESSA R. F. SANSON E CRISTIAN R. FENGLER LTDA</t>
  </si>
  <si>
    <t>221514</t>
  </si>
  <si>
    <t>COMERCIO DE ALIMENTOS HENTGES LTDA.</t>
  </si>
  <si>
    <t>221520</t>
  </si>
  <si>
    <t>DELIVERY FORNALHA'SA LTDA</t>
  </si>
  <si>
    <t>221517</t>
  </si>
  <si>
    <t>221512</t>
  </si>
  <si>
    <t>MARIA DOLORES KUHN</t>
  </si>
  <si>
    <t>221533</t>
  </si>
  <si>
    <t>ABATTI COMERCIO DE ALIMENTOS PARA ANIMAIS LTDA</t>
  </si>
  <si>
    <t>221227</t>
  </si>
  <si>
    <t>COMPENSADOS E LAMINADOS LAVRASUL S/A</t>
  </si>
  <si>
    <t>221228</t>
  </si>
  <si>
    <t>GERHARDT COMERCIO DE ALIMENTOS LTDA</t>
  </si>
  <si>
    <t>221214</t>
  </si>
  <si>
    <t>221215</t>
  </si>
  <si>
    <t>221216</t>
  </si>
  <si>
    <t>221570</t>
  </si>
  <si>
    <t>SUPERMERCADO ZARDIN LTDA.</t>
  </si>
  <si>
    <t>221213</t>
  </si>
  <si>
    <t>221597</t>
  </si>
  <si>
    <t>221602</t>
  </si>
  <si>
    <t>LISSANDRO LOPES</t>
  </si>
  <si>
    <t>221250</t>
  </si>
  <si>
    <t>MERCADO TAMIOZZO LTDA</t>
  </si>
  <si>
    <t>221278</t>
  </si>
  <si>
    <t>MIX CESTA BASICA COMERCIO DE ALIMENTOS LTDA</t>
  </si>
  <si>
    <t>220921</t>
  </si>
  <si>
    <t>221251</t>
  </si>
  <si>
    <t>ROBERTA FARIAS SILVEIRA</t>
  </si>
  <si>
    <t>221598</t>
  </si>
  <si>
    <t>221025</t>
  </si>
  <si>
    <t>CHL SUPERMERCADO LTDA</t>
  </si>
  <si>
    <t>221484</t>
  </si>
  <si>
    <t>CILMAR LOBINS DA SILVA 67498450020</t>
  </si>
  <si>
    <t>221453</t>
  </si>
  <si>
    <t>CLEBERSON GUTH &amp; CIA. LTDA.</t>
  </si>
  <si>
    <t>221493</t>
  </si>
  <si>
    <t>221452</t>
  </si>
  <si>
    <t>CLEUSA DE FATIMA THALHEIMER SCHMITZ</t>
  </si>
  <si>
    <t>221503</t>
  </si>
  <si>
    <t>ELIANDRO KRUMENAUER 91978955049</t>
  </si>
  <si>
    <t>221500</t>
  </si>
  <si>
    <t>EVA NELCI PINTO BRUM</t>
  </si>
  <si>
    <t>221455</t>
  </si>
  <si>
    <t>221502</t>
  </si>
  <si>
    <t>221421</t>
  </si>
  <si>
    <t>221489</t>
  </si>
  <si>
    <t>LOERI WUTTIG &amp; CIA LTDA</t>
  </si>
  <si>
    <t>221416</t>
  </si>
  <si>
    <t>221499</t>
  </si>
  <si>
    <t>MERCADO POKO PRECO FABIANE ZOHLER LTDA.</t>
  </si>
  <si>
    <t>221485</t>
  </si>
  <si>
    <t>PADARIA SJI LTDA.</t>
  </si>
  <si>
    <t>221488</t>
  </si>
  <si>
    <t>221470</t>
  </si>
  <si>
    <t>SHERLOCK PIZZARIA E CHOPERIA LTDA.</t>
  </si>
  <si>
    <t>221425</t>
  </si>
  <si>
    <t>SOMA SUPERMERCADO LTDA</t>
  </si>
  <si>
    <t>221490</t>
  </si>
  <si>
    <t>SUPERMERCADO ROQUE LTDA</t>
  </si>
  <si>
    <t>221496</t>
  </si>
  <si>
    <t>221513</t>
  </si>
  <si>
    <t>ELENIR G WILDNER E CIA. LTDA.</t>
  </si>
  <si>
    <t>221521</t>
  </si>
  <si>
    <t>IRES MARIA ZARTH PILATO 90364759020</t>
  </si>
  <si>
    <t>221518</t>
  </si>
  <si>
    <t>JOAO BAPTISTA CORTEANA</t>
  </si>
  <si>
    <t>221511</t>
  </si>
  <si>
    <t>221548</t>
  </si>
  <si>
    <t>221549</t>
  </si>
  <si>
    <t>SADIR BORGES DOS SANTOS LTDA.</t>
  </si>
  <si>
    <t>221554</t>
  </si>
  <si>
    <t>221610</t>
  </si>
  <si>
    <t>BENEDETTI &amp; BENEDETTI LTDA</t>
  </si>
  <si>
    <t>221601</t>
  </si>
  <si>
    <t>ELIZIANE DE LIMA BRUM</t>
  </si>
  <si>
    <t>221588</t>
  </si>
  <si>
    <t>MAIS FRANGO MIRAGUAI LTDA</t>
  </si>
  <si>
    <t>221252</t>
  </si>
  <si>
    <t>221505</t>
  </si>
  <si>
    <t>COISAS E COISAS LTDA</t>
  </si>
  <si>
    <t>140358</t>
  </si>
  <si>
    <t>R219476</t>
  </si>
  <si>
    <t>J R C RAMOS LTDA</t>
  </si>
  <si>
    <t>140732</t>
  </si>
  <si>
    <t>ATACADAO ANDRADE DISTRIBUICAO LTDA</t>
  </si>
  <si>
    <t>141081</t>
  </si>
  <si>
    <t>JUSTEN DISTRIBUIDORA DE PRODUTOS ALIMENTICIOS LTDA - ME</t>
  </si>
  <si>
    <t>141165</t>
  </si>
  <si>
    <t>MARIA GERALDA DE CARVALHO SORIA</t>
  </si>
  <si>
    <t>141476</t>
  </si>
  <si>
    <t>TAIS MINI MERCADO E LOJA DE VARIEDADES LTDA</t>
  </si>
  <si>
    <t>141294</t>
  </si>
  <si>
    <t>REIVON DOS REIS BATISTA BAZAR E ALIMENTOS</t>
  </si>
  <si>
    <t>141542</t>
  </si>
  <si>
    <t>G M TAVARES BARD</t>
  </si>
  <si>
    <t>141460</t>
  </si>
  <si>
    <t>JC DISTRIB LOG IMPORTACAO E EXP PROD IND. S/A</t>
  </si>
  <si>
    <t>141478</t>
  </si>
  <si>
    <t>PADARIA E CONFEITARIA SOFT LTDA</t>
  </si>
  <si>
    <t>141800</t>
  </si>
  <si>
    <t>L. F. COMERCIO DE ALIMENTOS LTDA</t>
  </si>
  <si>
    <t>141401</t>
  </si>
  <si>
    <t>SUPERMERCADOS ARTIGAS LTDA ME</t>
  </si>
  <si>
    <t>141850</t>
  </si>
  <si>
    <t>JAMES L. H. TOME &amp; CIA LTDA</t>
  </si>
  <si>
    <t>141462</t>
  </si>
  <si>
    <t>141463</t>
  </si>
  <si>
    <t>141464</t>
  </si>
  <si>
    <t>141465</t>
  </si>
  <si>
    <t>LAP DISTRIBUIDORA DE DOCES LTDA EPP</t>
  </si>
  <si>
    <t>141913</t>
  </si>
  <si>
    <t>LOBO MIX COM DE ALIM LTDA</t>
  </si>
  <si>
    <t>141454</t>
  </si>
  <si>
    <t>PULA PULA SHOW COM. DE ARTIGOS DE FESTA EIRELI</t>
  </si>
  <si>
    <t>141455</t>
  </si>
  <si>
    <t>ADNICO DISTRIBUIDORA DE ALIMENTOS LTDA.</t>
  </si>
  <si>
    <t>220533</t>
  </si>
  <si>
    <t>BUCHHOLZ COMERCIO DE ALIMENTOS LTDA.</t>
  </si>
  <si>
    <t>220707</t>
  </si>
  <si>
    <t>DIEGO GOMES PESSANHA VIEIRA</t>
  </si>
  <si>
    <t>141683</t>
  </si>
  <si>
    <t>FRANCISCO CARLOS DE PAULA ARMARINHO - ME</t>
  </si>
  <si>
    <t>141688</t>
  </si>
  <si>
    <t>220479</t>
  </si>
  <si>
    <t>220708</t>
  </si>
  <si>
    <t>221046</t>
  </si>
  <si>
    <t>RBS COMERCIO DE GENEROS ALIMENTICIOS LTDA</t>
  </si>
  <si>
    <t>141727</t>
  </si>
  <si>
    <t>ATACADAO DAS BALAS LTDA</t>
  </si>
  <si>
    <t>141508</t>
  </si>
  <si>
    <t>DAC DOCES E FESTAS LTDA</t>
  </si>
  <si>
    <t>141970</t>
  </si>
  <si>
    <t>HAPPY COMERCIO VAREJISTA EM GERAL LTDA</t>
  </si>
  <si>
    <t>141734</t>
  </si>
  <si>
    <t>220287</t>
  </si>
  <si>
    <t>REAL CENTER MINIMERCADO LTDA</t>
  </si>
  <si>
    <t>141753</t>
  </si>
  <si>
    <t>220008</t>
  </si>
  <si>
    <t>SUPRIMENTOS EMBALAGENS LTDA</t>
  </si>
  <si>
    <t>141138</t>
  </si>
  <si>
    <t>MEGA REAL CASCAVEL LTDA</t>
  </si>
  <si>
    <t>R141928</t>
  </si>
  <si>
    <t>SORAIA DISTRIBUIDORA DE DOCES LTDA - EPP</t>
  </si>
  <si>
    <t>141794</t>
  </si>
  <si>
    <t>SUL ATACADO E VAREJO DE ALIMENTOS E. E PR. PARA FESTAS LTDA</t>
  </si>
  <si>
    <t>141836</t>
  </si>
  <si>
    <t>TREICHEL E SOARES LTDA</t>
  </si>
  <si>
    <t>220842</t>
  </si>
  <si>
    <t>220382</t>
  </si>
  <si>
    <t>BAZAR REUTER LTDA</t>
  </si>
  <si>
    <t>141445</t>
  </si>
  <si>
    <t>FABRICIA CAROLINE FUZINATO</t>
  </si>
  <si>
    <t>141217</t>
  </si>
  <si>
    <t>GABRIELA VITORIA DE OLIVEIRA COMERCIAL</t>
  </si>
  <si>
    <t>141591</t>
  </si>
  <si>
    <t>JOAO E O PE DE FEIJAO COMERCIO DE MATERIAIS LTDA</t>
  </si>
  <si>
    <t>141579</t>
  </si>
  <si>
    <t>K F V VICTOR</t>
  </si>
  <si>
    <t>141204</t>
  </si>
  <si>
    <t>LATICINIOS DA LAPA LTDA</t>
  </si>
  <si>
    <t>141848</t>
  </si>
  <si>
    <t>MARCIO HELENO BARTZ</t>
  </si>
  <si>
    <t>141438</t>
  </si>
  <si>
    <t>MEGA MIX UTILIDADES LTDA</t>
  </si>
  <si>
    <t>141581</t>
  </si>
  <si>
    <t>S BOMFIM DE SOUZA LTDA</t>
  </si>
  <si>
    <t>141415</t>
  </si>
  <si>
    <t>SG SUPERMERCADOS LTDA</t>
  </si>
  <si>
    <t>141285</t>
  </si>
  <si>
    <t>VANDERLEI HECK 48045632020</t>
  </si>
  <si>
    <t>141605</t>
  </si>
  <si>
    <t>ADEMIR JOSE DE SANTANA</t>
  </si>
  <si>
    <t>141647</t>
  </si>
  <si>
    <t>AGS DISTRIBUIDORA DE ALIMENTOS LTDA</t>
  </si>
  <si>
    <t>141894</t>
  </si>
  <si>
    <t>COMERCIO DE DOCES SERAFIM LTDA</t>
  </si>
  <si>
    <t>141643</t>
  </si>
  <si>
    <t>INES GASPAR HERNANDES DA CUNHA</t>
  </si>
  <si>
    <t>141262</t>
  </si>
  <si>
    <t>MARIVAL DA SILVA CONCEICAO NEIVA 78441900515</t>
  </si>
  <si>
    <t>141650</t>
  </si>
  <si>
    <t>MEGA REAL DO BRASIL LTDA</t>
  </si>
  <si>
    <t>141929</t>
  </si>
  <si>
    <t>MEGA REAL GUARAPUAVA LTDA</t>
  </si>
  <si>
    <t>141933</t>
  </si>
  <si>
    <t>R DE O ALVES DEPOSITO DE DOCES E MIUDEZAS - ME</t>
  </si>
  <si>
    <t>141649</t>
  </si>
  <si>
    <t>RONALDO LEMOS</t>
  </si>
  <si>
    <t>141905</t>
  </si>
  <si>
    <t>32.710.070 FILEMON VEIGA SANTOS</t>
  </si>
  <si>
    <t>141687</t>
  </si>
  <si>
    <t>A. DAMIAN MAIER E A. VALDOMIRO MARAGNO GRABER LTDA</t>
  </si>
  <si>
    <t>ALBERTO FABIO SANTOS BATISTA</t>
  </si>
  <si>
    <t>220221</t>
  </si>
  <si>
    <t>ALESSANDRA MOREIRA MARTINS E CIA LTDA - ME</t>
  </si>
  <si>
    <t>141731</t>
  </si>
  <si>
    <t>ANACLEIA MARIA MEDEIROS</t>
  </si>
  <si>
    <t>220778</t>
  </si>
  <si>
    <t>ANGELICA LUCIANE PORT LOPES DE CASTRO</t>
  </si>
  <si>
    <t>141691</t>
  </si>
  <si>
    <t>ANTONIA ISELDA KRAISIG DEZENGRINI</t>
  </si>
  <si>
    <t>220461</t>
  </si>
  <si>
    <t>220529</t>
  </si>
  <si>
    <t>ATAIRINE NASCIMENTO DE SOUZA HIPOLITO ME</t>
  </si>
  <si>
    <t>141938</t>
  </si>
  <si>
    <t>219874</t>
  </si>
  <si>
    <t>BELLO FRANGO LTDA</t>
  </si>
  <si>
    <t>141955</t>
  </si>
  <si>
    <t>BISCOTTO E CARAMELLE DE ALIMENTOS LTDA</t>
  </si>
  <si>
    <t>219895</t>
  </si>
  <si>
    <t>BRUNETTO COMERCIO DE ALIMENTOS LTDA</t>
  </si>
  <si>
    <t>141715</t>
  </si>
  <si>
    <t>C.H. TEIXEIRA PIRES E CIA LTDA- ME</t>
  </si>
  <si>
    <t>141692</t>
  </si>
  <si>
    <t>CANAA ATACADISTA FORMOSA LTDA</t>
  </si>
  <si>
    <t>141693</t>
  </si>
  <si>
    <t>141698</t>
  </si>
  <si>
    <t>CASARAO DISTRIBUIDORA DE DOCES LTDA - ME</t>
  </si>
  <si>
    <t>141704</t>
  </si>
  <si>
    <t>CELINI DISTRIBUIDORA DE DOCES LTDA</t>
  </si>
  <si>
    <t>141292</t>
  </si>
  <si>
    <t>CESCONETTO DOCES FESTAS E DESCARTAVEIS LTDA</t>
  </si>
  <si>
    <t>141947</t>
  </si>
  <si>
    <t>COMERCIAL CRISTINA HIROMI DE UTILIDADES DOMESTICAS LTDA - ME</t>
  </si>
  <si>
    <t>141948</t>
  </si>
  <si>
    <t>COMERCIAL DE ALIMENTOS FONTANA LTDA</t>
  </si>
  <si>
    <t>141694</t>
  </si>
  <si>
    <t>COMERCIAL PARAISO DOS DOCES LTDA</t>
  </si>
  <si>
    <t>141681</t>
  </si>
  <si>
    <t>141963</t>
  </si>
  <si>
    <t>COOPERATIVA DOS AGRICULTORES DE SANTO CRISTO LTDA COOPASC</t>
  </si>
  <si>
    <t>220734</t>
  </si>
  <si>
    <t>COTRIPAL AGROPECUARIA COOPERATIVA</t>
  </si>
  <si>
    <t>220705</t>
  </si>
  <si>
    <t>DAIANE DA SILVA HONORATO 63997293</t>
  </si>
  <si>
    <t>141706</t>
  </si>
  <si>
    <t>DAVID TEIXEIRA DA SILVA</t>
  </si>
  <si>
    <t>141685</t>
  </si>
  <si>
    <t>DISTRIBUIDORA DE DOCES E EMBALAGENS GIROTTO LTDA</t>
  </si>
  <si>
    <t>141961</t>
  </si>
  <si>
    <t>DOCE MANIA COMERCIO DE DOCES E BEBIDAS LTDA ME</t>
  </si>
  <si>
    <t>141716</t>
  </si>
  <si>
    <t>DOCES CASCAVEL LTDA</t>
  </si>
  <si>
    <t>141726</t>
  </si>
  <si>
    <t>DOSUL COMERCIO ATACADISTA DE GENEROS ALIMENTICIOS LTDA</t>
  </si>
  <si>
    <t>220735</t>
  </si>
  <si>
    <t>E DE ASSUNCAO EMBALAGENS - ME</t>
  </si>
  <si>
    <t>141686</t>
  </si>
  <si>
    <t>ECONOMIA COMERCIO E IND DE ALIM LTDA</t>
  </si>
  <si>
    <t>141956</t>
  </si>
  <si>
    <t>EDIVAN SECUNDO FONTES</t>
  </si>
  <si>
    <t>141695</t>
  </si>
  <si>
    <t>ELIANE CRISTINA DA SILVA ANTUNES LIMA</t>
  </si>
  <si>
    <t>221037</t>
  </si>
  <si>
    <t>EMBALAGENS JUPITER LTDA</t>
  </si>
  <si>
    <t>141722</t>
  </si>
  <si>
    <t>220724</t>
  </si>
  <si>
    <t>EVERTON HENRIQUE LOFF</t>
  </si>
  <si>
    <t>220697</t>
  </si>
  <si>
    <t>GELSON DA SILVA-MERCADO</t>
  </si>
  <si>
    <t>141069</t>
  </si>
  <si>
    <t>GLM AUTO SERVICOS LTDA - ME</t>
  </si>
  <si>
    <t>141689</t>
  </si>
  <si>
    <t>GOIANIA MAGAZINE EIRELI - ME</t>
  </si>
  <si>
    <t>141487</t>
  </si>
  <si>
    <t>GULLA MAX PRODUTOS ALIMENTICIOS LTDA</t>
  </si>
  <si>
    <t>141965</t>
  </si>
  <si>
    <t>GUSTAVO LIMA DILELIO</t>
  </si>
  <si>
    <t>219550</t>
  </si>
  <si>
    <t>HOFFMEISTER &amp; IASTROMBECK COMERCIO ATACADISTA DE EMBALAGENS</t>
  </si>
  <si>
    <t>141502</t>
  </si>
  <si>
    <t>HOME BRAND INDUSTRIA DE ALIMENTOS LTDA.</t>
  </si>
  <si>
    <t>220190</t>
  </si>
  <si>
    <t>220464</t>
  </si>
  <si>
    <t>141300</t>
  </si>
  <si>
    <t>141708</t>
  </si>
  <si>
    <t>J R FARIAS DA SILVA</t>
  </si>
  <si>
    <t>141676</t>
  </si>
  <si>
    <t>JE COM. DE PRODUTOS ALIMENTICIOS EIRELI</t>
  </si>
  <si>
    <t>141718</t>
  </si>
  <si>
    <t>220222</t>
  </si>
  <si>
    <t>JOSE VALDIR IMMIG CESTAS BASICAS LTDA.</t>
  </si>
  <si>
    <t>220531</t>
  </si>
  <si>
    <t>JOSELAINE SCHMITT</t>
  </si>
  <si>
    <t>220779</t>
  </si>
  <si>
    <t>JUCELIO DOS SANTOS &amp; CIA</t>
  </si>
  <si>
    <t>141732</t>
  </si>
  <si>
    <t>220523</t>
  </si>
  <si>
    <t>LBS COMERCIO DE EMBALAGENS LTDA</t>
  </si>
  <si>
    <t>141697</t>
  </si>
  <si>
    <t>220527</t>
  </si>
  <si>
    <t>LOJAO ELIKELLY COMERCIO DE UTENCILIOS LTDA- ME</t>
  </si>
  <si>
    <t>141702</t>
  </si>
  <si>
    <t>M A DA SILVA COMERCIO DE PRODUTOS ALIMENTICIOS E DE FESTAS</t>
  </si>
  <si>
    <t>141951</t>
  </si>
  <si>
    <t>MA ATACADO LTDA</t>
  </si>
  <si>
    <t>141684</t>
  </si>
  <si>
    <t>MACARIOS FESTAS LTDA ME</t>
  </si>
  <si>
    <t>141680</t>
  </si>
  <si>
    <t>MALAQUIAS DISTRIBUIDORA DE DOCES LTDA EPP</t>
  </si>
  <si>
    <t>141696</t>
  </si>
  <si>
    <t>MARA SILVEIRA TEIXEIRA 56205627000</t>
  </si>
  <si>
    <t>220759</t>
  </si>
  <si>
    <t>220508</t>
  </si>
  <si>
    <t>MARIA MOLE ARTIGOS PARA FESTAS, CONFEITARIA E BALOES LTDA</t>
  </si>
  <si>
    <t>141950</t>
  </si>
  <si>
    <t>MEGA REAL CAMPO GRANDE LTDA</t>
  </si>
  <si>
    <t>141934</t>
  </si>
  <si>
    <t>MEGA REAL DOURADOS LTDA</t>
  </si>
  <si>
    <t>141935</t>
  </si>
  <si>
    <t>MEGA REAL TRES LAGOAS LTDA</t>
  </si>
  <si>
    <t>141936</t>
  </si>
  <si>
    <t>MEGA REAL UMUARAMA LTDA</t>
  </si>
  <si>
    <t>141939</t>
  </si>
  <si>
    <t>MERCADO DE DOCES GENEROSO LTDA</t>
  </si>
  <si>
    <t>141729</t>
  </si>
  <si>
    <t>N. DOS SANTOS PAZ</t>
  </si>
  <si>
    <t>142092</t>
  </si>
  <si>
    <t>N. N. PINHEIRO COMERCIO ME</t>
  </si>
  <si>
    <t>R137502</t>
  </si>
  <si>
    <t>NATAL GARBIN E CIA LTDA</t>
  </si>
  <si>
    <t>141964</t>
  </si>
  <si>
    <t>NORMA APARECIDA NEVES</t>
  </si>
  <si>
    <t>141720</t>
  </si>
  <si>
    <t>R220208</t>
  </si>
  <si>
    <t>NUNO COMERCIO GENEROS ALIMENTICIOS LTDA</t>
  </si>
  <si>
    <t>141730</t>
  </si>
  <si>
    <t>ORAILTO DE SOUZA AMARAL 66781787004</t>
  </si>
  <si>
    <t>220770</t>
  </si>
  <si>
    <t>PAO CAPITAL PANIFICADORA ARTESANAL LTDA.</t>
  </si>
  <si>
    <t>220721</t>
  </si>
  <si>
    <t>PARAQUI VILA VELHA COMERCIO DE PRODUTOS ALIMENTICIOS EIRELI</t>
  </si>
  <si>
    <t>141946</t>
  </si>
  <si>
    <t>PARTY MAX COMERCIO ATACADISTA DE ARTIGOS PARA FESTAS EIRELI</t>
  </si>
  <si>
    <t>141719</t>
  </si>
  <si>
    <t>SANDRA FELIX DA SILVA</t>
  </si>
  <si>
    <t>141725</t>
  </si>
  <si>
    <t>SARAIVA DOCES E EMBALAGENS LTDA-EPP</t>
  </si>
  <si>
    <t>141690</t>
  </si>
  <si>
    <t>221015</t>
  </si>
  <si>
    <t>220495</t>
  </si>
  <si>
    <t>SINARA PEREIRA DE PEREIRA 71621806049</t>
  </si>
  <si>
    <t>220771</t>
  </si>
  <si>
    <t>SORVEDOCES INDUSTRIA E COMERCIO DE PROD. ALIM. LTDA</t>
  </si>
  <si>
    <t>141952</t>
  </si>
  <si>
    <t>141959</t>
  </si>
  <si>
    <t>220275</t>
  </si>
  <si>
    <t>TERESINHA IVONE WERNER</t>
  </si>
  <si>
    <t>221018</t>
  </si>
  <si>
    <t>TYGER ATACADISTA E DISTRIBUIDORA LTDA</t>
  </si>
  <si>
    <t>141717</t>
  </si>
  <si>
    <t>UTILIDADES DO LAR VILA MARIA LTDA</t>
  </si>
  <si>
    <t>141506</t>
  </si>
  <si>
    <t>V.B DE SOUZA &amp; CIA LTDA</t>
  </si>
  <si>
    <t>141940</t>
  </si>
  <si>
    <t>VALTENIR ROQUE KOSCHECK</t>
  </si>
  <si>
    <t>220729</t>
  </si>
  <si>
    <t>VERA LUCIA RODRIGUES TOLEDO LIMA BAZAR</t>
  </si>
  <si>
    <t>141701</t>
  </si>
  <si>
    <t>Z DOCES ATACADO E VAREJO DE DOCES LTDA</t>
  </si>
  <si>
    <t>140987</t>
  </si>
  <si>
    <t>A BERNARDI DISTRIBUIDORA DE DOCES E BEBIDAS EIRELI</t>
  </si>
  <si>
    <t>142110</t>
  </si>
  <si>
    <t>A V GONCALVES - ME</t>
  </si>
  <si>
    <t>141333</t>
  </si>
  <si>
    <t>141334</t>
  </si>
  <si>
    <t>A.L. BROGLIO - ME</t>
  </si>
  <si>
    <t>141761</t>
  </si>
  <si>
    <t>ALAN MINHOS DORNELES ME</t>
  </si>
  <si>
    <t>220561</t>
  </si>
  <si>
    <t>AMC SANTOS COMERCIAL DISTRIBUIDORA LTDA</t>
  </si>
  <si>
    <t>141511</t>
  </si>
  <si>
    <t>ATACADAO LEMOS BOMBONS E DESCARTAVEIS LTDA - EPP</t>
  </si>
  <si>
    <t>141514</t>
  </si>
  <si>
    <t>ATACADO BEAL LTDA</t>
  </si>
  <si>
    <t>142104</t>
  </si>
  <si>
    <t>BELIVA COMERCIO DE PRODUTOS ALIMENTICIOS LTDA</t>
  </si>
  <si>
    <t>141770</t>
  </si>
  <si>
    <t>BISCOITOS LILIANE LTDA</t>
  </si>
  <si>
    <t>141522</t>
  </si>
  <si>
    <t>141781</t>
  </si>
  <si>
    <t>BRASAO MPL SUPLEMENTOS IND E COM LTDA</t>
  </si>
  <si>
    <t>220831</t>
  </si>
  <si>
    <t>C S MEREGALI &amp; CIA LTDA</t>
  </si>
  <si>
    <t>221062</t>
  </si>
  <si>
    <t>CANINDE COMERCIO DE UTILIDADES DOMESTICAS LTDA</t>
  </si>
  <si>
    <t>141157</t>
  </si>
  <si>
    <t>CARNIELLI DISTRIBUIDORA EIRELLI EPP</t>
  </si>
  <si>
    <t>141748</t>
  </si>
  <si>
    <t>CASA CHINA LTDA</t>
  </si>
  <si>
    <t>141901</t>
  </si>
  <si>
    <t>CASA DE DOCES E BEBIDAS DOIS IRMAOS LTDA</t>
  </si>
  <si>
    <t>141352</t>
  </si>
  <si>
    <t>CAT MARIE COMERCIO LTDA</t>
  </si>
  <si>
    <t>141756</t>
  </si>
  <si>
    <t>CEDERLEI CUNHA MENDES</t>
  </si>
  <si>
    <t>220345</t>
  </si>
  <si>
    <t>220564</t>
  </si>
  <si>
    <t>220566</t>
  </si>
  <si>
    <t>COMERCIAL DE EMBALAGENS DESCARTAVEIS E FESTAS LTDA - EPP</t>
  </si>
  <si>
    <t>141745</t>
  </si>
  <si>
    <t>COMERCIAL SIMAO EIRELI EPP</t>
  </si>
  <si>
    <t>141306</t>
  </si>
  <si>
    <t>220821</t>
  </si>
  <si>
    <t>CRESTANI E ROSA LTDA.</t>
  </si>
  <si>
    <t>221422</t>
  </si>
  <si>
    <t>DANIELE DAMASCENO SILVEIRA E CIA. LTDA.</t>
  </si>
  <si>
    <t>221158</t>
  </si>
  <si>
    <t>DAVID FERNANDES</t>
  </si>
  <si>
    <t>221128</t>
  </si>
  <si>
    <t>DESIRE DA SILVEIRA EMMEL</t>
  </si>
  <si>
    <t>220580</t>
  </si>
  <si>
    <t>DISK EMBALAGENS LTDA</t>
  </si>
  <si>
    <t>141764</t>
  </si>
  <si>
    <t>DOCE FEST LTDA - ME</t>
  </si>
  <si>
    <t>141343</t>
  </si>
  <si>
    <t>DOCEAKI COMERCIO DE DOCES LTDA</t>
  </si>
  <si>
    <t>141773</t>
  </si>
  <si>
    <t>DOCES PRINCESA LTDA - ME</t>
  </si>
  <si>
    <t>141994</t>
  </si>
  <si>
    <t>DRAEM FABRICACAO DE BOLOS LTDA.</t>
  </si>
  <si>
    <t>220594</t>
  </si>
  <si>
    <t>ECO LOJA DE VARIEDADES E UTLIDADES LTDA</t>
  </si>
  <si>
    <t>141750</t>
  </si>
  <si>
    <t>EMBALAMAIS - DOCES E EMBALAGENS LTDA</t>
  </si>
  <si>
    <t>141351</t>
  </si>
  <si>
    <t>221120</t>
  </si>
  <si>
    <t>FERRARI E FERRARI LTDA</t>
  </si>
  <si>
    <t>141980</t>
  </si>
  <si>
    <t>FRANCISCO MOACIR RUVIARO</t>
  </si>
  <si>
    <t>220579</t>
  </si>
  <si>
    <t>GRUPO FK VAREJO E AGROINDUSTRIAL LTDA</t>
  </si>
  <si>
    <t>141987</t>
  </si>
  <si>
    <t>219668</t>
  </si>
  <si>
    <t>220546</t>
  </si>
  <si>
    <t>JARBAS BAUER</t>
  </si>
  <si>
    <t>141762</t>
  </si>
  <si>
    <t>JCN COMERCIO DE UTILIDADES LTDA</t>
  </si>
  <si>
    <t>142121</t>
  </si>
  <si>
    <t>JOSE ANTONIO RUBIM 63989875000</t>
  </si>
  <si>
    <t>220559</t>
  </si>
  <si>
    <t>LA SALLE COMERCIO DE ALIMENTOS LTDA</t>
  </si>
  <si>
    <t>141348</t>
  </si>
  <si>
    <t>LHS COMERCIO E IMPORTAÇÃO DE UTILIDADES E ALIMENTOS LTDA</t>
  </si>
  <si>
    <t>141984</t>
  </si>
  <si>
    <t>LIDER INDUSTRIA E COMERCIO LTDA</t>
  </si>
  <si>
    <t>141760</t>
  </si>
  <si>
    <t>R141759</t>
  </si>
  <si>
    <t>LINKE &amp; SILVA SUPERMERCADO LTDA</t>
  </si>
  <si>
    <t>220537</t>
  </si>
  <si>
    <t>LOJAS FELICIA LTDA</t>
  </si>
  <si>
    <t>141758</t>
  </si>
  <si>
    <t>MAKRO CHUI SUPERMERCADO EIRELI</t>
  </si>
  <si>
    <t>142408</t>
  </si>
  <si>
    <t>MAKRO CHUI SUPERMERCADO EIRELI ME</t>
  </si>
  <si>
    <t>142407</t>
  </si>
  <si>
    <t>MARIMARI COMERCIO DE BOMBONS E VARIEDADES LTDA</t>
  </si>
  <si>
    <t>141755</t>
  </si>
  <si>
    <t>MATILDE ROSA DOLINSKI AGROPECUARIA</t>
  </si>
  <si>
    <t>141973</t>
  </si>
  <si>
    <t>MAYER E FILHO COMERCIO ATACADISTA DE ALIMENTOS LTDA</t>
  </si>
  <si>
    <t>141323</t>
  </si>
  <si>
    <t>MILHO DE OURO COMERCIO &amp; INDUSTRIA ALIMENTICIA LTDA.</t>
  </si>
  <si>
    <t>220386</t>
  </si>
  <si>
    <t>141976</t>
  </si>
  <si>
    <t>NM MERCADO DA FONTE LTDA</t>
  </si>
  <si>
    <t>141735</t>
  </si>
  <si>
    <t>ORLANDO SILVA BARBOSA</t>
  </si>
  <si>
    <t>141988</t>
  </si>
  <si>
    <t>PC ATACADISTA LTDA</t>
  </si>
  <si>
    <t>141747</t>
  </si>
  <si>
    <t>PIPOTECA COMERCIO DE DOCES LTDA</t>
  </si>
  <si>
    <t>141990</t>
  </si>
  <si>
    <t>R A SHIMADA LTDA</t>
  </si>
  <si>
    <t>R141757</t>
  </si>
  <si>
    <t>141975</t>
  </si>
  <si>
    <t>SERMANI ALIMENTOS LTDA.</t>
  </si>
  <si>
    <t>220339</t>
  </si>
  <si>
    <t>220544</t>
  </si>
  <si>
    <t>220582</t>
  </si>
  <si>
    <t>220583</t>
  </si>
  <si>
    <t>220786</t>
  </si>
  <si>
    <t>SUPERMERCADO BEVILAQUA LTDA</t>
  </si>
  <si>
    <t>220819</t>
  </si>
  <si>
    <t>SUPERMERCADO FREESE LTDA.</t>
  </si>
  <si>
    <t>220378</t>
  </si>
  <si>
    <t>SUPERMERCADO MIX LTDA</t>
  </si>
  <si>
    <t>141775</t>
  </si>
  <si>
    <t>141969</t>
  </si>
  <si>
    <t>221137</t>
  </si>
  <si>
    <t>UBIPLASTIC EMBALAGENS LTDA</t>
  </si>
  <si>
    <t>141776</t>
  </si>
  <si>
    <t>VANIA RIBAS FAGUNDES MAURER</t>
  </si>
  <si>
    <t>220328</t>
  </si>
  <si>
    <t>VAREJAO DOS DOCES EIRELI</t>
  </si>
  <si>
    <t>141519</t>
  </si>
  <si>
    <t>VEGRA COMERCIO DOCES LTDA - ME</t>
  </si>
  <si>
    <t>141741</t>
  </si>
  <si>
    <t>6 ESTRELAS COMERCIO DE ALIMENTOS LTDA</t>
  </si>
  <si>
    <t>140923</t>
  </si>
  <si>
    <t>ADOCE COMERCIO VAREJISTA DE BALAS E DOCES LTDA</t>
  </si>
  <si>
    <t>141533</t>
  </si>
  <si>
    <t>AGE DISTRIBUIDORA DE DOCES LTDA</t>
  </si>
  <si>
    <t>142004</t>
  </si>
  <si>
    <t>220845</t>
  </si>
  <si>
    <t>ALBERI DE SOUZA PASE</t>
  </si>
  <si>
    <t>221265</t>
  </si>
  <si>
    <t>ARAUJO E ZANONI LTDA</t>
  </si>
  <si>
    <t>142033</t>
  </si>
  <si>
    <t>ATLM MARECHAL COMERCIO DE GENEROS ALIMENTICIOS LTDA</t>
  </si>
  <si>
    <t>142006</t>
  </si>
  <si>
    <t>B ROSA ALTENBERND</t>
  </si>
  <si>
    <t>141825</t>
  </si>
  <si>
    <t>BALA &amp; BALAO COMERCIO VAREJISTA DE DOCES LTDA</t>
  </si>
  <si>
    <t>141826</t>
  </si>
  <si>
    <t>BANANEIRAS CARAMELOS LTDA</t>
  </si>
  <si>
    <t>141365</t>
  </si>
  <si>
    <t>BAZAR DA DENISE COMERCIO DE UTILIDADES LTDA</t>
  </si>
  <si>
    <t>142022</t>
  </si>
  <si>
    <t>BELPLAST COMERCIO DE EMBALAGENS LTDA EPP</t>
  </si>
  <si>
    <t>141544</t>
  </si>
  <si>
    <t>BOM MINEIRO DISTRIBUIDORA DE ALIMENTOS LTDA</t>
  </si>
  <si>
    <t>142041</t>
  </si>
  <si>
    <t>BOMBONIERE DANTAS LTDA - ME</t>
  </si>
  <si>
    <t>141358</t>
  </si>
  <si>
    <t>BOMBONIERE SANTOS LTDA</t>
  </si>
  <si>
    <t>142167</t>
  </si>
  <si>
    <t>BONATTO &amp; PAVIM LTDA</t>
  </si>
  <si>
    <t>142050</t>
  </si>
  <si>
    <t>BRAHIM OMRAN</t>
  </si>
  <si>
    <t>142044</t>
  </si>
  <si>
    <t>C G C EMBALAGENS E DOCES LTDA - ME</t>
  </si>
  <si>
    <t>141538</t>
  </si>
  <si>
    <t>CARAMELOS DISTRIBUIDORA DE PRODUTOS ALIMENTICIOS LTDA</t>
  </si>
  <si>
    <t>142043</t>
  </si>
  <si>
    <t>CARLA LUANA DA SILVA KESSLER LTDA</t>
  </si>
  <si>
    <t>141803</t>
  </si>
  <si>
    <t>CASA DE DOCES CESCONETTO LTDA - ME</t>
  </si>
  <si>
    <t>141796</t>
  </si>
  <si>
    <t>CLAMARI COMERCIO DE UTILIDADES DOMESTICAS LTDA - ME</t>
  </si>
  <si>
    <t>142021</t>
  </si>
  <si>
    <t>220636</t>
  </si>
  <si>
    <t>COLORADO DISTRIBUIDORA LTDA - ME</t>
  </si>
  <si>
    <t>142009</t>
  </si>
  <si>
    <t>COMERCIAL DE MATERIAIS ESPORTIVOS SURUBI LTDA</t>
  </si>
  <si>
    <t>142146</t>
  </si>
  <si>
    <t>COMERCIO GENEROS ALIM.OLIVEIRA PIRES LTDA</t>
  </si>
  <si>
    <t>142003</t>
  </si>
  <si>
    <t>CONCEICAO APARECIDA OLIVEIRA LTDA</t>
  </si>
  <si>
    <t>142000</t>
  </si>
  <si>
    <t>COOPERATIVA AGROINDUSTRIAL COPAGRIL</t>
  </si>
  <si>
    <t>141815</t>
  </si>
  <si>
    <t>141816</t>
  </si>
  <si>
    <t>141817</t>
  </si>
  <si>
    <t>220868</t>
  </si>
  <si>
    <t>CRISTIANE ROSA BOZAN</t>
  </si>
  <si>
    <t>141785</t>
  </si>
  <si>
    <t>D SARAIVA COMERCIO DE CARAMELOS E BEBIDAS LTDA</t>
  </si>
  <si>
    <t>141384</t>
  </si>
  <si>
    <t>DELTA SUL MACRO ATACADO LTDA</t>
  </si>
  <si>
    <t>141811</t>
  </si>
  <si>
    <t>DIGIPLAST EMBALAGENS E ALIMENTOS LIMITADA</t>
  </si>
  <si>
    <t>141380</t>
  </si>
  <si>
    <t>DIPAL DISTRIBUIDORA DE DOCES PLATINA LTDA</t>
  </si>
  <si>
    <t>142054</t>
  </si>
  <si>
    <t>DIRCE E BELONE COMERCIO DE UTILIDADES P/ O LAR LTDA</t>
  </si>
  <si>
    <t>142175</t>
  </si>
  <si>
    <t>DISDOCEN COMERCIO DE ALIMENTOS E EMBALAGENS LTDA</t>
  </si>
  <si>
    <t>142001</t>
  </si>
  <si>
    <t>DISTRIBUIDORA DE ALIMENTOS COUTINHO EIRELI</t>
  </si>
  <si>
    <t>142144</t>
  </si>
  <si>
    <t>DISTRIBUIDORA DE DOCES TERMINAL LTDA</t>
  </si>
  <si>
    <t>141547</t>
  </si>
  <si>
    <t>DISTRIBUIDORA REAL ECONOMICO LTDA - ME</t>
  </si>
  <si>
    <t>141786</t>
  </si>
  <si>
    <t>141787</t>
  </si>
  <si>
    <t>DOCE DIA COMERCIO DE DOCES LTDA</t>
  </si>
  <si>
    <t>142016</t>
  </si>
  <si>
    <t>142005</t>
  </si>
  <si>
    <t>DR COMERCIO E REPRESENTACAO DE ALIMENTOS LTDA</t>
  </si>
  <si>
    <t>142013</t>
  </si>
  <si>
    <t>DURVAL JOUBERT MARQUI 18687890710</t>
  </si>
  <si>
    <t>141552</t>
  </si>
  <si>
    <t>220854</t>
  </si>
  <si>
    <t>FARRA FARROUPILHA COMERCIO DE ALIMENTOS LTDA</t>
  </si>
  <si>
    <t>141829</t>
  </si>
  <si>
    <t>FERENS COMERCIO DE ALIMENTOS LTDA</t>
  </si>
  <si>
    <t>141559</t>
  </si>
  <si>
    <t>FERNANDA COLLI - ME</t>
  </si>
  <si>
    <t>142047</t>
  </si>
  <si>
    <t>G E D EMBALAGENS DOCES E FESTA LTDA ME</t>
  </si>
  <si>
    <t>141798</t>
  </si>
  <si>
    <t>GIOVANI JOSE DA LUZ</t>
  </si>
  <si>
    <t>221539</t>
  </si>
  <si>
    <t>GOHNER E CIA LTDA</t>
  </si>
  <si>
    <t>142048</t>
  </si>
  <si>
    <t>GRUPO ESCALA HIPER SPE LTDA</t>
  </si>
  <si>
    <t>141536</t>
  </si>
  <si>
    <t>GUERRO E PAGNUSSAT LTDA</t>
  </si>
  <si>
    <t>141468</t>
  </si>
  <si>
    <t>141469</t>
  </si>
  <si>
    <t>H T N TUCHTENHAGEN - ME</t>
  </si>
  <si>
    <t>141813</t>
  </si>
  <si>
    <t>I. R. COMERCIO DE ARTIGOS PARA PRESENTES LTDA - ME</t>
  </si>
  <si>
    <t>141541</t>
  </si>
  <si>
    <t>ILARIO R BRINGMANN &amp; CIA LTDA</t>
  </si>
  <si>
    <t>142045</t>
  </si>
  <si>
    <t>ILDO S. RAKOW E CIA LTDA</t>
  </si>
  <si>
    <t>142014</t>
  </si>
  <si>
    <t>J L D BALACOL</t>
  </si>
  <si>
    <t>141383</t>
  </si>
  <si>
    <t>JACIARA SOUZA SANTOS DE SOUZA</t>
  </si>
  <si>
    <t>141357</t>
  </si>
  <si>
    <t>JB MERCEARIA VERGUEIRO LTDA</t>
  </si>
  <si>
    <t>142012</t>
  </si>
  <si>
    <t>220858</t>
  </si>
  <si>
    <t>JOSE CARLOS VIEIRA ATACADO</t>
  </si>
  <si>
    <t>142166</t>
  </si>
  <si>
    <t>JULIA TERRA DOS SANTOS</t>
  </si>
  <si>
    <t>142042</t>
  </si>
  <si>
    <t>KI KACAU COMERCIO DE DOCES LTDA</t>
  </si>
  <si>
    <t>142019</t>
  </si>
  <si>
    <t>L J AUGUSTINHO E CIA LTDA</t>
  </si>
  <si>
    <t>142010</t>
  </si>
  <si>
    <t>L. L. C. COMERCIO DE ALIMENTOS LTDA</t>
  </si>
  <si>
    <t>141387</t>
  </si>
  <si>
    <t>LA DOCERIA CENTRAL COMERCIO DE DOCES LTDA</t>
  </si>
  <si>
    <t>141802</t>
  </si>
  <si>
    <t>LIANE  NELSI SCHAFFAZICK E CIA LTDA</t>
  </si>
  <si>
    <t>141792</t>
  </si>
  <si>
    <t>LINDAMIR DO ROCIO OLIVEIRA AGGIO</t>
  </si>
  <si>
    <t>142020</t>
  </si>
  <si>
    <t>LOJA CENTRAL DEZ MIL E UM PRODUTOS LTDA - ME</t>
  </si>
  <si>
    <t>142002</t>
  </si>
  <si>
    <t>LUIZ ROBERTO DA SILVA JUNIOR</t>
  </si>
  <si>
    <t>141830</t>
  </si>
  <si>
    <t>M &amp; M'S BOMBONIERE E ARTIGOS PARA FESTA LTDA</t>
  </si>
  <si>
    <t>141360</t>
  </si>
  <si>
    <t>M C PACHECO</t>
  </si>
  <si>
    <t>142138</t>
  </si>
  <si>
    <t>M N B LOGISTICA DE ALIMENTOS EIRELI ME</t>
  </si>
  <si>
    <t>141385</t>
  </si>
  <si>
    <t>MANIA COMERCIO VAREJISTA ALIMENTICIO EM GERAL LTDA</t>
  </si>
  <si>
    <t>141363</t>
  </si>
  <si>
    <t>MARCELO AUGUSTO POLANO JARDIM</t>
  </si>
  <si>
    <t>142039</t>
  </si>
  <si>
    <t>MARCON COMERCIO DE ALIMENTOS LTDA</t>
  </si>
  <si>
    <t>141943</t>
  </si>
  <si>
    <t>MARIA EDUARDA ALVES ROMEIRO</t>
  </si>
  <si>
    <t>142443</t>
  </si>
  <si>
    <t>MARLI BULLE DA COSTA ME</t>
  </si>
  <si>
    <t>142034</t>
  </si>
  <si>
    <t>MERCADO DE ALIMENTOS FAMILIA LTDA</t>
  </si>
  <si>
    <t>141530</t>
  </si>
  <si>
    <t>MM COMERCIO ATACADISTA E TRANSPORTES RODOVIARIOS LTDA</t>
  </si>
  <si>
    <t>142011</t>
  </si>
  <si>
    <t>MOCELLIN COMERCIO DE ALIMENTOS LTDA.</t>
  </si>
  <si>
    <t>220633</t>
  </si>
  <si>
    <t>NIELE COMERCIO DE DOCES LTDA</t>
  </si>
  <si>
    <t>141997</t>
  </si>
  <si>
    <t>NIKITI POINT COMERCIO DE DOCES LTDA</t>
  </si>
  <si>
    <t>142007</t>
  </si>
  <si>
    <t>P D COMERCIO DE DOCES E EMBALAGENS LTDA</t>
  </si>
  <si>
    <t>142025</t>
  </si>
  <si>
    <t>PAULO SERGIO CAMILO</t>
  </si>
  <si>
    <t>142028</t>
  </si>
  <si>
    <t>PH DISTRIBUIDORA &amp; ATACADISTA DE ALIMENTOS LTDA</t>
  </si>
  <si>
    <t>141790</t>
  </si>
  <si>
    <t>R CARVALHO ALVES</t>
  </si>
  <si>
    <t>221194</t>
  </si>
  <si>
    <t>R. CARLOS COMERCIO E DISTRIBUIDORA DE PRODUTOS ALIM LTDA</t>
  </si>
  <si>
    <t>141532</t>
  </si>
  <si>
    <t>RIBEIRO E ALVARES DISTRIBUIDORA DE ALIMENTOS LTDA</t>
  </si>
  <si>
    <t>141814</t>
  </si>
  <si>
    <t>ROBERIO DO N. SANTANA UTILIDADES DOMESTICA</t>
  </si>
  <si>
    <t>141543</t>
  </si>
  <si>
    <t>ROBERTO PIO DE MEDEIROS</t>
  </si>
  <si>
    <t>142134</t>
  </si>
  <si>
    <t>ROTA DISTRIBUIDORA DE ALIMENTOS LTDA</t>
  </si>
  <si>
    <t>142132</t>
  </si>
  <si>
    <t>ROVENA BAUMGARTEN</t>
  </si>
  <si>
    <t>142024</t>
  </si>
  <si>
    <t>RRC UTILIDADES LTDA</t>
  </si>
  <si>
    <t>141788</t>
  </si>
  <si>
    <t>RS IMPORTS COMERCIO IMP. E EXP. DE PRODUTOS DE BAZAR LTDA</t>
  </si>
  <si>
    <t>142051</t>
  </si>
  <si>
    <t>SAPEKA FESTAS LTDA</t>
  </si>
  <si>
    <t>142149</t>
  </si>
  <si>
    <t>SBEGUEN E CIA LTDA ME</t>
  </si>
  <si>
    <t>141962</t>
  </si>
  <si>
    <t>SLONSKI E CIA LTDA</t>
  </si>
  <si>
    <t>141945</t>
  </si>
  <si>
    <t>STOP ANGAR 23 LTDA</t>
  </si>
  <si>
    <t>142137</t>
  </si>
  <si>
    <t>SUPER COMERCIAL LTDA</t>
  </si>
  <si>
    <t>141827</t>
  </si>
  <si>
    <t>SUPERMERCADO CONDOR LTDA</t>
  </si>
  <si>
    <t>142052</t>
  </si>
  <si>
    <t>142160</t>
  </si>
  <si>
    <t>T &amp; T LTDA</t>
  </si>
  <si>
    <t>141784</t>
  </si>
  <si>
    <t>T J HARTMANN SUPERMERCADO LTDA .</t>
  </si>
  <si>
    <t>220629</t>
  </si>
  <si>
    <t>THALITA SIMOES UTILIDADES PARA O LAR LTDA</t>
  </si>
  <si>
    <t>142008</t>
  </si>
  <si>
    <t>TIETE COMERCIO DE UTILIDADES DOMESTICAS LTDA</t>
  </si>
  <si>
    <t>141569</t>
  </si>
  <si>
    <t>TREM DE CAXIAS COMERCIO DE DOCES E BEBIDAS LTDA</t>
  </si>
  <si>
    <t>141801</t>
  </si>
  <si>
    <t>UTILIDADES LONGO LTDA</t>
  </si>
  <si>
    <t>141534</t>
  </si>
  <si>
    <t>V COMERCIO DE ALIMENTOS LTDA</t>
  </si>
  <si>
    <t>142053</t>
  </si>
  <si>
    <t>W DELGADO E CARDOSO LTDA</t>
  </si>
  <si>
    <t>142036</t>
  </si>
  <si>
    <t>WILLIAM ROGERIO DA SILVA COMERCIO DE VARIEDADES LTDA - ME</t>
  </si>
  <si>
    <t>141797</t>
  </si>
  <si>
    <t>A ABREU NASCIMENTO</t>
  </si>
  <si>
    <t>141609</t>
  </si>
  <si>
    <t>A.L.B BOITUVA REAL LTDA</t>
  </si>
  <si>
    <t>142193</t>
  </si>
  <si>
    <t>141879</t>
  </si>
  <si>
    <t>ADRIANO DIAS ALVARENGA</t>
  </si>
  <si>
    <t>141613</t>
  </si>
  <si>
    <t>AJS COMERCIO DE UTILIDADES DOMESTICAS LTDA</t>
  </si>
  <si>
    <t>142062</t>
  </si>
  <si>
    <t>ALENCAR LUIZ ABREU DOS SANTOS</t>
  </si>
  <si>
    <t>220652</t>
  </si>
  <si>
    <t>ALMIR CUNHA CAMARA</t>
  </si>
  <si>
    <t>141865</t>
  </si>
  <si>
    <t>ALYSSON KEMPER ME</t>
  </si>
  <si>
    <t>142226</t>
  </si>
  <si>
    <t>ANA CAROL FESTAS LTDA</t>
  </si>
  <si>
    <t>141413</t>
  </si>
  <si>
    <t>ARAUJO &amp; NOBRE LTDA</t>
  </si>
  <si>
    <t>141603</t>
  </si>
  <si>
    <t>ARMAZEM POPULAR DE CAXIAS LTDA</t>
  </si>
  <si>
    <t>141863</t>
  </si>
  <si>
    <t>ARROBA EMBALAGENS EIRELI</t>
  </si>
  <si>
    <t>141862</t>
  </si>
  <si>
    <t>ATACA TUDO COMERCIO VAREJISTA E ATACADISTA LTDA</t>
  </si>
  <si>
    <t>142219</t>
  </si>
  <si>
    <t>ATACADAO DAS EMBALAGENS LTDA</t>
  </si>
  <si>
    <t>141612</t>
  </si>
  <si>
    <t>141592</t>
  </si>
  <si>
    <t>220416</t>
  </si>
  <si>
    <t>CANTINHO DO LAR VARIEDADE LTDA</t>
  </si>
  <si>
    <t>141878</t>
  </si>
  <si>
    <t>CHINA FESTAS LOJA DE VARIEDADES LTDA</t>
  </si>
  <si>
    <t>141872</t>
  </si>
  <si>
    <t>220666</t>
  </si>
  <si>
    <t>COM DE DOCES CASTILHO LTDA - ME</t>
  </si>
  <si>
    <t>141852</t>
  </si>
  <si>
    <t>COMERCIAL ABC LTDA.</t>
  </si>
  <si>
    <t>142532</t>
  </si>
  <si>
    <t>COMERCIAL MAURITI EIRELI</t>
  </si>
  <si>
    <t>141876</t>
  </si>
  <si>
    <t>COMERCIO DE DOCES MERO LTDA</t>
  </si>
  <si>
    <t>141843</t>
  </si>
  <si>
    <t>COOP DE PRODUCAO E CONSUMO CONCORDIA</t>
  </si>
  <si>
    <t>141982</t>
  </si>
  <si>
    <t>220908</t>
  </si>
  <si>
    <t>D.E.L. UTILIDADES LTDA</t>
  </si>
  <si>
    <t>141846</t>
  </si>
  <si>
    <t>DINHANA DISTRIBUIDORA DE DOCES LTDA</t>
  </si>
  <si>
    <t>142208</t>
  </si>
  <si>
    <t>DISTRIBUIDORA DE ALIMENTOS RIOGRANDENSE LTDA.</t>
  </si>
  <si>
    <t>220648</t>
  </si>
  <si>
    <t>141403</t>
  </si>
  <si>
    <t>DOCEBAR COMERCIAL LTDA</t>
  </si>
  <si>
    <t>141882</t>
  </si>
  <si>
    <t>DOCES FEITICO LTDA</t>
  </si>
  <si>
    <t>141864</t>
  </si>
  <si>
    <t>ECONOMICO COMERCIO DE ALIMENTOS LTDA</t>
  </si>
  <si>
    <t>141857</t>
  </si>
  <si>
    <t>EDVALDO SANTANA DOS SANTOS</t>
  </si>
  <si>
    <t>141607</t>
  </si>
  <si>
    <t>ELAINE MARIA BOTH</t>
  </si>
  <si>
    <t>221372</t>
  </si>
  <si>
    <t>EMPORIUM KERO MAIS ATACADISTA LTDA</t>
  </si>
  <si>
    <t>141421</t>
  </si>
  <si>
    <t>EMPORIUM KERO MAIS ATACADISTA LTDA ME</t>
  </si>
  <si>
    <t>141435</t>
  </si>
  <si>
    <t>ENEDIR RIBEIRO DUTRA &amp; FILHO LTDA</t>
  </si>
  <si>
    <t>141416</t>
  </si>
  <si>
    <t>ERBON DIST DE GENEROS ALIMENTICIOS LTDA</t>
  </si>
  <si>
    <t>141602</t>
  </si>
  <si>
    <t>FERNANDA FERNANDES CUADROS LTDA</t>
  </si>
  <si>
    <t>142061</t>
  </si>
  <si>
    <t>GRAN FESTA LTDA ME</t>
  </si>
  <si>
    <t>141599</t>
  </si>
  <si>
    <t>HEINEN E DONADEL LTDA</t>
  </si>
  <si>
    <t>142065</t>
  </si>
  <si>
    <t>HERIVELTON COSTA DE OLIVEIRA 27084701672</t>
  </si>
  <si>
    <t>141853</t>
  </si>
  <si>
    <t>HIPER DOCES COMERCIO LTDA - ME</t>
  </si>
  <si>
    <t>141412</t>
  </si>
  <si>
    <t>ITHILLA RAIANE BRANDAO BARBOSA</t>
  </si>
  <si>
    <t>141439</t>
  </si>
  <si>
    <t>IVETE SALETE ZANOTELLI AMBROSIO - ME</t>
  </si>
  <si>
    <t>141617</t>
  </si>
  <si>
    <t>141611</t>
  </si>
  <si>
    <t>JGDS COMERCIAL ALIMENTICIOS - EIRELI - EPP</t>
  </si>
  <si>
    <t>141844</t>
  </si>
  <si>
    <t>JOAO KONORAT</t>
  </si>
  <si>
    <t>142063</t>
  </si>
  <si>
    <t>JOSE EDUARDO DELFES PEREIRA - ME</t>
  </si>
  <si>
    <t>141427</t>
  </si>
  <si>
    <t>K K COM. IMP. E EXP. LTDA</t>
  </si>
  <si>
    <t>142060</t>
  </si>
  <si>
    <t>KAZZU CARAMELOS E VARIEDADES LTDA</t>
  </si>
  <si>
    <t>141869</t>
  </si>
  <si>
    <t>LARA TORRES CASTELLO CESAR E SILVA</t>
  </si>
  <si>
    <t>141606</t>
  </si>
  <si>
    <t>LEAL - FESTAS E EMBALAGENS LTDA</t>
  </si>
  <si>
    <t>141608</t>
  </si>
  <si>
    <t>LUIZ PINTO DE SOUSA - ME</t>
  </si>
  <si>
    <t>141619</t>
  </si>
  <si>
    <t>MANIA BOMBONIERE E ARTIGOS PARA FESTAS LTDA - EPP</t>
  </si>
  <si>
    <t>142227</t>
  </si>
  <si>
    <t>MARCIA KLEIN KOZAK LTDA</t>
  </si>
  <si>
    <t>141580</t>
  </si>
  <si>
    <t>MATOS EMBALAGENS COMERCIO COMERCIO LTDA EPP</t>
  </si>
  <si>
    <t>141845</t>
  </si>
  <si>
    <t>MHB VARIEDADES LTDA</t>
  </si>
  <si>
    <t>141874</t>
  </si>
  <si>
    <t>MM ATACADO E VARIEDADES LTDA.</t>
  </si>
  <si>
    <t>141873</t>
  </si>
  <si>
    <t>NELI GORETI ALBINO DA SILVA ME</t>
  </si>
  <si>
    <t>141399</t>
  </si>
  <si>
    <t>NOEMIA JANISCH</t>
  </si>
  <si>
    <t>220661</t>
  </si>
  <si>
    <t>NTL DISTRIBUIDORA DE ALIMENTOS LTDA</t>
  </si>
  <si>
    <t>141422</t>
  </si>
  <si>
    <t>PAULA CAROLINA ALVES UTILIDADES E CIA LTDA</t>
  </si>
  <si>
    <t>141595</t>
  </si>
  <si>
    <t>PIOVESAN DOCES LTDA</t>
  </si>
  <si>
    <t>142196</t>
  </si>
  <si>
    <t>PLANETA DOS DOCES E GULOSEIMAS LTDA</t>
  </si>
  <si>
    <t>141590</t>
  </si>
  <si>
    <t>PRODUTOS ALIMENTICIOS KNABACH LTDA</t>
  </si>
  <si>
    <t>141867</t>
  </si>
  <si>
    <t>R RAMALHO DE SOUZA LTDA</t>
  </si>
  <si>
    <t>141851</t>
  </si>
  <si>
    <t>R S HALLVASS E CIA LTDA</t>
  </si>
  <si>
    <t>141431</t>
  </si>
  <si>
    <t>RAINHA DOS DOCES LTDA</t>
  </si>
  <si>
    <t>141593</t>
  </si>
  <si>
    <t>S DO S VIEIRA DE CAMPOS LTDA</t>
  </si>
  <si>
    <t>141856</t>
  </si>
  <si>
    <t>220667</t>
  </si>
  <si>
    <t>SIRLEIDE PIUCO NEGRI &amp; CIA LTDA</t>
  </si>
  <si>
    <t>142236</t>
  </si>
  <si>
    <t>SORVEDOCES COMERCIO DE PRODUTOS ALIMENTICIOS E DE FESTAS LTD</t>
  </si>
  <si>
    <t>141868</t>
  </si>
  <si>
    <t>SUPERMERCADO LINASSI LTDA</t>
  </si>
  <si>
    <t>220665</t>
  </si>
  <si>
    <t>TATIANE FERNANDES CORREA ALANO ME</t>
  </si>
  <si>
    <t>141854</t>
  </si>
  <si>
    <t>V.C.F. BOM DOCE EIRELI - ME</t>
  </si>
  <si>
    <t>142059</t>
  </si>
  <si>
    <t>WM COMERCIO DE EMBALAGENS LTDA  ME</t>
  </si>
  <si>
    <t>142058</t>
  </si>
  <si>
    <t>YSIS FESTAS E BOMBONIERE</t>
  </si>
  <si>
    <t>141604</t>
  </si>
  <si>
    <t>220446</t>
  </si>
  <si>
    <t>BASSEM BEITUNI DAHLEN LTDA.</t>
  </si>
  <si>
    <t>141911</t>
  </si>
  <si>
    <t>142573</t>
  </si>
  <si>
    <t>BONETTO COM DE DOCES LTDA</t>
  </si>
  <si>
    <t>141515</t>
  </si>
  <si>
    <t>BRASILIANA CAVALHEIRO DOS SANTOS 93386982034</t>
  </si>
  <si>
    <t>220920</t>
  </si>
  <si>
    <t>C &amp; C VARIEDADES ATACADO E VAREJO LTDA</t>
  </si>
  <si>
    <t>142788</t>
  </si>
  <si>
    <t>CASA PASTELAR, CONFEITARIA E CAFE LTDA</t>
  </si>
  <si>
    <t>221307</t>
  </si>
  <si>
    <t>CLAIRTON ANDRE TRAGE JUNIOR</t>
  </si>
  <si>
    <t>142276</t>
  </si>
  <si>
    <t>CLARICE DA SILVA BRANDAO - ME</t>
  </si>
  <si>
    <t>142250</t>
  </si>
  <si>
    <t>COMERCIAL ALIMENTICIA KERCKHOFF LTDA.</t>
  </si>
  <si>
    <t>221311</t>
  </si>
  <si>
    <t>COMERCIAL BRESSAN LTDA</t>
  </si>
  <si>
    <t>142248</t>
  </si>
  <si>
    <t>COMERCIO DE DOCES BIG PRECO LTDA</t>
  </si>
  <si>
    <t>141931</t>
  </si>
  <si>
    <t>COMERCIO DE DOCES ROSITO LTDA - ME</t>
  </si>
  <si>
    <t>141526</t>
  </si>
  <si>
    <t>221001</t>
  </si>
  <si>
    <t>DIMY RUAN MENEGAZZO DA ROSA &amp; CIA LTDA</t>
  </si>
  <si>
    <t>142246</t>
  </si>
  <si>
    <t>DOCE VIDA COMERCIO DE BALAS E CHOCOLATES LTDA</t>
  </si>
  <si>
    <t>141900</t>
  </si>
  <si>
    <t>DPS CONQUISTA LTDA</t>
  </si>
  <si>
    <t>141898</t>
  </si>
  <si>
    <t>221308</t>
  </si>
  <si>
    <t>141906</t>
  </si>
  <si>
    <t>141907</t>
  </si>
  <si>
    <t>ESTACAO ALGRANO COMERCIO E ATACADO LTDA</t>
  </si>
  <si>
    <t>141930</t>
  </si>
  <si>
    <t>EVERTON DA ROSA MARTINS</t>
  </si>
  <si>
    <t>142262</t>
  </si>
  <si>
    <t>EZEQUIEL BOZZA DE ANDRADE</t>
  </si>
  <si>
    <t>142253</t>
  </si>
  <si>
    <t>F. B. PEREIRA DE MOURA COMERCIO DE DOCES E BEBIDAS</t>
  </si>
  <si>
    <t>141909</t>
  </si>
  <si>
    <t>FABIO DE ARAUJO BARROS ME ME</t>
  </si>
  <si>
    <t>141915</t>
  </si>
  <si>
    <t>FEMANO COMERCIO DE DOCES</t>
  </si>
  <si>
    <t>141892</t>
  </si>
  <si>
    <t>FORESTI E ZAMARCHI LTDA</t>
  </si>
  <si>
    <t>141652</t>
  </si>
  <si>
    <t>GASPARELO DISTRIBUIDORA DE PRODUTOS ALIMENTICIOS  LTDA</t>
  </si>
  <si>
    <t>141932</t>
  </si>
  <si>
    <t>GUERRO &amp; PAGNUSSAT LTDA</t>
  </si>
  <si>
    <t>141531</t>
  </si>
  <si>
    <t>141557</t>
  </si>
  <si>
    <t>141567</t>
  </si>
  <si>
    <t>141568</t>
  </si>
  <si>
    <t>141582</t>
  </si>
  <si>
    <t>141558</t>
  </si>
  <si>
    <t>141560</t>
  </si>
  <si>
    <t>141561</t>
  </si>
  <si>
    <t>141562</t>
  </si>
  <si>
    <t>141563</t>
  </si>
  <si>
    <t>141564</t>
  </si>
  <si>
    <t>141565</t>
  </si>
  <si>
    <t>141566</t>
  </si>
  <si>
    <t>141583</t>
  </si>
  <si>
    <t>141584</t>
  </si>
  <si>
    <t>221538</t>
  </si>
  <si>
    <t>ISABELA COMERCIO DE ARTIGOS PARA PRESENTES LTDA - ME</t>
  </si>
  <si>
    <t>141926</t>
  </si>
  <si>
    <t>JAIR BONATO</t>
  </si>
  <si>
    <t>220990</t>
  </si>
  <si>
    <t>141466</t>
  </si>
  <si>
    <t>220448</t>
  </si>
  <si>
    <t>L C F DE OLIVEIRA</t>
  </si>
  <si>
    <t>R141903</t>
  </si>
  <si>
    <t>L. K. COMERCIO DE UTILIDADES DOMESTICAS LTDA</t>
  </si>
  <si>
    <t>141635</t>
  </si>
  <si>
    <t>141919</t>
  </si>
  <si>
    <t>LAURA JAQUELINE ANTUNES GONÇALVES</t>
  </si>
  <si>
    <t>220939</t>
  </si>
  <si>
    <t>LEAL BOMBONS E DESCARTAVEIS MIX EIRELI</t>
  </si>
  <si>
    <t>141925</t>
  </si>
  <si>
    <t>MANARA COMERCIO DE UTILIDADES LTDA</t>
  </si>
  <si>
    <t>141457</t>
  </si>
  <si>
    <t>220943</t>
  </si>
  <si>
    <t>220945</t>
  </si>
  <si>
    <t>MARCOS AURELIO ANDRADES CORREA</t>
  </si>
  <si>
    <t>220938</t>
  </si>
  <si>
    <t>MARIA JOSINEIA SANTOS QUADROS COSTA</t>
  </si>
  <si>
    <t>141456</t>
  </si>
  <si>
    <t>MEGA ATACADO DE DOCES LTDA</t>
  </si>
  <si>
    <t>141890</t>
  </si>
  <si>
    <t>MEGA DOCE ATACADO E VAREJO LTDA</t>
  </si>
  <si>
    <t>141648</t>
  </si>
  <si>
    <t>MERCADAO POPULAR LTDA - EPP</t>
  </si>
  <si>
    <t>141927</t>
  </si>
  <si>
    <t>NIPOPLAS ARMARINHOS LTDA</t>
  </si>
  <si>
    <t>141627</t>
  </si>
  <si>
    <t>P. H. A. COM. DE GENEROS ALIMENTICIOS LTDA</t>
  </si>
  <si>
    <t>141889</t>
  </si>
  <si>
    <t>220969</t>
  </si>
  <si>
    <t>220435</t>
  </si>
  <si>
    <t>PANIFICADORA RIO BRANCO LTDA</t>
  </si>
  <si>
    <t>220960</t>
  </si>
  <si>
    <t>221302</t>
  </si>
  <si>
    <t>PERETTI E MANTOVANI LTDA</t>
  </si>
  <si>
    <t>141667</t>
  </si>
  <si>
    <t>PLANETA COMERCIO DE ALIMENTOS LTDA</t>
  </si>
  <si>
    <t>142046</t>
  </si>
  <si>
    <t>POMERANOS LOJA DE VARIEDADES LTDA ME</t>
  </si>
  <si>
    <t>141636</t>
  </si>
  <si>
    <t>R. SAMARA DE ARAUJO EIRELI</t>
  </si>
  <si>
    <t>141923</t>
  </si>
  <si>
    <t>RAFAEL DECARLOS DURKS LTDA.</t>
  </si>
  <si>
    <t>220924</t>
  </si>
  <si>
    <t>RAQUEL WERNKE 95084096904</t>
  </si>
  <si>
    <t>141899</t>
  </si>
  <si>
    <t>ROSA MARIA DALLA LANA DE ALMEIDA - ME</t>
  </si>
  <si>
    <t>141657</t>
  </si>
  <si>
    <t>RUDINALDO BARBOZA</t>
  </si>
  <si>
    <t>141630</t>
  </si>
  <si>
    <t>SPERB PANIFICADORA LTDA</t>
  </si>
  <si>
    <t>221303</t>
  </si>
  <si>
    <t>SSR INVESTE LTDA</t>
  </si>
  <si>
    <t>141658</t>
  </si>
  <si>
    <t>SUPERMERCADO CENTRAL LTDA</t>
  </si>
  <si>
    <t>141639</t>
  </si>
  <si>
    <t>220913</t>
  </si>
  <si>
    <t>SUPERMERCADO SAO ROQUE LTDA</t>
  </si>
  <si>
    <t>220980</t>
  </si>
  <si>
    <t>V. DE ALMEIDA DE SOUZA CHARUTARIA</t>
  </si>
  <si>
    <t>141589</t>
  </si>
  <si>
    <t>VILA ATACADISTA LTDA</t>
  </si>
  <si>
    <t>141917</t>
  </si>
  <si>
    <t>WONG GU CHU</t>
  </si>
  <si>
    <t>141897</t>
  </si>
  <si>
    <t>ZAT ATACADO E VAREJO LTDA</t>
  </si>
  <si>
    <t>141158</t>
  </si>
  <si>
    <t>ZIFENG WU - ME</t>
  </si>
  <si>
    <t>142585</t>
  </si>
  <si>
    <t>ADILSON OLIVEIRA FONSECA &amp; CIA LTDA</t>
  </si>
  <si>
    <t>220769</t>
  </si>
  <si>
    <t>ALAN SALBEGO SILVA</t>
  </si>
  <si>
    <t>142080</t>
  </si>
  <si>
    <t>142322</t>
  </si>
  <si>
    <t>ASTRAL BLUMENAU LOJA DE VARIEDADES LTDA</t>
  </si>
  <si>
    <t>141723</t>
  </si>
  <si>
    <t>220776</t>
  </si>
  <si>
    <t>CABANHA CT SANTA CRUZ LTDA</t>
  </si>
  <si>
    <t>142085</t>
  </si>
  <si>
    <t>CASA DOS DOCES LTDA</t>
  </si>
  <si>
    <t>141942</t>
  </si>
  <si>
    <t>221333</t>
  </si>
  <si>
    <t>CLAUDIO VACARO 94093482004</t>
  </si>
  <si>
    <t>221013</t>
  </si>
  <si>
    <t>COMERCIAL DE ALIMENTOS WEBER LTDA.</t>
  </si>
  <si>
    <t>142305</t>
  </si>
  <si>
    <t>COMERCIAL DE TECIDOS MONTINI LTDA</t>
  </si>
  <si>
    <t>221029</t>
  </si>
  <si>
    <t>COMERCIAL WOLF LTDA</t>
  </si>
  <si>
    <t>141941</t>
  </si>
  <si>
    <t>CRISTINA ZUNTINI SANTOS COMERCIO LTDA</t>
  </si>
  <si>
    <t>142351</t>
  </si>
  <si>
    <t>D .C. DE SOUSA UTILIDADES</t>
  </si>
  <si>
    <t>142090</t>
  </si>
  <si>
    <t>D. M. A SHOPPING DO REAL ALVARENGA LTDA</t>
  </si>
  <si>
    <t>142093</t>
  </si>
  <si>
    <t>DELLA FESTAS LTDA</t>
  </si>
  <si>
    <t>142327</t>
  </si>
  <si>
    <t>DEONISIO RUSSIN</t>
  </si>
  <si>
    <t>142286</t>
  </si>
  <si>
    <t>DISTRIBUIDORA DE ALIMENTOS DO SUL LTDA</t>
  </si>
  <si>
    <t>221010</t>
  </si>
  <si>
    <t>DISTRIBUIDORA DE ALIMENTOS DO SUL LTDA.</t>
  </si>
  <si>
    <t>221009</t>
  </si>
  <si>
    <t>DISTRIBUIDORA DE DOCES E MIUDEZAS LAVINAS E BAPTISTA LTDA</t>
  </si>
  <si>
    <t>141678</t>
  </si>
  <si>
    <t>DNA COMERCIO DE PRODUTOS ALIMENTICIOS LTDA</t>
  </si>
  <si>
    <t>142350</t>
  </si>
  <si>
    <t>DOCELAGENS EMBALAGENS E DOCES LTDA</t>
  </si>
  <si>
    <t>141700</t>
  </si>
  <si>
    <t>EDERSON GUILHERME WELTER</t>
  </si>
  <si>
    <t>221033</t>
  </si>
  <si>
    <t>221392</t>
  </si>
  <si>
    <t>221381</t>
  </si>
  <si>
    <t>EVELINE DA ROSA JAPUR</t>
  </si>
  <si>
    <t>142079</t>
  </si>
  <si>
    <t>EVSON DE SOUZA RIBEIRO</t>
  </si>
  <si>
    <t>141677</t>
  </si>
  <si>
    <t>HELENA DE FATIMA NUNES COCZENSKI</t>
  </si>
  <si>
    <t>221070</t>
  </si>
  <si>
    <t>HORN COMERCIO DE ALIMENTOS LTDA.</t>
  </si>
  <si>
    <t>142289</t>
  </si>
  <si>
    <t>221027</t>
  </si>
  <si>
    <t>J.J. SOUZA BOMBONIERE E MINIMERCADO LTDA</t>
  </si>
  <si>
    <t>141954</t>
  </si>
  <si>
    <t>JOSE RAIMUNDO DE SOUSA CARVALHO LTDA</t>
  </si>
  <si>
    <t>141953</t>
  </si>
  <si>
    <t>MARCON SUPERMERCADOS LTDA</t>
  </si>
  <si>
    <t>142070</t>
  </si>
  <si>
    <t>142071</t>
  </si>
  <si>
    <t>142072</t>
  </si>
  <si>
    <t>221021</t>
  </si>
  <si>
    <t>MERCADO BELLELEO DA VILA LTDA ME</t>
  </si>
  <si>
    <t>142077</t>
  </si>
  <si>
    <t>MERCADO CATARINA LTDA</t>
  </si>
  <si>
    <t>221060</t>
  </si>
  <si>
    <t>MERCADO RBV LTDA.</t>
  </si>
  <si>
    <t>142290</t>
  </si>
  <si>
    <t>221028</t>
  </si>
  <si>
    <t>MERCEARIA IVO &amp; ALMEIDA LTDA</t>
  </si>
  <si>
    <t>142088</t>
  </si>
  <si>
    <t>220741</t>
  </si>
  <si>
    <t>PADARIA E CONFEITARIA E CAFETERIA PARQUE DOS SABORES LTDA</t>
  </si>
  <si>
    <t>221329</t>
  </si>
  <si>
    <t>PINHEIRO &amp; SILVA MERCADO LTDA</t>
  </si>
  <si>
    <t>142323</t>
  </si>
  <si>
    <t>REDE LATINA COM VAREJISTA DE ARMARINHO E BAZAR LTDA</t>
  </si>
  <si>
    <t>142599</t>
  </si>
  <si>
    <t>RIAD OSAMA MAHMOUD KRAJAH</t>
  </si>
  <si>
    <t>142083</t>
  </si>
  <si>
    <t>SHOPPING DO REAL COMERCIO DE MERC. E UTIL. DOM. SOC. UNIP.</t>
  </si>
  <si>
    <t>142089</t>
  </si>
  <si>
    <t>SORVETERIA LIMA E SILVA LTDA - ME</t>
  </si>
  <si>
    <t>142325</t>
  </si>
  <si>
    <t>SUPERMERCADO DO LEANDRO LTDA - SUPERMERCADO DO LEANDRO LOJA</t>
  </si>
  <si>
    <t>142341</t>
  </si>
  <si>
    <t>221053</t>
  </si>
  <si>
    <t>142349</t>
  </si>
  <si>
    <t>SUPERMERCADO NOVA HERA LTDA</t>
  </si>
  <si>
    <t>221030</t>
  </si>
  <si>
    <t>TCHE PIERRE GASTRONOMIA LTDA</t>
  </si>
  <si>
    <t>142087</t>
  </si>
  <si>
    <t>TIA LELETE DISTRIBUIDORA LTDA</t>
  </si>
  <si>
    <t>142335</t>
  </si>
  <si>
    <t>TOCANTINS ATACADO E DISTRIBUIDORA LTDA</t>
  </si>
  <si>
    <t>141682</t>
  </si>
  <si>
    <t>TUDOCE COMERCIO DE DOCES LTDA</t>
  </si>
  <si>
    <t>142082</t>
  </si>
  <si>
    <t>VALE FOOD DISTRIBUIDORA LTDA</t>
  </si>
  <si>
    <t>142301</t>
  </si>
  <si>
    <t>VANDA LUCIA MENDES COSTA</t>
  </si>
  <si>
    <t>142296</t>
  </si>
  <si>
    <t>VILSON MEURER</t>
  </si>
  <si>
    <t>142346</t>
  </si>
  <si>
    <t>ARACI DA ROSA VALENTE &amp; CIA LTDA</t>
  </si>
  <si>
    <t>221459</t>
  </si>
  <si>
    <t>ATACA DOCES, BEBIDAS E ARTIGOS DE FESTAS VILA HORTOLÂNDIA LT</t>
  </si>
  <si>
    <t>142396</t>
  </si>
  <si>
    <t>ATACADO DOS DOCES COMERCIO VAREJISTA E ATACADISTA LTDA</t>
  </si>
  <si>
    <t>141985</t>
  </si>
  <si>
    <t>CEREALISTA OLIVEIRA LTDA</t>
  </si>
  <si>
    <t>142375</t>
  </si>
  <si>
    <t>221154</t>
  </si>
  <si>
    <t>DALTON TAKAYUKI SHIGAKI LOJA DE VARIEDADES LTDA</t>
  </si>
  <si>
    <t>142412</t>
  </si>
  <si>
    <t>DE MIRANDA BUENO E CIA LTDA</t>
  </si>
  <si>
    <t>142657</t>
  </si>
  <si>
    <t>DISTRIBUIDORA DE DOCES HERNANDES LTDA</t>
  </si>
  <si>
    <t>142109</t>
  </si>
  <si>
    <t>DOMINGOS DOCES PRAIA GRANDE LTDA</t>
  </si>
  <si>
    <t>142409</t>
  </si>
  <si>
    <t>220793</t>
  </si>
  <si>
    <t>ENCANTADOS POR DOCES LTDA</t>
  </si>
  <si>
    <t>141751</t>
  </si>
  <si>
    <t>FENIX LOJA DE VARIEDADES LTDA</t>
  </si>
  <si>
    <t>142119</t>
  </si>
  <si>
    <t>FERNANDEZ COMERCIO DE MEDICAMENTOS S.A.</t>
  </si>
  <si>
    <t>142125</t>
  </si>
  <si>
    <t>FRATELO COMERCIO DE ALIMENTOS E EMBALAGENS LTDA</t>
  </si>
  <si>
    <t>142124</t>
  </si>
  <si>
    <t>FREITAS MERCEARIA E ACOUGUE LTDA</t>
  </si>
  <si>
    <t>142358</t>
  </si>
  <si>
    <t>221103</t>
  </si>
  <si>
    <t>GIOVANI FAENELLO</t>
  </si>
  <si>
    <t>142101</t>
  </si>
  <si>
    <t>GURUPI JOSE TASCA</t>
  </si>
  <si>
    <t>142354</t>
  </si>
  <si>
    <t>GUSTAVO GUIDOTTI CARDOSO</t>
  </si>
  <si>
    <t>142374</t>
  </si>
  <si>
    <t>IMPERIO DISTRIBUIDORA DE DOCES LTDA</t>
  </si>
  <si>
    <t>142111</t>
  </si>
  <si>
    <t>141995</t>
  </si>
  <si>
    <t>221135</t>
  </si>
  <si>
    <t>JOAO PEDRO SOARES FERREIRA 02929100028</t>
  </si>
  <si>
    <t>221446</t>
  </si>
  <si>
    <t>JONATHAS FERNANDES FARIA</t>
  </si>
  <si>
    <t>142395</t>
  </si>
  <si>
    <t>KUCHAK COMERCIAL DE ALIMENTOS LTDA</t>
  </si>
  <si>
    <t>142097</t>
  </si>
  <si>
    <t>KUCHAK COMERCIAL DE ALIMENTOS LTDA.</t>
  </si>
  <si>
    <t>142095</t>
  </si>
  <si>
    <t>142096</t>
  </si>
  <si>
    <t>220797</t>
  </si>
  <si>
    <t>LAR DO FITNESS LTDA</t>
  </si>
  <si>
    <t>141991</t>
  </si>
  <si>
    <t>LEAF MAIS QUE ALIMENTOS E DOCES LTDA</t>
  </si>
  <si>
    <t>142123</t>
  </si>
  <si>
    <t>141759</t>
  </si>
  <si>
    <t>LUIS CARLOS SUTIL DA SILVA</t>
  </si>
  <si>
    <t>R219994</t>
  </si>
  <si>
    <t>LUIZ DJALMA GONCALVES TAMARA</t>
  </si>
  <si>
    <t>142656</t>
  </si>
  <si>
    <t>MAGDA LENA MARIUCCI TOCUNDUVA PIAI &amp; CIA LTDA</t>
  </si>
  <si>
    <t>142100</t>
  </si>
  <si>
    <t>MARCOS ROQUE MONTEIRO - ME</t>
  </si>
  <si>
    <t>142114</t>
  </si>
  <si>
    <t>MASCELLA &amp; CIA LTDA</t>
  </si>
  <si>
    <t>221468</t>
  </si>
  <si>
    <t>MAURILIO DE MELO VAZ COMERCIO DE DOCES - ME</t>
  </si>
  <si>
    <t>142102</t>
  </si>
  <si>
    <t>MENEGAZZO ATACADO E TRANSPORTES LTDA</t>
  </si>
  <si>
    <t>142371</t>
  </si>
  <si>
    <t>MERCEARIA JOLI LTDA</t>
  </si>
  <si>
    <t>142115</t>
  </si>
  <si>
    <t>MKR DISTRIBUIDORA DE ALIMENTOS LTDA</t>
  </si>
  <si>
    <t>142108</t>
  </si>
  <si>
    <t>O FORNAO PIZZARIA E DELIVERY LTDA</t>
  </si>
  <si>
    <t>221091</t>
  </si>
  <si>
    <t>PADARIA E CONFEITARIA JF LTDA.</t>
  </si>
  <si>
    <t>220789</t>
  </si>
  <si>
    <t>PONTO FORTE COMERCIO DE ALIMENTOS LTDA ME</t>
  </si>
  <si>
    <t>141771</t>
  </si>
  <si>
    <t>ROMANE COMERCIO ATACADO E VAREJO DE DOCES,BEDIDAS, EMBALAGE</t>
  </si>
  <si>
    <t>142120</t>
  </si>
  <si>
    <t>RONISVALDO SILVA DE SOUZA E CIA LTDA</t>
  </si>
  <si>
    <t>142103</t>
  </si>
  <si>
    <t>RUAN DINIZ</t>
  </si>
  <si>
    <t>221087</t>
  </si>
  <si>
    <t>220792</t>
  </si>
  <si>
    <t>SORVETES E FESTAS COMERCIO DE ALIMENTOS LTDA</t>
  </si>
  <si>
    <t>142122</t>
  </si>
  <si>
    <t>SUPERMERCADO BERTUOL LTDA</t>
  </si>
  <si>
    <t>142373</t>
  </si>
  <si>
    <t>SUPERMERCADO ZAM LTDA</t>
  </si>
  <si>
    <t>141992</t>
  </si>
  <si>
    <t>TUY DISTRIBUIDORA DE DOCES E ALIMENTOS LTDA</t>
  </si>
  <si>
    <t>142107</t>
  </si>
  <si>
    <t>Z. E C. COMERCIO E ATACADO DE ARMARINHOS LTDA</t>
  </si>
  <si>
    <t>142405</t>
  </si>
  <si>
    <t>ALFA TRIGOS RP COMERCIO DE ALIMENTOS LTDA.</t>
  </si>
  <si>
    <t>221204</t>
  </si>
  <si>
    <t>ANA PAULA N SILVEIRA</t>
  </si>
  <si>
    <t>142432</t>
  </si>
  <si>
    <t>ANDERSON MAYCON IGNACIO EIRELI</t>
  </si>
  <si>
    <t>142424</t>
  </si>
  <si>
    <t>AP SACARIA EMBALAGENS LTDA</t>
  </si>
  <si>
    <t>142152</t>
  </si>
  <si>
    <t>ARI BERGHETTI</t>
  </si>
  <si>
    <t>220881</t>
  </si>
  <si>
    <t>CARMEN VERA SIGNORI DETONI</t>
  </si>
  <si>
    <t>141998</t>
  </si>
  <si>
    <t>CENTRAL BRASILEIRA DE PRODUTOS ALIMENTARES LTDA</t>
  </si>
  <si>
    <t>221528</t>
  </si>
  <si>
    <t>CLAUDIA LOPES VAREIRO</t>
  </si>
  <si>
    <t>220836</t>
  </si>
  <si>
    <t>220838</t>
  </si>
  <si>
    <t>COMERCIAL DOCE SONHO LTDA EPP</t>
  </si>
  <si>
    <t>142165</t>
  </si>
  <si>
    <t>COMERCIAL GRAVATAI ARTIGOS DE BAZAR LTDA</t>
  </si>
  <si>
    <t>142184</t>
  </si>
  <si>
    <t>COMERCIAL OESTE LTDA</t>
  </si>
  <si>
    <t>142015</t>
  </si>
  <si>
    <t>COMERCIAL TRAMANDAI ARTIGOS DE BAZAR LTDA</t>
  </si>
  <si>
    <t>142183</t>
  </si>
  <si>
    <t>142185</t>
  </si>
  <si>
    <t>COOP REGIONAL AURIVERDE</t>
  </si>
  <si>
    <t>142073</t>
  </si>
  <si>
    <t>COOPERATIVA A1</t>
  </si>
  <si>
    <t>142075</t>
  </si>
  <si>
    <t>CRISTIANE GIANELLO LTDA</t>
  </si>
  <si>
    <t>220876</t>
  </si>
  <si>
    <t>142168</t>
  </si>
  <si>
    <t>DISTRIBUIDORA CERNUTTI LTDA</t>
  </si>
  <si>
    <t>142177</t>
  </si>
  <si>
    <t>142452</t>
  </si>
  <si>
    <t>DOCEZAN COMERCIO DE PRODUTOS ALIMENTICIOS LTDA - EPP</t>
  </si>
  <si>
    <t>142161</t>
  </si>
  <si>
    <t>DOMANN E HAMMES LTDA</t>
  </si>
  <si>
    <t>141659</t>
  </si>
  <si>
    <t>DOUGLAS DALTROZO</t>
  </si>
  <si>
    <t>142130</t>
  </si>
  <si>
    <t>EDIRLEI PAVINATO - VARIEDADES</t>
  </si>
  <si>
    <t>220886</t>
  </si>
  <si>
    <t>EG ROMUALDO COMERCIO DE ALIMENTOS E TT. DOMESTICAS LTDA</t>
  </si>
  <si>
    <t>142464</t>
  </si>
  <si>
    <t>220885</t>
  </si>
  <si>
    <t>220837</t>
  </si>
  <si>
    <t>220843</t>
  </si>
  <si>
    <t>F.G.DE O. CARVALHO - ME</t>
  </si>
  <si>
    <t>142018</t>
  </si>
  <si>
    <t>FERNANDO WAH HOCK</t>
  </si>
  <si>
    <t>142433</t>
  </si>
  <si>
    <t>FLAVIO HORNKE</t>
  </si>
  <si>
    <t>142150</t>
  </si>
  <si>
    <t>FRIZON E OSTER LTDA</t>
  </si>
  <si>
    <t>142133</t>
  </si>
  <si>
    <t>G V SUPERMERCADO LTDA</t>
  </si>
  <si>
    <t>142030</t>
  </si>
  <si>
    <t>GELMAR DA SILVA VISENTAINER</t>
  </si>
  <si>
    <t>220856</t>
  </si>
  <si>
    <t>GETULIO ALVE FARIAS - ME</t>
  </si>
  <si>
    <t>142049</t>
  </si>
  <si>
    <t>GUARI ATACADO DE PRODUTOS ALIMENTICIOS LTDA - ME</t>
  </si>
  <si>
    <t>142472</t>
  </si>
  <si>
    <t>220870</t>
  </si>
  <si>
    <t>JOHN HEBERTON GOMES DA MOURA</t>
  </si>
  <si>
    <t>142470</t>
  </si>
  <si>
    <t>220859</t>
  </si>
  <si>
    <t>JUEMC BAZAR E COMERCIO DE VARIEDADES LTDA</t>
  </si>
  <si>
    <t>142190</t>
  </si>
  <si>
    <t>M.F.E COMERCIO DE ALIMENTOS LTDA - ME</t>
  </si>
  <si>
    <t>142181</t>
  </si>
  <si>
    <t>MALLET E TOSCANI COMERCIO DE ARTIGOS DE BAZAR LTDA</t>
  </si>
  <si>
    <t>142182</t>
  </si>
  <si>
    <t>221454</t>
  </si>
  <si>
    <t>MEDIAL COMERCIO DISTRIBUIDOR LTDA</t>
  </si>
  <si>
    <t>142023</t>
  </si>
  <si>
    <t>142129</t>
  </si>
  <si>
    <t>OLANDA E SOUSA LTDA</t>
  </si>
  <si>
    <t>142026</t>
  </si>
  <si>
    <t>OLIVEIRA COMERCIO DE EMBALAGENS LTDA</t>
  </si>
  <si>
    <t>140377</t>
  </si>
  <si>
    <t>PADARIA IL FORNO LTDA</t>
  </si>
  <si>
    <t>221532</t>
  </si>
  <si>
    <t>PANALFHA III COMERCIO DE ALIMENTOS LTDA</t>
  </si>
  <si>
    <t>221529</t>
  </si>
  <si>
    <t>PINHEIRO VARIEDADES LTDA</t>
  </si>
  <si>
    <t>142027</t>
  </si>
  <si>
    <t>PONTO ALL DISTRIBUIDORA DE PRODUTOS ALIMENTICIOS LTDA</t>
  </si>
  <si>
    <t>142164</t>
  </si>
  <si>
    <t>ROMEU FRANZEN E FILHO LTDA</t>
  </si>
  <si>
    <t>220888</t>
  </si>
  <si>
    <t>ROSELI SOUZA DE CRISTO</t>
  </si>
  <si>
    <t>142035</t>
  </si>
  <si>
    <t>142441</t>
  </si>
  <si>
    <t>221534</t>
  </si>
  <si>
    <t>SAO PEDRO SUPERMERCADO E CIA. LTDA.</t>
  </si>
  <si>
    <t>220867</t>
  </si>
  <si>
    <t>SORRISO COMERCIO DE EMBALAGENS LTDA</t>
  </si>
  <si>
    <t>140378</t>
  </si>
  <si>
    <t>SRA GOSTOSURA COMERCIO DE DOCES LTDA</t>
  </si>
  <si>
    <t>142425</t>
  </si>
  <si>
    <t>SUPERMERCADO BARONI LTDA</t>
  </si>
  <si>
    <t>142131</t>
  </si>
  <si>
    <t>SUPERMERCADO LAZZARI S.A</t>
  </si>
  <si>
    <t>142169</t>
  </si>
  <si>
    <t>SUPERMERCADO NEGRELLO LTDA</t>
  </si>
  <si>
    <t>221207</t>
  </si>
  <si>
    <t>TAFFAREL &amp; CIA. LTDA.</t>
  </si>
  <si>
    <t>142140</t>
  </si>
  <si>
    <t>VALDEVINO SEIDEL</t>
  </si>
  <si>
    <t>141828</t>
  </si>
  <si>
    <t>VILMA APARECIDA SARANSO ROSA 05094308807</t>
  </si>
  <si>
    <t>142473</t>
  </si>
  <si>
    <t>VINICIUS GABRIEL MARQUETTI COSTA</t>
  </si>
  <si>
    <t>142135</t>
  </si>
  <si>
    <t>142440</t>
  </si>
  <si>
    <t>ANTENOR SPRICIGO 89199570963</t>
  </si>
  <si>
    <t>141221</t>
  </si>
  <si>
    <t>ATACADISTA  DE EMBALAGENS CASA LIMPA LTDA</t>
  </si>
  <si>
    <t>142204</t>
  </si>
  <si>
    <t>ATLM DE NOVA IGUACU COMERCIO DE GENEROS ALIMENTICIOS LTDA</t>
  </si>
  <si>
    <t>142220</t>
  </si>
  <si>
    <t>BASE COM DE ALIMENTOS LTDA</t>
  </si>
  <si>
    <t>142205</t>
  </si>
  <si>
    <t>COMERCIO DE DOCES KIKAS LTDA - ME</t>
  </si>
  <si>
    <t>142228</t>
  </si>
  <si>
    <t>220901</t>
  </si>
  <si>
    <t>COOP TRITICOLA MISTA CAMPO NOVO LTDA - ESCRITORIO</t>
  </si>
  <si>
    <t>142192</t>
  </si>
  <si>
    <t>221218</t>
  </si>
  <si>
    <t>142215</t>
  </si>
  <si>
    <t>DEMONTIER PEREIRA COSME EPP</t>
  </si>
  <si>
    <t>142064</t>
  </si>
  <si>
    <t>DISTRIBUIDORA DE EMBALAGENS PANTANAL LTDA EPP</t>
  </si>
  <si>
    <t>142206</t>
  </si>
  <si>
    <t>DISTRIBUIDORA LIGEIRINHO DE PRODUTOS ALIMENTICIOS LTDA ME</t>
  </si>
  <si>
    <t>142225</t>
  </si>
  <si>
    <t>E Y UTILIDADES EIRELI</t>
  </si>
  <si>
    <t>142525</t>
  </si>
  <si>
    <t>142231</t>
  </si>
  <si>
    <t>142238</t>
  </si>
  <si>
    <t>FLECK &amp; TIMM - COMERCIO ALIMENTICIO DE DOCES E FESTAS LTDA</t>
  </si>
  <si>
    <t>142212</t>
  </si>
  <si>
    <t>IRMAOS BRESCIANI &amp; CIA LTDA</t>
  </si>
  <si>
    <t>142214</t>
  </si>
  <si>
    <t>IVY GRANDE VITORIA DOCES LTDA</t>
  </si>
  <si>
    <t>142221</t>
  </si>
  <si>
    <t>JUND DOCES PRODUTOS ALIMENTICIOS LTDA</t>
  </si>
  <si>
    <t>142066</t>
  </si>
  <si>
    <t>KAPRI ATACADISTA DE DOCES LTDA</t>
  </si>
  <si>
    <t>142505</t>
  </si>
  <si>
    <t>KOISARADA DA BARRA UTILIDADES LTDA</t>
  </si>
  <si>
    <t>142235</t>
  </si>
  <si>
    <t>KZA DAS UTILIDADES LTDA</t>
  </si>
  <si>
    <t>R142210</t>
  </si>
  <si>
    <t>142503</t>
  </si>
  <si>
    <t>LUIS CARLOS DIAS PORTO</t>
  </si>
  <si>
    <t>142501</t>
  </si>
  <si>
    <t>LUIZ RENATO VENANCIO DOS SANTOS - ME</t>
  </si>
  <si>
    <t>142209</t>
  </si>
  <si>
    <t>M DA SILVA MACEDO COM VEREJISTA DE LIQUIDOS E COMESTIVEIS ME</t>
  </si>
  <si>
    <t>142202</t>
  </si>
  <si>
    <t>MARCO AURELIO NEGRELLO - DISTRIBUIDORA DE DOCES</t>
  </si>
  <si>
    <t>142526</t>
  </si>
  <si>
    <t>MARIA DE LOURDES OLIVEIRA CAETANO- ME</t>
  </si>
  <si>
    <t>142507</t>
  </si>
  <si>
    <t>MINIMERCADO CALIARI LTDA</t>
  </si>
  <si>
    <t>R221310</t>
  </si>
  <si>
    <t>MIRIAN BEATRIZ MIGNONI MATANA</t>
  </si>
  <si>
    <t>142237</t>
  </si>
  <si>
    <t>OFELIA M MACHADO E CIA LTDA</t>
  </si>
  <si>
    <t>142224</t>
  </si>
  <si>
    <t>R R SCHABARUM ATACADO LTDA</t>
  </si>
  <si>
    <t>142211</t>
  </si>
  <si>
    <t>RIBOLI E RIBOLI LTDA.</t>
  </si>
  <si>
    <t>142519</t>
  </si>
  <si>
    <t>S &amp; A GULOSEIMAS LTDA</t>
  </si>
  <si>
    <t>142493</t>
  </si>
  <si>
    <t>SANDRA BRANCHER LTDA</t>
  </si>
  <si>
    <t>142232</t>
  </si>
  <si>
    <t>SUPERMERCADO FASSINA E FAMILIA LTDA</t>
  </si>
  <si>
    <t>142216</t>
  </si>
  <si>
    <t>VALENDOCE COMERCIO DE ALIMENTOS LTDA</t>
  </si>
  <si>
    <t>142229</t>
  </si>
  <si>
    <t>VENTURA ALIMENTOS LTDA</t>
  </si>
  <si>
    <t>142194</t>
  </si>
  <si>
    <t>WAGNER FILINKOVSKI DA ROSA</t>
  </si>
  <si>
    <t>142199</t>
  </si>
  <si>
    <t>A A SCHEIBEL &amp; CIA LTDA</t>
  </si>
  <si>
    <t>142270</t>
  </si>
  <si>
    <t>A J DA SILVA JUNIOR COM. DE PRODUTOS ALIMENTICIOS LTDA</t>
  </si>
  <si>
    <t>R140863</t>
  </si>
  <si>
    <t>R140864</t>
  </si>
  <si>
    <t>221073</t>
  </si>
  <si>
    <t>ABRAO E KOCHHANN LTDA</t>
  </si>
  <si>
    <t>220984</t>
  </si>
  <si>
    <t>ABV COMERCIO DE ALIMENTOS LTDA</t>
  </si>
  <si>
    <t>141742</t>
  </si>
  <si>
    <t>141743</t>
  </si>
  <si>
    <t>AGRONOVA COM DE INSUMOS AGRICOLAS LTDA</t>
  </si>
  <si>
    <t>220927</t>
  </si>
  <si>
    <t>ALICE VIEIRA PATRICIO LEMOS LTDA</t>
  </si>
  <si>
    <t>142549</t>
  </si>
  <si>
    <t>221317</t>
  </si>
  <si>
    <t>ANGELO MATEUS SILVA DEPOLO</t>
  </si>
  <si>
    <t>142288</t>
  </si>
  <si>
    <t>ANTONIA EURILENE NOGUEIRA - ME</t>
  </si>
  <si>
    <t>142331</t>
  </si>
  <si>
    <t>ATACADO DO BETO LTDA</t>
  </si>
  <si>
    <t>142547</t>
  </si>
  <si>
    <t>BARATAO MINIMERCADO E UTILIDADES</t>
  </si>
  <si>
    <t>142332</t>
  </si>
  <si>
    <t>BASE LIMP E SERVICOS ADMINISTRATIVOS LTDA</t>
  </si>
  <si>
    <t>142326</t>
  </si>
  <si>
    <t>BATAGLIN E FERREIRA LTDA</t>
  </si>
  <si>
    <t>142306</t>
  </si>
  <si>
    <t>BAZAR PROMOCOES DO CATETE LTDA</t>
  </si>
  <si>
    <t>142278</t>
  </si>
  <si>
    <t>142312</t>
  </si>
  <si>
    <t>142314</t>
  </si>
  <si>
    <t>142315</t>
  </si>
  <si>
    <t>142316</t>
  </si>
  <si>
    <t>142317</t>
  </si>
  <si>
    <t>142318</t>
  </si>
  <si>
    <t>142319</t>
  </si>
  <si>
    <t>142328</t>
  </si>
  <si>
    <t>142329</t>
  </si>
  <si>
    <t>142330</t>
  </si>
  <si>
    <t>BEM-TE-VI DOCERIA E BOMBONIERE LTDA</t>
  </si>
  <si>
    <t>142334</t>
  </si>
  <si>
    <t>221048</t>
  </si>
  <si>
    <t>C E A  COMERCIO DE ALIMENTOS LTDA</t>
  </si>
  <si>
    <t>141835</t>
  </si>
  <si>
    <t>C E A COMERCIO DE ALIMENTOS LTDA</t>
  </si>
  <si>
    <t>141831</t>
  </si>
  <si>
    <t>141832</t>
  </si>
  <si>
    <t>141833</t>
  </si>
  <si>
    <t>141834</t>
  </si>
  <si>
    <t>CAMILA GROSS HOPF LTDA.</t>
  </si>
  <si>
    <t>142311</t>
  </si>
  <si>
    <t>CELSO JOSE KREUZ E FILHOS LTDA</t>
  </si>
  <si>
    <t>221373</t>
  </si>
  <si>
    <t>CENTRAL DOS DOCES E DISTRIBUIDORA LTDA</t>
  </si>
  <si>
    <t>142601</t>
  </si>
  <si>
    <t>CHICOLITO COMERCIO DE DOCES E ARTIGOS PARA FESTAS LTDA</t>
  </si>
  <si>
    <t>142588</t>
  </si>
  <si>
    <t>CHOCOBEL COM DE PROD ALIM LTDA</t>
  </si>
  <si>
    <t>142343</t>
  </si>
  <si>
    <t>CIPRIANO COM. E DISTRIBUICAO LTDA - ME</t>
  </si>
  <si>
    <t>142336</t>
  </si>
  <si>
    <t>CLAUDIR MONTEMEZZO E CIA LTDA</t>
  </si>
  <si>
    <t>142252</t>
  </si>
  <si>
    <t>CLEISSON DE JESUS FERREIRA</t>
  </si>
  <si>
    <t>142078</t>
  </si>
  <si>
    <t>COMERCIAL CARMO UTILIDADES DOMESTICAS LTDA</t>
  </si>
  <si>
    <t>142551</t>
  </si>
  <si>
    <t>142285</t>
  </si>
  <si>
    <t>COMERCIAL UNIAO LTDA</t>
  </si>
  <si>
    <t>142269</t>
  </si>
  <si>
    <t>COMERCIO DE ALIMENTOS VALENTINI LTDA.</t>
  </si>
  <si>
    <t>221069</t>
  </si>
  <si>
    <t>COOP. PRODUÇÃO COMERC. AGRICULTURA FAMILIAR ROQUE GONZALES L</t>
  </si>
  <si>
    <t>221355</t>
  </si>
  <si>
    <t>COOPERATIVA DE AGRICULTURA DO ESTADO DO RIO GRANDE DO SUL</t>
  </si>
  <si>
    <t>221376</t>
  </si>
  <si>
    <t>COOPERATIVA MISTA YUCUMA COOPERYUCUMA</t>
  </si>
  <si>
    <t>220912</t>
  </si>
  <si>
    <t>220959</t>
  </si>
  <si>
    <t>221259</t>
  </si>
  <si>
    <t>221322</t>
  </si>
  <si>
    <t>CRISTIAN LEANDRO REINHEIMER</t>
  </si>
  <si>
    <t>142258</t>
  </si>
  <si>
    <t>DADALTO E SILVA LTDA EPP</t>
  </si>
  <si>
    <t>142295</t>
  </si>
  <si>
    <t>142277</t>
  </si>
  <si>
    <t>DISTRIBUIDORA DOCE MARTINA LTDA</t>
  </si>
  <si>
    <t>142273</t>
  </si>
  <si>
    <t>DISTRIBUIDORA MAGIRUS EMBALAGENS LTDA</t>
  </si>
  <si>
    <t>142244</t>
  </si>
  <si>
    <t>DISTRIBUIDORA ROBERTO COMERCIO DE PRODUTOS ALIMENTICIOS LTDA</t>
  </si>
  <si>
    <t>142297</t>
  </si>
  <si>
    <t>221304</t>
  </si>
  <si>
    <t>220985</t>
  </si>
  <si>
    <t>221385</t>
  </si>
  <si>
    <t>E NOSSA DISTRIBUIDORA LTDA</t>
  </si>
  <si>
    <t>142333</t>
  </si>
  <si>
    <t>ELISA MARIA AVI TOBIAS ME</t>
  </si>
  <si>
    <t>142255</t>
  </si>
  <si>
    <t>EP COMERCIO DE DOCES E GENEROS ALIMENTICIOS LTDA</t>
  </si>
  <si>
    <t>142257</t>
  </si>
  <si>
    <t>ESQUINA DOS DOCES LTDA</t>
  </si>
  <si>
    <t>141904</t>
  </si>
  <si>
    <t>EVA ANGELA TOME</t>
  </si>
  <si>
    <t>142538</t>
  </si>
  <si>
    <t>FLAVIO DA CRUZ &amp; CIA LTDA</t>
  </si>
  <si>
    <t>221410</t>
  </si>
  <si>
    <t>G M UTILIDADES DOMESTICAS LTDA</t>
  </si>
  <si>
    <t>142321</t>
  </si>
  <si>
    <t>GERALDO VIEIRA DOS SANTOS - ME</t>
  </si>
  <si>
    <t>142176</t>
  </si>
  <si>
    <t>GILIARDY ANTONIO MENEZES</t>
  </si>
  <si>
    <t>142607</t>
  </si>
  <si>
    <t>HZ COMERCIAL DE ALIMENTOS LTDA.</t>
  </si>
  <si>
    <t>220978</t>
  </si>
  <si>
    <t>IMEXSUL IMPORTACAO E EXPORTACAO LTDA</t>
  </si>
  <si>
    <t>142299</t>
  </si>
  <si>
    <t>IMPERIO CENTER EMPREENDIMENTOS LTDA</t>
  </si>
  <si>
    <t>142287</t>
  </si>
  <si>
    <t>ISSAM BEITUNI DAHLEH</t>
  </si>
  <si>
    <t>142263</t>
  </si>
  <si>
    <t>J M N DA SILVA</t>
  </si>
  <si>
    <t>142546</t>
  </si>
  <si>
    <t>142555</t>
  </si>
  <si>
    <t>JOCELI SILVA LEAL</t>
  </si>
  <si>
    <t>142260</t>
  </si>
  <si>
    <t>JOELMA XAVIER LTDA</t>
  </si>
  <si>
    <t>142251</t>
  </si>
  <si>
    <t>JORGE JOSE WERNER</t>
  </si>
  <si>
    <t>221360</t>
  </si>
  <si>
    <t>JOSE ACELI LEMOS AMARAL</t>
  </si>
  <si>
    <t>142564</t>
  </si>
  <si>
    <t>JOSE ADELSON SANTANA DA CONCEICAO</t>
  </si>
  <si>
    <t>142069</t>
  </si>
  <si>
    <t>JOSE FRIZON E CIA LTDA</t>
  </si>
  <si>
    <t>142265</t>
  </si>
  <si>
    <t>JOSIANE HENSE LTDA</t>
  </si>
  <si>
    <t>141330</t>
  </si>
  <si>
    <t>221301</t>
  </si>
  <si>
    <t>KLOPPENBURG MINIMERCADO LTDA</t>
  </si>
  <si>
    <t>142268</t>
  </si>
  <si>
    <t>LAURO DOS ANJOS RAMOS</t>
  </si>
  <si>
    <t>142539</t>
  </si>
  <si>
    <t>LICEU HENRICH E CIA LTDA</t>
  </si>
  <si>
    <t>221407</t>
  </si>
  <si>
    <t>221264</t>
  </si>
  <si>
    <t>221321</t>
  </si>
  <si>
    <t>LOJAO DE VARIEDADES NAZARETH LTDA</t>
  </si>
  <si>
    <t>142294</t>
  </si>
  <si>
    <t>LOJAS MAXIMO CONFECCOES E UTILIDADES EM GERAL LTDA</t>
  </si>
  <si>
    <t>142271</t>
  </si>
  <si>
    <t>142310</t>
  </si>
  <si>
    <t>142275</t>
  </si>
  <si>
    <t>LUZARDO RIBEIRO MARCONATTO LTDA</t>
  </si>
  <si>
    <t>142308</t>
  </si>
  <si>
    <t>MARCIO SILVA DE ARAUJO</t>
  </si>
  <si>
    <t>221397</t>
  </si>
  <si>
    <t>MARIA LEDA CASARIN</t>
  </si>
  <si>
    <t>221412</t>
  </si>
  <si>
    <t>MARIA PIRAN OSMARIN LTDA</t>
  </si>
  <si>
    <t>142543</t>
  </si>
  <si>
    <t>221358</t>
  </si>
  <si>
    <t>MEGA GULA PIRAQUARA LTDA</t>
  </si>
  <si>
    <t>142302</t>
  </si>
  <si>
    <t>MERCADO OSTENACK LTDA</t>
  </si>
  <si>
    <t>142623</t>
  </si>
  <si>
    <t>MUNDO MAGICO FESTAS LTDA</t>
  </si>
  <si>
    <t>142616</t>
  </si>
  <si>
    <t>NATINHO ATACADAO DE MARICA LTDA</t>
  </si>
  <si>
    <t>142320</t>
  </si>
  <si>
    <t>NONI PINEHIERO NOBLE 83328947000</t>
  </si>
  <si>
    <t>221395</t>
  </si>
  <si>
    <t>142608</t>
  </si>
  <si>
    <t>O DOCEIRO LTDA</t>
  </si>
  <si>
    <t>142293</t>
  </si>
  <si>
    <t>OLDISI COMERCIO DE PRODUTOS ALIMENTICIOS LTDA</t>
  </si>
  <si>
    <t>142640</t>
  </si>
  <si>
    <t>PADARIA NATUR LTDA</t>
  </si>
  <si>
    <t>220965</t>
  </si>
  <si>
    <t>PANIFICADORA E CONFEITARIA VB LTDA</t>
  </si>
  <si>
    <t>142303</t>
  </si>
  <si>
    <t>PERETTO SUPERMERCADOS LTDA.</t>
  </si>
  <si>
    <t>221408</t>
  </si>
  <si>
    <t>PIZZARIA DO BOSQUE COMERCIO DE PIZZAS LTDA.</t>
  </si>
  <si>
    <t>221314</t>
  </si>
  <si>
    <t>142772</t>
  </si>
  <si>
    <t>REAL HERMON ITAQUA LTDA</t>
  </si>
  <si>
    <t>142324</t>
  </si>
  <si>
    <t>221346</t>
  </si>
  <si>
    <t>221008</t>
  </si>
  <si>
    <t>ROSENIR ALVES DE MELO</t>
  </si>
  <si>
    <t>R221267</t>
  </si>
  <si>
    <t>S A G LUVISA E CIA LTDA</t>
  </si>
  <si>
    <t>142242</t>
  </si>
  <si>
    <t>S SILVA E FILHOS LTDA.</t>
  </si>
  <si>
    <t>142537</t>
  </si>
  <si>
    <t>SANDRO FRIESS 58362819049</t>
  </si>
  <si>
    <t>142307</t>
  </si>
  <si>
    <t>SIMONE DE CAMPOS ROSENDO MARTINS</t>
  </si>
  <si>
    <t>142572</t>
  </si>
  <si>
    <t>SUPERMERCADO HUMAITA LTDA</t>
  </si>
  <si>
    <t>220982</t>
  </si>
  <si>
    <t>SUPERMERCADO JULIO LTDA</t>
  </si>
  <si>
    <t>141369</t>
  </si>
  <si>
    <t>SUPERMERCADO LH LTDA</t>
  </si>
  <si>
    <t>221261</t>
  </si>
  <si>
    <t>SUPERMERCADO MEISNER SIQUEIRA LTDA</t>
  </si>
  <si>
    <t>142552</t>
  </si>
  <si>
    <t>221406</t>
  </si>
  <si>
    <t>SUPERMERCADO PUBLICO LTDA</t>
  </si>
  <si>
    <t>142348</t>
  </si>
  <si>
    <t>SUPERMERCADO RAFANA LTDA</t>
  </si>
  <si>
    <t>221362</t>
  </si>
  <si>
    <t>142342</t>
  </si>
  <si>
    <t>221390</t>
  </si>
  <si>
    <t>TUICA DISTRIBUIDORA ALIMENTOS LTDA</t>
  </si>
  <si>
    <t>142639</t>
  </si>
  <si>
    <t>VARIEDADES COMERCIO DE PLASTICO LTDA</t>
  </si>
  <si>
    <t>142170</t>
  </si>
  <si>
    <t>142172</t>
  </si>
  <si>
    <t>142186</t>
  </si>
  <si>
    <t>142189</t>
  </si>
  <si>
    <t>VARIEDADES COMERCIO DE PLASTICOS LTDA</t>
  </si>
  <si>
    <t>W. W. DOBRACHINSKY</t>
  </si>
  <si>
    <t>142259</t>
  </si>
  <si>
    <t>142609</t>
  </si>
  <si>
    <t>ADBSILVA COMERCIO DE UTILIDADES DOMESTICAS EIREKI - ME</t>
  </si>
  <si>
    <t>142410</t>
  </si>
  <si>
    <t>221451</t>
  </si>
  <si>
    <t>AKI COMERCIO DE DOCES EIRELI</t>
  </si>
  <si>
    <t>142387</t>
  </si>
  <si>
    <t>ALINE BRIXNER</t>
  </si>
  <si>
    <t>221475</t>
  </si>
  <si>
    <t>ATACADO E VAREJO GULOSEIMAS LTDA</t>
  </si>
  <si>
    <t>142363</t>
  </si>
  <si>
    <t>BECKER ATACADISTA DE ALIMENTOS LTDA</t>
  </si>
  <si>
    <t>142386</t>
  </si>
  <si>
    <t>BELMIR LUIZ CECCO</t>
  </si>
  <si>
    <t>142372</t>
  </si>
  <si>
    <t>142356</t>
  </si>
  <si>
    <t>142357</t>
  </si>
  <si>
    <t>BOZZETI COMERCIO DE DOCES LTDA</t>
  </si>
  <si>
    <t>142394</t>
  </si>
  <si>
    <t>C P CORREIA DE ALMEIDA FILHO</t>
  </si>
  <si>
    <t>142116</t>
  </si>
  <si>
    <t>141972</t>
  </si>
  <si>
    <t>CASA DE FESTAS E EMBALAGENS TRES FRONTEIRAS LTDA</t>
  </si>
  <si>
    <t>142669</t>
  </si>
  <si>
    <t>CENTRO DE DISTRIBUICAO DE PRODUTOS ALIMENTICIOS RODELO LTDA</t>
  </si>
  <si>
    <t>142689</t>
  </si>
  <si>
    <t>221138</t>
  </si>
  <si>
    <t>COMERCIAL CATATU LTDA</t>
  </si>
  <si>
    <t>142679</t>
  </si>
  <si>
    <t>COMERCIAL MJM LTDA</t>
  </si>
  <si>
    <t>142366</t>
  </si>
  <si>
    <t>COMERCIO E REPRESENTACOES ROFRE LTDA - ME</t>
  </si>
  <si>
    <t>142663</t>
  </si>
  <si>
    <t>COMFREIGUER COMERCIO LTDA</t>
  </si>
  <si>
    <t>142404</t>
  </si>
  <si>
    <t>CONESUL MATERIAIS DE ESCRITORIO LTDA</t>
  </si>
  <si>
    <t>142670</t>
  </si>
  <si>
    <t>COOP MISTA DOS AGRICULT DE TOROPI LTDA COOMAT</t>
  </si>
  <si>
    <t>221173</t>
  </si>
  <si>
    <t>DISTRIBUIDORA FERRAZ LTDA</t>
  </si>
  <si>
    <t>142651</t>
  </si>
  <si>
    <t>142105</t>
  </si>
  <si>
    <t>EMBALAGENS TRES IRMAOS LTDA</t>
  </si>
  <si>
    <t>142378</t>
  </si>
  <si>
    <t>142417</t>
  </si>
  <si>
    <t>EXPRESSO SÄO MIGUEL S/A</t>
  </si>
  <si>
    <t>142419</t>
  </si>
  <si>
    <t>FEF COMERCIO DE UTILIDADES DOMESTICAS LTDA- ME</t>
  </si>
  <si>
    <t>142411</t>
  </si>
  <si>
    <t>G D C COM. DE PROD. ALIM. ART. DE HIG. E LIMP. E DESC. LTDA</t>
  </si>
  <si>
    <t>142413</t>
  </si>
  <si>
    <t>142414</t>
  </si>
  <si>
    <t>HILDA DA CONCEICAO E CIA LTDA</t>
  </si>
  <si>
    <t>142112</t>
  </si>
  <si>
    <t>IRISMAR BARBOSA DIAS ALVES</t>
  </si>
  <si>
    <t>141989</t>
  </si>
  <si>
    <t>ITADIA COMERCIO DE ALIMENTOS LTDA</t>
  </si>
  <si>
    <t>142382</t>
  </si>
  <si>
    <t>J I DE LIMA DISTRIBUIDORA DE EMBALAGENS E FRIOS - ME</t>
  </si>
  <si>
    <t>142652</t>
  </si>
  <si>
    <t>142118</t>
  </si>
  <si>
    <t>JESSICA MOTTA PEREZ - ME</t>
  </si>
  <si>
    <t>142406</t>
  </si>
  <si>
    <t>142279</t>
  </si>
  <si>
    <t>JVF COMERCIO DE PRODUTOS DE EMBALAGENS LTDA ME</t>
  </si>
  <si>
    <t>142359</t>
  </si>
  <si>
    <t>L PEREIRA DO NASCIMENTO COMERCIO</t>
  </si>
  <si>
    <t>142106</t>
  </si>
  <si>
    <t>L. C. BERLATTO E CIA LTDA - ME</t>
  </si>
  <si>
    <t>142355</t>
  </si>
  <si>
    <t>L. GONZAGA DA SILVA DOCERIA</t>
  </si>
  <si>
    <t>142655</t>
  </si>
  <si>
    <t>142690</t>
  </si>
  <si>
    <t>LEANDRO LIMA TURCHETTI</t>
  </si>
  <si>
    <t>142392</t>
  </si>
  <si>
    <t>LILIANE DALBERTO</t>
  </si>
  <si>
    <t>142397</t>
  </si>
  <si>
    <t>LINO E SILVA COMERCIO DE BALAS E CHOCOLATES LTDA</t>
  </si>
  <si>
    <t>142685</t>
  </si>
  <si>
    <t>221450</t>
  </si>
  <si>
    <t>R220315</t>
  </si>
  <si>
    <t>221147</t>
  </si>
  <si>
    <t>MARA GISLAINE BUENO SEEFELDT</t>
  </si>
  <si>
    <t>221448</t>
  </si>
  <si>
    <t>MARCIO P LINASSI</t>
  </si>
  <si>
    <t>221479</t>
  </si>
  <si>
    <t>MARISA DE FATIMA ELBL MUNHOZ - ME</t>
  </si>
  <si>
    <t>142368</t>
  </si>
  <si>
    <t>MEIRELES COMERCIO DE PRESENTES LTDA - ME</t>
  </si>
  <si>
    <t>142403</t>
  </si>
  <si>
    <t>MERCADO SOTORIVA LTDA</t>
  </si>
  <si>
    <t>142681</t>
  </si>
  <si>
    <t>220900</t>
  </si>
  <si>
    <t>MSMS DISTRIBUIDORA DE ALIMENTOS LTDA</t>
  </si>
  <si>
    <t>142402</t>
  </si>
  <si>
    <t>MVM COMERCIO DE PRODUTOS ALIMENTICIOS ARTIGOS DE HIG. E LIMP</t>
  </si>
  <si>
    <t>142416</t>
  </si>
  <si>
    <t>NAKA COMERCIO DE ARTIGOS DE PRESENTES LTDA-EPP</t>
  </si>
  <si>
    <t>142385</t>
  </si>
  <si>
    <t>ORGANIZACAO COMERCIAL IRBER LTDA</t>
  </si>
  <si>
    <t>221491</t>
  </si>
  <si>
    <t>PRONER SUPERMERCADOS LTDA</t>
  </si>
  <si>
    <t>142367</t>
  </si>
  <si>
    <t>221507</t>
  </si>
  <si>
    <t>221094</t>
  </si>
  <si>
    <t>SHINEMORE COM. DE UTILIDADES LTDA</t>
  </si>
  <si>
    <t>142664</t>
  </si>
  <si>
    <t>SUPERDOCE DISTRIBUIDORA LTDA</t>
  </si>
  <si>
    <t>142393</t>
  </si>
  <si>
    <t>SUPERMERCADO FORRAGEIRA LTDA</t>
  </si>
  <si>
    <t>142389</t>
  </si>
  <si>
    <t>TREICHEL MACROMERCADO LTDA</t>
  </si>
  <si>
    <t>142365</t>
  </si>
  <si>
    <t>ULISSES AUGUSTUS ASSIS PEREIRA</t>
  </si>
  <si>
    <t>142113</t>
  </si>
  <si>
    <t>V.F. SANDOVAL BOMBONIERE LTDA - ME</t>
  </si>
  <si>
    <t>142660</t>
  </si>
  <si>
    <t>142266</t>
  </si>
  <si>
    <t>142267</t>
  </si>
  <si>
    <t>VARZELANDIA MERCADO ALIMENTOS E UTILIDADES DOMESTICAS LTDA</t>
  </si>
  <si>
    <t>142653</t>
  </si>
  <si>
    <t>221504</t>
  </si>
  <si>
    <t>A F DOS ANJOS LTDA</t>
  </si>
  <si>
    <t>142141</t>
  </si>
  <si>
    <t>ADIVAN TONIN LTDA</t>
  </si>
  <si>
    <t>142429</t>
  </si>
  <si>
    <t>ANTONIO GOMES DA SILVA COMERCIO - ME</t>
  </si>
  <si>
    <t>142136</t>
  </si>
  <si>
    <t>ATACADO AUTOGIRO LTDA</t>
  </si>
  <si>
    <t>142457</t>
  </si>
  <si>
    <t>ATACADO E VAREJO DE ALIMENTOS E BEBIDAS RAMSIS LTDA</t>
  </si>
  <si>
    <t>142697</t>
  </si>
  <si>
    <t>CARLOS ALBERTO SOUZA BECKER</t>
  </si>
  <si>
    <t>142478</t>
  </si>
  <si>
    <t>CASA DO DOCE LTDA</t>
  </si>
  <si>
    <t>142459</t>
  </si>
  <si>
    <t>142458</t>
  </si>
  <si>
    <t>COM DE PRODUTOS ALIMENT. MDC LTDA.</t>
  </si>
  <si>
    <t>142446</t>
  </si>
  <si>
    <t>COMERCIAL ERIK RYUKI LTDA</t>
  </si>
  <si>
    <t>142708</t>
  </si>
  <si>
    <t>COMERCIAL SCHWERZ LTDA</t>
  </si>
  <si>
    <t>142442</t>
  </si>
  <si>
    <t>COOP TRITICOLA SANTA ROSA LTDA - COTRIROSA</t>
  </si>
  <si>
    <t>142445</t>
  </si>
  <si>
    <t>142466</t>
  </si>
  <si>
    <t>142718</t>
  </si>
  <si>
    <t>CRISPINA MATOS DE ARAUJO SANTOS</t>
  </si>
  <si>
    <t>142147</t>
  </si>
  <si>
    <t>CROTTA COMERCIO DE PRODUTOS DE ARMARINHOS EIRELI</t>
  </si>
  <si>
    <t>142455</t>
  </si>
  <si>
    <t>D. A. DA SILVA GUERRA LTDA</t>
  </si>
  <si>
    <t>142438</t>
  </si>
  <si>
    <t>DENILSON HACK 58207708034</t>
  </si>
  <si>
    <t>142153</t>
  </si>
  <si>
    <t>221523</t>
  </si>
  <si>
    <t>221524</t>
  </si>
  <si>
    <t>DISTRIBUIDORA DE ALIMENTOS IRMAOS LTDA</t>
  </si>
  <si>
    <t>220431</t>
  </si>
  <si>
    <t>DISTRIBUIDORA DE ARMARINHO BONATTO LTDA</t>
  </si>
  <si>
    <t>142017</t>
  </si>
  <si>
    <t>FURLAN E ZANEBONI COMERCIO DE DOCES LTDA</t>
  </si>
  <si>
    <t>142703</t>
  </si>
  <si>
    <t>GAJU ARTE EM FESTA LTDA</t>
  </si>
  <si>
    <t>142435</t>
  </si>
  <si>
    <t>GR PRADO COM. ON-LINE DE ALIMENTOS LTDA</t>
  </si>
  <si>
    <t>142426</t>
  </si>
  <si>
    <t>GRUPO PRECO BAIXO LTDA</t>
  </si>
  <si>
    <t>142156</t>
  </si>
  <si>
    <t>142157</t>
  </si>
  <si>
    <t>R142158</t>
  </si>
  <si>
    <t>GRUPO PREÇO BAIXO LTDA ME</t>
  </si>
  <si>
    <t>142155</t>
  </si>
  <si>
    <t>HIPER ITAJAI LTDA</t>
  </si>
  <si>
    <t>142456</t>
  </si>
  <si>
    <t>ITAMAR JOSE PERONDI</t>
  </si>
  <si>
    <t>142347</t>
  </si>
  <si>
    <t>142461</t>
  </si>
  <si>
    <t>IYOBE E CIA LTDA</t>
  </si>
  <si>
    <t>142352</t>
  </si>
  <si>
    <t>J V B CHAVES</t>
  </si>
  <si>
    <t>142469</t>
  </si>
  <si>
    <t>J.SOARES SILVA - BOMBONIERE</t>
  </si>
  <si>
    <t>142143</t>
  </si>
  <si>
    <t>142128</t>
  </si>
  <si>
    <t>JOSE CARLOS ALBINO 22121323953</t>
  </si>
  <si>
    <t>142148</t>
  </si>
  <si>
    <t>JOSIMAR COMERCIO DE DOCES LTDA</t>
  </si>
  <si>
    <t>142436</t>
  </si>
  <si>
    <t>KI GOSTO INDUSTRIA DE PRODUTOS ALIMENTICIOS LTDA EPP</t>
  </si>
  <si>
    <t>142178</t>
  </si>
  <si>
    <t>L S ATACADO COMERCIO ATACADISTA DE ALIMENTOS LTDA</t>
  </si>
  <si>
    <t>142450</t>
  </si>
  <si>
    <t>LB BAZAR DIFERENTE LTDA</t>
  </si>
  <si>
    <t>142422</t>
  </si>
  <si>
    <t>LSM CONVENIENCIAS LTDA</t>
  </si>
  <si>
    <t>142479</t>
  </si>
  <si>
    <t>LUIZA TEREZINHA LOURENCETTI ALMEIDA EIRELI</t>
  </si>
  <si>
    <t>142431</t>
  </si>
  <si>
    <t>M A DA SILVA CARUARU ME</t>
  </si>
  <si>
    <t>142191</t>
  </si>
  <si>
    <t>M M MUGNAGA</t>
  </si>
  <si>
    <t>142434</t>
  </si>
  <si>
    <t>MAIS DOCE MAIS LTDA</t>
  </si>
  <si>
    <t>142151</t>
  </si>
  <si>
    <t>MANOEL ARTHUR MOREIRA ANDRADE</t>
  </si>
  <si>
    <t>142430</t>
  </si>
  <si>
    <t>MARIA DILURDES PINHEIRO UTILIDADES - ME</t>
  </si>
  <si>
    <t>142463</t>
  </si>
  <si>
    <t>MARIA ROSANGELA LOPES DE MORAES</t>
  </si>
  <si>
    <t>142444</t>
  </si>
  <si>
    <t>MEDEIROS E MEDEIROS COMERCIO DE ALIMENTOS LTDA</t>
  </si>
  <si>
    <t>142139</t>
  </si>
  <si>
    <t>MULTI SUGESTOES EMBALAGENS LTDA</t>
  </si>
  <si>
    <t>142421</t>
  </si>
  <si>
    <t>QUERUBIN E DAL ZOTTO LTDA - ME</t>
  </si>
  <si>
    <t>142427</t>
  </si>
  <si>
    <t>R P INDUSTRIA E COMERCIO DE DOCES LTDA</t>
  </si>
  <si>
    <t>142460</t>
  </si>
  <si>
    <t>RESTELLI E CIA LTDA</t>
  </si>
  <si>
    <t>142480</t>
  </si>
  <si>
    <t>ROCHA E RODRIGUES LTDA</t>
  </si>
  <si>
    <t>142465</t>
  </si>
  <si>
    <t>SACARIA MARCONI LTDA</t>
  </si>
  <si>
    <t>142142</t>
  </si>
  <si>
    <t>SEBASTIAO RIBEIRO DE MORAES</t>
  </si>
  <si>
    <t>142454</t>
  </si>
  <si>
    <t>SHOPPING DO 9 COMERCIAL EIRELI - EPP</t>
  </si>
  <si>
    <t>142437</t>
  </si>
  <si>
    <t>SHOW PAO COMERCIO DE PAES LTDA.</t>
  </si>
  <si>
    <t>221536</t>
  </si>
  <si>
    <t>142467</t>
  </si>
  <si>
    <t>SUPERMERCADO CAROL LTDA</t>
  </si>
  <si>
    <t>142162</t>
  </si>
  <si>
    <t>142726</t>
  </si>
  <si>
    <t>SUPERMERCADO TALEVI EIRELI</t>
  </si>
  <si>
    <t>142462</t>
  </si>
  <si>
    <t>TUDO EM FESTAS COMERCIO LTDA</t>
  </si>
  <si>
    <t>142468</t>
  </si>
  <si>
    <t>ZUANAZZI FESTAS EMBALAG. CONFEIT. E HIGI</t>
  </si>
  <si>
    <t>142179</t>
  </si>
  <si>
    <t>ALFJ. UTILIDADES DOMESTICAS LTDA</t>
  </si>
  <si>
    <t>142497</t>
  </si>
  <si>
    <t>ALISSON WERENCHOSKI DE LIMA</t>
  </si>
  <si>
    <t>142752</t>
  </si>
  <si>
    <t>ANDERSON MANOEL LOPES</t>
  </si>
  <si>
    <t>142491</t>
  </si>
  <si>
    <t>142514</t>
  </si>
  <si>
    <t>ATAC E ARMARINHO GAUCHO LTDA</t>
  </si>
  <si>
    <t>142733</t>
  </si>
  <si>
    <t>AVM SUPERMERCADO LTDA</t>
  </si>
  <si>
    <t>142360</t>
  </si>
  <si>
    <t>142361</t>
  </si>
  <si>
    <t>142362</t>
  </si>
  <si>
    <t>142364</t>
  </si>
  <si>
    <t>142766</t>
  </si>
  <si>
    <t>BIEL E NIEL MERCEARIA LTDA</t>
  </si>
  <si>
    <t>142515</t>
  </si>
  <si>
    <t>BOMBONIERE DOCE MANIA LTDA</t>
  </si>
  <si>
    <t>142195</t>
  </si>
  <si>
    <t>C. L. POLACHINI E CIA LTDA</t>
  </si>
  <si>
    <t>142504</t>
  </si>
  <si>
    <t>CALIONI BAVARESCO E CIA LTDA</t>
  </si>
  <si>
    <t>142520</t>
  </si>
  <si>
    <t>CASA DO DOCE &amp; FESTAS SANTO ANTONIO LTDA</t>
  </si>
  <si>
    <t>142506</t>
  </si>
  <si>
    <t>CHOCO MISSOES LTDA</t>
  </si>
  <si>
    <t>142732</t>
  </si>
  <si>
    <t>CLAUDEMIR BISOL</t>
  </si>
  <si>
    <t>142517</t>
  </si>
  <si>
    <t>COMERCIAL BARAO LTDA</t>
  </si>
  <si>
    <t>142524</t>
  </si>
  <si>
    <t>COMERCIO E DISTRIBUICAO ANGELIM LTDA</t>
  </si>
  <si>
    <t>142753</t>
  </si>
  <si>
    <t>COOPERATIVA MISTA SAO LUIZ LTDA</t>
  </si>
  <si>
    <t>142490</t>
  </si>
  <si>
    <t>221562</t>
  </si>
  <si>
    <t>COTRISAL AGROINDUSTRIAL COOPERATIVA</t>
  </si>
  <si>
    <t>221232</t>
  </si>
  <si>
    <t>DISTRIBUIDORA DE ALIMENTOS NAVIRAI LTDA</t>
  </si>
  <si>
    <t>142487</t>
  </si>
  <si>
    <t>142234</t>
  </si>
  <si>
    <t>G E COMERCIO DE DOCES LTDA - EPP</t>
  </si>
  <si>
    <t>142494</t>
  </si>
  <si>
    <t>G E H COMERCIAL DE ALIMENTOS</t>
  </si>
  <si>
    <t>142735</t>
  </si>
  <si>
    <t>221134</t>
  </si>
  <si>
    <t>GJ FESTAS LTDA</t>
  </si>
  <si>
    <t>142495</t>
  </si>
  <si>
    <t>I PIRES NUNES</t>
  </si>
  <si>
    <t>142197</t>
  </si>
  <si>
    <t>IWTON CARLOS DIDOLICH</t>
  </si>
  <si>
    <t>221219</t>
  </si>
  <si>
    <t>JOSE JOVENTINO DOS SANTOS SUPERMERCADO LTDA</t>
  </si>
  <si>
    <t>142518</t>
  </si>
  <si>
    <t>L. A. R. C. GUARE &amp; CIA LTDA</t>
  </si>
  <si>
    <t>142492</t>
  </si>
  <si>
    <t>LOJAO POKO PRECO COM.DE ARTIGOS DE USO PES. E DOMESTICO LTDA</t>
  </si>
  <si>
    <t>142522</t>
  </si>
  <si>
    <t>142230</t>
  </si>
  <si>
    <t>M F GOMES E CIA LTDA</t>
  </si>
  <si>
    <t>142530</t>
  </si>
  <si>
    <t>MP VERGUEIRO MINIMERCADO LTDA</t>
  </si>
  <si>
    <t>142496</t>
  </si>
  <si>
    <t>142762</t>
  </si>
  <si>
    <t>NAOKO ISHIKAWA CARVALHO-ME</t>
  </si>
  <si>
    <t>142198</t>
  </si>
  <si>
    <t>PATOLLO VARIEDADES EIRELI</t>
  </si>
  <si>
    <t>142500</t>
  </si>
  <si>
    <t>PERUS COMERCIO DE UTILIDADES DOMESTICAS LTDA</t>
  </si>
  <si>
    <t>142498</t>
  </si>
  <si>
    <t>142203</t>
  </si>
  <si>
    <t>R. ALBERTI E CIA LTDA</t>
  </si>
  <si>
    <t>142528</t>
  </si>
  <si>
    <t>RAILTO MEDEIROS DOS SANTOS</t>
  </si>
  <si>
    <t>142223</t>
  </si>
  <si>
    <t>RAMO - INDUSTRIA E COMERCIO DE ALIMENTOS LTDA</t>
  </si>
  <si>
    <t>142207</t>
  </si>
  <si>
    <t>REAL DISTRIBUIDORA E COMERCIO DE ALIMENTOS LTDA</t>
  </si>
  <si>
    <t>142200</t>
  </si>
  <si>
    <t>REINALDO DO REAL CENTRO EIRELI - ME</t>
  </si>
  <si>
    <t>142499</t>
  </si>
  <si>
    <t>RICARDO NORIYOSHI MAEDA CONVENIENCIA - ME</t>
  </si>
  <si>
    <t>142377</t>
  </si>
  <si>
    <t>SALETE GIACOMELLI DEUCHER E CIA LTDA</t>
  </si>
  <si>
    <t>142379</t>
  </si>
  <si>
    <t>SIMON COMERCIAL ATACADISTA LTDA</t>
  </si>
  <si>
    <t>220530</t>
  </si>
  <si>
    <t>SINOSPAO PADARIA E CONFEITARIA LTDA</t>
  </si>
  <si>
    <t>221568</t>
  </si>
  <si>
    <t>SUPERMERCADO CAMPOS SA LTDA</t>
  </si>
  <si>
    <t>142201</t>
  </si>
  <si>
    <t>142765</t>
  </si>
  <si>
    <t>TATSCH &amp; TATSCH COMERCIO DE ALIMENTOS LTDA</t>
  </si>
  <si>
    <t>142531</t>
  </si>
  <si>
    <t>TEM DE TUDO COMERCIO DE VARIEDADES SP LTDA</t>
  </si>
  <si>
    <t>142513</t>
  </si>
  <si>
    <t>VALENTE SUPERMERCADO LTDA</t>
  </si>
  <si>
    <t>142218</t>
  </si>
  <si>
    <t>WEINERT E CIA LTDA</t>
  </si>
  <si>
    <t>R220987</t>
  </si>
  <si>
    <t>R220988</t>
  </si>
  <si>
    <t>R220989</t>
  </si>
  <si>
    <t>Z. DE F. MACHADO ROSSETTO DOCES</t>
  </si>
  <si>
    <t>142749</t>
  </si>
  <si>
    <t>142575</t>
  </si>
  <si>
    <t>BIG DOCE COMERCIO VAREJISTA DE BOMBONIER E LDA ME</t>
  </si>
  <si>
    <t>142771</t>
  </si>
  <si>
    <t>221581</t>
  </si>
  <si>
    <t>CARRARO DISTRIBUIDORA DE ALIMENTOS LTDA</t>
  </si>
  <si>
    <t>142776</t>
  </si>
  <si>
    <t>142439</t>
  </si>
  <si>
    <t>CLEONICE DALLA BARBA DUNS - EMBALAGENS</t>
  </si>
  <si>
    <t>142037</t>
  </si>
  <si>
    <t>COAFA SUPERMERCADO</t>
  </si>
  <si>
    <t>221254</t>
  </si>
  <si>
    <t>COMERCIAL CHIABAI LTDA</t>
  </si>
  <si>
    <t>142587</t>
  </si>
  <si>
    <t>COMERCIAL PLANETA QUINZE LTDA ME</t>
  </si>
  <si>
    <t>142423</t>
  </si>
  <si>
    <t>COMERCIO DE DOCES APARECIDA LTDA</t>
  </si>
  <si>
    <t>142571</t>
  </si>
  <si>
    <t>COMERCIO E REPRESENTACOES SAO GOTARDO LTDA. ME</t>
  </si>
  <si>
    <t>141974</t>
  </si>
  <si>
    <t>142544</t>
  </si>
  <si>
    <t>COOPERATIVA TRITICOLA SANTA ROSA LTDA.</t>
  </si>
  <si>
    <t>221271</t>
  </si>
  <si>
    <t>COOPERATIVA TRITICOLA SARANDI LTDA.</t>
  </si>
  <si>
    <t>221578</t>
  </si>
  <si>
    <t>142550</t>
  </si>
  <si>
    <t>221574</t>
  </si>
  <si>
    <t>142582</t>
  </si>
  <si>
    <t>DAVI PACHECO LEAL</t>
  </si>
  <si>
    <t>221593</t>
  </si>
  <si>
    <t>142827</t>
  </si>
  <si>
    <t>DIN DIN MAX ALIMENTOS LTDA - ME</t>
  </si>
  <si>
    <t>142570</t>
  </si>
  <si>
    <t>221257</t>
  </si>
  <si>
    <t>DOCE MANIA DISTRIBUIDORA DE ALIMENTOS LTDA</t>
  </si>
  <si>
    <t>142241</t>
  </si>
  <si>
    <t>221585</t>
  </si>
  <si>
    <t>142565</t>
  </si>
  <si>
    <t>EUGENIO FABIANO ROSSO - ME</t>
  </si>
  <si>
    <t>142806</t>
  </si>
  <si>
    <t>FARMA BAIRRO SAO PEDRO LTDA</t>
  </si>
  <si>
    <t>142589</t>
  </si>
  <si>
    <t>FM COMERCIO DE UTILIDADES DOMESTICAS LTDA - ME</t>
  </si>
  <si>
    <t>142566</t>
  </si>
  <si>
    <t>FORTALEZA EMBALAGENS LTDA</t>
  </si>
  <si>
    <t>142534</t>
  </si>
  <si>
    <t>G A M COMERCIO DE ALIMENTOS LTDA</t>
  </si>
  <si>
    <t>142580</t>
  </si>
  <si>
    <t>GFG COM. ALIMENTÍCIOS LTDA.</t>
  </si>
  <si>
    <t>142792</t>
  </si>
  <si>
    <t>IRMAOS REAL LTDA</t>
  </si>
  <si>
    <t>142577</t>
  </si>
  <si>
    <t>142583</t>
  </si>
  <si>
    <t>JACOMINI  COMERCIO ALIMENTOS NATURAIS LTDA</t>
  </si>
  <si>
    <t>142773</t>
  </si>
  <si>
    <t>JC- COMERCIO ATACADISTA DE ALIMENTOS LTDA</t>
  </si>
  <si>
    <t>142801</t>
  </si>
  <si>
    <t>221269</t>
  </si>
  <si>
    <t>LP EMBALAGENS LIMA LTDA</t>
  </si>
  <si>
    <t>142591</t>
  </si>
  <si>
    <t>M.E UTILIDADES DOMESTICAS LTDA</t>
  </si>
  <si>
    <t>142824</t>
  </si>
  <si>
    <t>MARCIO FERREIRA DE MOURA UTILIDADES - ME</t>
  </si>
  <si>
    <t>142825</t>
  </si>
  <si>
    <t>MARCOS BULLE DA COSTA</t>
  </si>
  <si>
    <t>142548</t>
  </si>
  <si>
    <t>MB SUPERMERCADO LTDA</t>
  </si>
  <si>
    <t>142568</t>
  </si>
  <si>
    <t>MEGA MAIS DISTRIBUIDORA LTDA</t>
  </si>
  <si>
    <t>142557</t>
  </si>
  <si>
    <t>MERCADO DOS DOCES LTDA ME</t>
  </si>
  <si>
    <t>142545</t>
  </si>
  <si>
    <t>MUNDO DOCE LTDA</t>
  </si>
  <si>
    <t>142554</t>
  </si>
  <si>
    <t>PAPELAN LTDA</t>
  </si>
  <si>
    <t>142261</t>
  </si>
  <si>
    <t>PEDRO EDES PECANHA ESPINOSA</t>
  </si>
  <si>
    <t>142536</t>
  </si>
  <si>
    <t>142560</t>
  </si>
  <si>
    <t>142815</t>
  </si>
  <si>
    <t>PONTUAL INDAIA COMERCIO DE ALIMENTOS LTDA</t>
  </si>
  <si>
    <t>142804</t>
  </si>
  <si>
    <t>REAL ORIENTE VARIEDADES LTDA</t>
  </si>
  <si>
    <t>142567</t>
  </si>
  <si>
    <t>221253</t>
  </si>
  <si>
    <t>ROCON EMBALAGENS LTDA</t>
  </si>
  <si>
    <t>142576</t>
  </si>
  <si>
    <t>S SCHULZ SUPERMERCADO</t>
  </si>
  <si>
    <t>142581</t>
  </si>
  <si>
    <t>SEBASTIAO MARIO GIRALDELLI E CIA LTDA - EPP</t>
  </si>
  <si>
    <t>142590</t>
  </si>
  <si>
    <t>SUPERMERCADO BERTOLETTI LTDA</t>
  </si>
  <si>
    <t>142786</t>
  </si>
  <si>
    <t>SUPERMERCADO MARTELLI LTDA</t>
  </si>
  <si>
    <t>142569</t>
  </si>
  <si>
    <t>SUPERMERCADO SANTA MARTA LTDA</t>
  </si>
  <si>
    <t>142256</t>
  </si>
  <si>
    <t>THAYELLE ALVES HONORATO DE OLIVEIRA</t>
  </si>
  <si>
    <t>142782</t>
  </si>
  <si>
    <t>VAREJO TIMBAUVA LTDA</t>
  </si>
  <si>
    <t>142553</t>
  </si>
  <si>
    <t>VARGEM GRANDE UTILIADADES DOMESTICAS LTDA</t>
  </si>
  <si>
    <t>142584</t>
  </si>
  <si>
    <t>Z DOCES ATACADO E VAREJO LTDA</t>
  </si>
  <si>
    <t>142559</t>
  </si>
  <si>
    <t>221415</t>
  </si>
  <si>
    <t>BENFICA SUPERMERCADOS LTDA</t>
  </si>
  <si>
    <t>142617</t>
  </si>
  <si>
    <t>BENTO G SUPERMERCADO LTDA</t>
  </si>
  <si>
    <t>142605</t>
  </si>
  <si>
    <t>BIG ZITOS ATACADISTA DE ALIMENTOS, BEBIDAS E EMBAL. LTDA - E</t>
  </si>
  <si>
    <t>142619</t>
  </si>
  <si>
    <t>CASA DE BISCOITOS VILA MARIANA LTDA</t>
  </si>
  <si>
    <t>142638</t>
  </si>
  <si>
    <t>COMERCIO DE ALIMENTOS GOIANIA LTDA</t>
  </si>
  <si>
    <t>142633</t>
  </si>
  <si>
    <t>142595</t>
  </si>
  <si>
    <t>COOPERATIVA AGRICOLA MISTA NOVA PALMA LTDA</t>
  </si>
  <si>
    <t>142630</t>
  </si>
  <si>
    <t>221316</t>
  </si>
  <si>
    <t>DAL BOSCO COMERCIO DE BAZAR LTDA</t>
  </si>
  <si>
    <t>142602</t>
  </si>
  <si>
    <t>DALLA VALLE REAL COM E ATAC DE UTENS DOM LTDA</t>
  </si>
  <si>
    <t>142610</t>
  </si>
  <si>
    <t>DELIZE DOCES E PRESENTES LTDA</t>
  </si>
  <si>
    <t>142621</t>
  </si>
  <si>
    <t>DIMI DISTRIBUIDORA DE PRODUTOS ALIM LTDA ME</t>
  </si>
  <si>
    <t>142600</t>
  </si>
  <si>
    <t>DOCE MANIA ALIMENTOS LTDA</t>
  </si>
  <si>
    <t>142300</t>
  </si>
  <si>
    <t>FRANCISQUINHO SCALCON</t>
  </si>
  <si>
    <t>142309</t>
  </si>
  <si>
    <t>GILBAL COMERCIO DE BIJUTERIAS LTDA - ME</t>
  </si>
  <si>
    <t>142628</t>
  </si>
  <si>
    <t>GOMES IRMAOS LTDA</t>
  </si>
  <si>
    <t>142340</t>
  </si>
  <si>
    <t>142298</t>
  </si>
  <si>
    <t>GUDERO COMERCIO DE DOCES LTDA - ME</t>
  </si>
  <si>
    <t>142618</t>
  </si>
  <si>
    <t>221326</t>
  </si>
  <si>
    <t>J GUIMARAES DE SOUSA</t>
  </si>
  <si>
    <t>142339</t>
  </si>
  <si>
    <t>J.PINHEIRO DA SILVA COMERCIO</t>
  </si>
  <si>
    <t>142292</t>
  </si>
  <si>
    <t>JF BOMBONIERE DE JACOBINA LTDA</t>
  </si>
  <si>
    <t>142344</t>
  </si>
  <si>
    <t>LA ZUCKER ATCADO E DISTRIBUICAO LTDA</t>
  </si>
  <si>
    <t>142644</t>
  </si>
  <si>
    <t>142291</t>
  </si>
  <si>
    <t>MALAGUETA LANCHONETE EIRELI</t>
  </si>
  <si>
    <t>142313</t>
  </si>
  <si>
    <t>MARQUEZA - COMERCIO DE DOCES E EMBALAGENS LTDA - ME</t>
  </si>
  <si>
    <t>142643</t>
  </si>
  <si>
    <t>MEM DOCES LTDA</t>
  </si>
  <si>
    <t>142606</t>
  </si>
  <si>
    <t>142598</t>
  </si>
  <si>
    <t>142615</t>
  </si>
  <si>
    <t>MS COMERCIO DE UTILIDADES LTDA</t>
  </si>
  <si>
    <t>142597</t>
  </si>
  <si>
    <t>142622</t>
  </si>
  <si>
    <t>REVEDINI COMERCIO E EXPORTACAO LTDA</t>
  </si>
  <si>
    <t>142637</t>
  </si>
  <si>
    <t>142596</t>
  </si>
  <si>
    <t>SURPRESA ALIMENTOS LTDA</t>
  </si>
  <si>
    <t>221402</t>
  </si>
  <si>
    <t>142611</t>
  </si>
  <si>
    <t>TEIXEIRA E DRI LTDA</t>
  </si>
  <si>
    <t>142603</t>
  </si>
  <si>
    <t>THAMYRES RENATA DE MEDEIROS</t>
  </si>
  <si>
    <t>142345</t>
  </si>
  <si>
    <t>221361</t>
  </si>
  <si>
    <t>VINICIUS SANTOS FEITOSA</t>
  </si>
  <si>
    <t>142338</t>
  </si>
  <si>
    <t>VM RESTAURANTE E LANCHONETE LTDA</t>
  </si>
  <si>
    <t>142613</t>
  </si>
  <si>
    <t>WILMA BASSEGIO</t>
  </si>
  <si>
    <t>142614</t>
  </si>
  <si>
    <t>63.599.057 RAFAELI COUTINHO FRANCISCO NASCIMENTO</t>
  </si>
  <si>
    <t>142415</t>
  </si>
  <si>
    <t>221506</t>
  </si>
  <si>
    <t>BIBI COMERCIAL DE PRODUTOS ALIMENTICIOS LTDA</t>
  </si>
  <si>
    <t>142676</t>
  </si>
  <si>
    <t>BRESSAN COMERCIO DE DOCES LTDA - ME</t>
  </si>
  <si>
    <t>142683</t>
  </si>
  <si>
    <t>CARLA PORTOLAN RIBEIRO COMERCIO DE PRODUTOS ALIMENTICIOS</t>
  </si>
  <si>
    <t>221481</t>
  </si>
  <si>
    <t>CB CINQUENTENARIO COMERCIO DE DOCES LTDA</t>
  </si>
  <si>
    <t>142401</t>
  </si>
  <si>
    <t>142381</t>
  </si>
  <si>
    <t>142673</t>
  </si>
  <si>
    <t>142668</t>
  </si>
  <si>
    <t>221423</t>
  </si>
  <si>
    <t>EVA CLEONI LAMAISON</t>
  </si>
  <si>
    <t>142661</t>
  </si>
  <si>
    <t>FATIMA DO REAL - PRESENTES E UTILIDADES PARA O LAR LTDA</t>
  </si>
  <si>
    <t>142688</t>
  </si>
  <si>
    <t>FATIMA PRESENTES E UTILIDADES PARA O LAR LTDA -ME</t>
  </si>
  <si>
    <t>142691</t>
  </si>
  <si>
    <t>FEDRIGO E BERTAN LTDA</t>
  </si>
  <si>
    <t>142671</t>
  </si>
  <si>
    <t>FESTA MIX COMERCIO LTDA</t>
  </si>
  <si>
    <t>142659</t>
  </si>
  <si>
    <t>142677</t>
  </si>
  <si>
    <t>142678</t>
  </si>
  <si>
    <t>GAMBA CONEXOES COMERCIO ATACADISTA DE ALIMENTOS LTDA</t>
  </si>
  <si>
    <t>142654</t>
  </si>
  <si>
    <t>221438</t>
  </si>
  <si>
    <t>H L FORTALEZA LTDA</t>
  </si>
  <si>
    <t>142390</t>
  </si>
  <si>
    <t>221418</t>
  </si>
  <si>
    <t>J A TEIXEIRA VETERINARIA LTDA.</t>
  </si>
  <si>
    <t>221482</t>
  </si>
  <si>
    <t>221483</t>
  </si>
  <si>
    <t>142398</t>
  </si>
  <si>
    <t>221441</t>
  </si>
  <si>
    <t>KEIKA MERCADO E COMERCIO DE UTILIDADES PARA O LAR LTDA</t>
  </si>
  <si>
    <t>142687</t>
  </si>
  <si>
    <t>KWC UTILIDADES LTDA</t>
  </si>
  <si>
    <t>142662</t>
  </si>
  <si>
    <t>221424</t>
  </si>
  <si>
    <t>142680</t>
  </si>
  <si>
    <t>M. L. PINHEIRO UTILIDADES - ME</t>
  </si>
  <si>
    <t>142686</t>
  </si>
  <si>
    <t>MAINARDI SUPERMERCADOS LTDA</t>
  </si>
  <si>
    <t>221476</t>
  </si>
  <si>
    <t>MAPA COMERCIO DE UTILIDADES DOMESTICAS LTDA</t>
  </si>
  <si>
    <t>142384</t>
  </si>
  <si>
    <t>MERCADAO DAS BALAS LTDA</t>
  </si>
  <si>
    <t>142376</t>
  </si>
  <si>
    <t>MERCADO GETULIO LTDA</t>
  </si>
  <si>
    <t>142672</t>
  </si>
  <si>
    <t>PONTO DA GULA MAFRA LTDA</t>
  </si>
  <si>
    <t>142579</t>
  </si>
  <si>
    <t>PORTO 2023 COMERCIO DE DOCES LTDA</t>
  </si>
  <si>
    <t>142400</t>
  </si>
  <si>
    <t>PORTO 2024 COMERCIO DE DOCES LTDA</t>
  </si>
  <si>
    <t>142399</t>
  </si>
  <si>
    <t>R. S. BRAGAS 130 LTDA</t>
  </si>
  <si>
    <t>142658</t>
  </si>
  <si>
    <t>REDE SUPER LTDA</t>
  </si>
  <si>
    <t>142383</t>
  </si>
  <si>
    <t>ROSSO E TRICHES DOCERIA LTDA - ME</t>
  </si>
  <si>
    <t>142563</t>
  </si>
  <si>
    <t>SUPERMERCADO PIRES LTDA</t>
  </si>
  <si>
    <t>221486</t>
  </si>
  <si>
    <t>221420</t>
  </si>
  <si>
    <t>142674</t>
  </si>
  <si>
    <t>221494</t>
  </si>
  <si>
    <t>VINICIUS LOPES ALVES - ME</t>
  </si>
  <si>
    <t>142682</t>
  </si>
  <si>
    <t>A TOMASI E CIA LTDA</t>
  </si>
  <si>
    <t>142481</t>
  </si>
  <si>
    <t>A. DA CRUZ FILHO VARIEDADES</t>
  </si>
  <si>
    <t>142706</t>
  </si>
  <si>
    <t>ALOISIO TIECKER DA SILVA</t>
  </si>
  <si>
    <t>221508</t>
  </si>
  <si>
    <t>ARTHUR LOPES ALVES</t>
  </si>
  <si>
    <t>142694</t>
  </si>
  <si>
    <t>BRASAO SUPERMERCADOS S/A</t>
  </si>
  <si>
    <t>142620</t>
  </si>
  <si>
    <t>CANAA COMERCIO DE EMBALAGENS LTDA</t>
  </si>
  <si>
    <t>142471</t>
  </si>
  <si>
    <t>CELGUIA.COM LTDA</t>
  </si>
  <si>
    <t>142626</t>
  </si>
  <si>
    <t>COM DE BIJUTERIAS MUSSATO LTDA</t>
  </si>
  <si>
    <t>142715</t>
  </si>
  <si>
    <t>142716</t>
  </si>
  <si>
    <t>142717</t>
  </si>
  <si>
    <t>COMERCIAL DAS FESTAS LTDA</t>
  </si>
  <si>
    <t>142474</t>
  </si>
  <si>
    <t>COOPERATIVA REGIONAL ITAIPU</t>
  </si>
  <si>
    <t>142647</t>
  </si>
  <si>
    <t>DELAMAR RICARDO BIANCHI ME</t>
  </si>
  <si>
    <t>142642</t>
  </si>
  <si>
    <t>DISNATIA SUPERMERCADO</t>
  </si>
  <si>
    <t>142710</t>
  </si>
  <si>
    <t>F S X COMERCIO DE UTILIDADES DOMESTICAS LTDA</t>
  </si>
  <si>
    <t>142709</t>
  </si>
  <si>
    <t>FAGNER SILAS MENEGUIM DE OLIVEIRA</t>
  </si>
  <si>
    <t>142476</t>
  </si>
  <si>
    <t>FB DAVILA LTDA</t>
  </si>
  <si>
    <t>142711</t>
  </si>
  <si>
    <t>FBS UTILIDADES LTDA</t>
  </si>
  <si>
    <t>142692</t>
  </si>
  <si>
    <t>GABRIEL DOS SANTOS ALIMENTICIOS LTDA - ME</t>
  </si>
  <si>
    <t>142721</t>
  </si>
  <si>
    <t>142158</t>
  </si>
  <si>
    <t>JOSE ILDEU PEREIRA COSTA</t>
  </si>
  <si>
    <t>142698</t>
  </si>
  <si>
    <t>LANCHERIA E CONFEITARIA JOYCE LTDA</t>
  </si>
  <si>
    <t>142713</t>
  </si>
  <si>
    <t>LOPES ALVES E ALVES PRESENTES E UTILIDADES PARA O LAR LTDA</t>
  </si>
  <si>
    <t>142695</t>
  </si>
  <si>
    <t>LUCILA K PEREIRA</t>
  </si>
  <si>
    <t>142719</t>
  </si>
  <si>
    <t>M A SUPERMERCADOS LTDA EPP</t>
  </si>
  <si>
    <t>142449</t>
  </si>
  <si>
    <t>MAGAZINE BELLAMARI LTDA - ME</t>
  </si>
  <si>
    <t>142693</t>
  </si>
  <si>
    <t>MAIS VIDA BENEFICIAMENTO DE GENEROS ALIMENTICIOS LTDA.</t>
  </si>
  <si>
    <t>221543</t>
  </si>
  <si>
    <t>221544</t>
  </si>
  <si>
    <t>MAJOVI COM DE BIJUTERIAS LTDA</t>
  </si>
  <si>
    <t>142714</t>
  </si>
  <si>
    <t>MARLENE B DE F NASCIMENTO COMERCIO DE ALIMENTOS GERAL ME</t>
  </si>
  <si>
    <t>142475</t>
  </si>
  <si>
    <t>MERCADO POKO PREÇO FABIANE ZOHLER LTDA</t>
  </si>
  <si>
    <t>221519</t>
  </si>
  <si>
    <t>MERCADO VITORIA REGIA LTDA</t>
  </si>
  <si>
    <t>142707</t>
  </si>
  <si>
    <t>PARCERIA DISTRIBUIDORA LTDA</t>
  </si>
  <si>
    <t>142428</t>
  </si>
  <si>
    <t>RESTAURANTE PARADOR 8 LTDA</t>
  </si>
  <si>
    <t>221527</t>
  </si>
  <si>
    <t>ROBERTO DISTRIBUIDORA LTDA</t>
  </si>
  <si>
    <t>142700</t>
  </si>
  <si>
    <t>TABACARIA DE MARQUI LTDA</t>
  </si>
  <si>
    <t>142448</t>
  </si>
  <si>
    <t>221515</t>
  </si>
  <si>
    <t>A C B RAIMUNDO</t>
  </si>
  <si>
    <t>142508</t>
  </si>
  <si>
    <t>ANDREIA CRISTINA DE MATOS</t>
  </si>
  <si>
    <t>142759</t>
  </si>
  <si>
    <t>ANTONIO ROBERTO DOS SANTOS NOGUEIRA</t>
  </si>
  <si>
    <t>142512</t>
  </si>
  <si>
    <t>ATOS PRODUTOS E SERVIÇOS LTDA</t>
  </si>
  <si>
    <t>142489</t>
  </si>
  <si>
    <t>BASSAM SHAFE SULEIMAN SADI</t>
  </si>
  <si>
    <t>142758</t>
  </si>
  <si>
    <t>221545</t>
  </si>
  <si>
    <t>221546</t>
  </si>
  <si>
    <t>221573</t>
  </si>
  <si>
    <t>CASA CHINA COLORADO LTDA</t>
  </si>
  <si>
    <t>142756</t>
  </si>
  <si>
    <t>COMERCIAL AKTEM LTDA</t>
  </si>
  <si>
    <t>142754</t>
  </si>
  <si>
    <t>COMERCIAL AVENIDA E MADENOVO LTDA</t>
  </si>
  <si>
    <t>221550</t>
  </si>
  <si>
    <t>COOPERATIVA AGRICOLA MISTA SAO CRISTOVAO LTDA</t>
  </si>
  <si>
    <t>142768</t>
  </si>
  <si>
    <t>142734</t>
  </si>
  <si>
    <t>DALLA VALLE REAL - COMERCIO DE UTENSILIOS DOMESTICOS LTDA</t>
  </si>
  <si>
    <t>142667</t>
  </si>
  <si>
    <t>DOCEMANIA DISTRIBUIDORA DE DOCES LTDA</t>
  </si>
  <si>
    <t>142755</t>
  </si>
  <si>
    <t>DOCES DOCELANDIA E VAZ LTDA</t>
  </si>
  <si>
    <t>142740</t>
  </si>
  <si>
    <t>F.  ALVES DA SILVA- ME</t>
  </si>
  <si>
    <t>142510</t>
  </si>
  <si>
    <t>FABIO VENANCIO DE SOUZA SANTOS</t>
  </si>
  <si>
    <t>142488</t>
  </si>
  <si>
    <t>FERREIRA FARMACIA DO POVO LTDA</t>
  </si>
  <si>
    <t>142527</t>
  </si>
  <si>
    <t>FRACYN COMERCIO E DISTRIBUIDORA DE DOCES LTDA</t>
  </si>
  <si>
    <t>142665</t>
  </si>
  <si>
    <t>142486</t>
  </si>
  <si>
    <t>INCERTI COMERCIO DE ALIMENTOS LTDA</t>
  </si>
  <si>
    <t>142509</t>
  </si>
  <si>
    <t>ISA MINI MERCADO LTDA</t>
  </si>
  <si>
    <t>142761</t>
  </si>
  <si>
    <t>J C A DA COSTA</t>
  </si>
  <si>
    <t>142750</t>
  </si>
  <si>
    <t>J V C ATACADO E DISTRIBUIDOR DE ALIMENTOS LTDA</t>
  </si>
  <si>
    <t>142086</t>
  </si>
  <si>
    <t>142482</t>
  </si>
  <si>
    <t>LALO COM DE DOCES LTDA</t>
  </si>
  <si>
    <t>142484</t>
  </si>
  <si>
    <t>221226</t>
  </si>
  <si>
    <t>M A UTILIDADES DOMESTICAS LTDA</t>
  </si>
  <si>
    <t>142743</t>
  </si>
  <si>
    <t>M V UTILIDADES DOMESTICAS LTDA</t>
  </si>
  <si>
    <t>142745</t>
  </si>
  <si>
    <t>142767</t>
  </si>
  <si>
    <t>MAZARO ROZETTI DOCES - COMERCIAL DE ALIMENTOS LTDA</t>
  </si>
  <si>
    <t>142738</t>
  </si>
  <si>
    <t>MEGA DOCES DISTRIBUIDORA LTDA - ME</t>
  </si>
  <si>
    <t>142744</t>
  </si>
  <si>
    <t>142763</t>
  </si>
  <si>
    <t>N J TORRES EIRELI</t>
  </si>
  <si>
    <t>142485</t>
  </si>
  <si>
    <t>NOEL PACA DE LIMA DOCES</t>
  </si>
  <si>
    <t>142760</t>
  </si>
  <si>
    <t>PACIFICO SUPERMERCADO E COMERCIAL ATACADISTA EIRELI</t>
  </si>
  <si>
    <t>142757</t>
  </si>
  <si>
    <t>PAULO RICARDO DE SOUZA XAVIER 16088505796</t>
  </si>
  <si>
    <t>142746</t>
  </si>
  <si>
    <t>221552</t>
  </si>
  <si>
    <t>221547</t>
  </si>
  <si>
    <t>REI DOS DOCES COMERCIO DE DOCES E CEREAIS LTDA</t>
  </si>
  <si>
    <t>142736</t>
  </si>
  <si>
    <t>221553</t>
  </si>
  <si>
    <t>SUPERMERCADO DACO LTDA</t>
  </si>
  <si>
    <t>142521</t>
  </si>
  <si>
    <t>SUPERMERCADO MILANOSUL LTDA</t>
  </si>
  <si>
    <t>142747</t>
  </si>
  <si>
    <t>142764</t>
  </si>
  <si>
    <t>142730</t>
  </si>
  <si>
    <t>142731</t>
  </si>
  <si>
    <t>VIVERDE PERFUMARIA LTDA</t>
  </si>
  <si>
    <t>142742</t>
  </si>
  <si>
    <t>04920392 ADRIAN JANSER RISCADO FRANCO</t>
  </si>
  <si>
    <t>142837</t>
  </si>
  <si>
    <t>A P DOS SANTOS JUNIOR LTDA</t>
  </si>
  <si>
    <t>142798</t>
  </si>
  <si>
    <t>ABEL ARAUJO DE SOUZA 00158204085</t>
  </si>
  <si>
    <t>142791</t>
  </si>
  <si>
    <t>ADVAL DUARTE E CIA LTDA</t>
  </si>
  <si>
    <t>221591</t>
  </si>
  <si>
    <t>ALO EMBALAGENS LTDA</t>
  </si>
  <si>
    <t>142811</t>
  </si>
  <si>
    <t>142814</t>
  </si>
  <si>
    <t>AMARO S. VARGAS E CIA LTDA</t>
  </si>
  <si>
    <t>142805</t>
  </si>
  <si>
    <t>142794</t>
  </si>
  <si>
    <t>BUZIM DISTRIBUIDORA DE DOCES LTDA - ME</t>
  </si>
  <si>
    <t>142836</t>
  </si>
  <si>
    <t>CANDIX DISTRIBUIDORA DE ALIMENTOS LTDA</t>
  </si>
  <si>
    <t>142541</t>
  </si>
  <si>
    <t>142803</t>
  </si>
  <si>
    <t>CASA DAS PANELAS LTDA</t>
  </si>
  <si>
    <t>142774</t>
  </si>
  <si>
    <t>CENTRAL EXPRESSO COMERCIO E DIST. DE DOCES E BEBIDAS LTDA</t>
  </si>
  <si>
    <t>142835</t>
  </si>
  <si>
    <t>CLAUDIA FABIANE SILVA DA COSTA LTDA</t>
  </si>
  <si>
    <t>142778</t>
  </si>
  <si>
    <t>CLEIDI APARECIDA CHEM</t>
  </si>
  <si>
    <t>142558</t>
  </si>
  <si>
    <t>COOPERATIVA AGROPECUARIA JULIO DE CASTILHOS COTRIJUC</t>
  </si>
  <si>
    <t>221580</t>
  </si>
  <si>
    <t>DALVA LUCAS</t>
  </si>
  <si>
    <t>221589</t>
  </si>
  <si>
    <t>DISCAPIL DISTRIBUIDORA CAXIENSE DE PILHAS LTDA</t>
  </si>
  <si>
    <t>142117</t>
  </si>
  <si>
    <t>142809</t>
  </si>
  <si>
    <t>142810</t>
  </si>
  <si>
    <t>142820</t>
  </si>
  <si>
    <t>DOCES VINNI COMERCIO DE ALIMENTOS LTDA EPP</t>
  </si>
  <si>
    <t>142819</t>
  </si>
  <si>
    <t>142787</t>
  </si>
  <si>
    <t>FABIO SILVA AZEVEDO - EPP</t>
  </si>
  <si>
    <t>141738</t>
  </si>
  <si>
    <t>FLAVIANE DA SILVA MENDONCA</t>
  </si>
  <si>
    <t>142542</t>
  </si>
  <si>
    <t>HARMONIA DO SABOR LTDA</t>
  </si>
  <si>
    <t>221600</t>
  </si>
  <si>
    <t>221609</t>
  </si>
  <si>
    <t>HUANG E WU MERCEARIA LTDA</t>
  </si>
  <si>
    <t>142800</t>
  </si>
  <si>
    <t>IGNES PIRAN BUSETTO</t>
  </si>
  <si>
    <t>142574</t>
  </si>
  <si>
    <t>JOAO CARLOS DOLBERTH DE ALMEIDA DOCES E EMBALAGENS LTDA</t>
  </si>
  <si>
    <t>142781</t>
  </si>
  <si>
    <t>JOSE MENESES COSTA E CIA LTDA</t>
  </si>
  <si>
    <t>142586</t>
  </si>
  <si>
    <t>142793</t>
  </si>
  <si>
    <t>LAERTE RODRIGUES DOS SANTOS</t>
  </si>
  <si>
    <t>142790</t>
  </si>
  <si>
    <t>142796</t>
  </si>
  <si>
    <t>LDB SILVA COMERCIAL LTDA - ME</t>
  </si>
  <si>
    <t>142829</t>
  </si>
  <si>
    <t>M B CIPRIANO</t>
  </si>
  <si>
    <t>142578</t>
  </si>
  <si>
    <t>M. T. S. DE OLIVEIRA - ME</t>
  </si>
  <si>
    <t>142828</t>
  </si>
  <si>
    <t>MANU'S DISTRIBUIDORA LTDA</t>
  </si>
  <si>
    <t>142795</t>
  </si>
  <si>
    <t>MARCIA DAIANE SIEFERT SCHEUTZOW</t>
  </si>
  <si>
    <t>142833</t>
  </si>
  <si>
    <t>MATSUBARA COMERCIO DE UTILIDADES DOMESTICAS LTDA - ME</t>
  </si>
  <si>
    <t>142831</t>
  </si>
  <si>
    <t>MERCADO BORDIN LTDA.</t>
  </si>
  <si>
    <t>142777</t>
  </si>
  <si>
    <t>142816</t>
  </si>
  <si>
    <t>ROSELEI FRANCK THIES</t>
  </si>
  <si>
    <t>R220893</t>
  </si>
  <si>
    <t>142822</t>
  </si>
  <si>
    <t>SRF COMERCIO ALIMENTICIO LTDA</t>
  </si>
  <si>
    <t>142779</t>
  </si>
  <si>
    <t>SUPERMERCADO CARLAU LTDA</t>
  </si>
  <si>
    <t>142817</t>
  </si>
  <si>
    <t>142802</t>
  </si>
  <si>
    <t>142832</t>
  </si>
  <si>
    <t>TOPFOX COMERCIO ATACADISTA E VAREJISTA DE PRODUTOS ALIM LTDA</t>
  </si>
  <si>
    <t>142841</t>
  </si>
  <si>
    <t>142775</t>
  </si>
  <si>
    <t>WASEM E NETZLAFF LTDA</t>
  </si>
  <si>
    <t>142812</t>
  </si>
  <si>
    <t>WEI MING TAN</t>
  </si>
  <si>
    <t>142797</t>
  </si>
  <si>
    <t>WILSON DOS S. SILVA E CIA LTDA</t>
  </si>
  <si>
    <t>142808</t>
  </si>
  <si>
    <t>142635</t>
  </si>
  <si>
    <t>BOMBONIERE BOA SORTE LTDA</t>
  </si>
  <si>
    <t>142645</t>
  </si>
  <si>
    <t>COMERCIAL DE SECOS E MOLHADOS DAL POZZO LTDA</t>
  </si>
  <si>
    <t>142634</t>
  </si>
  <si>
    <t>142625</t>
  </si>
  <si>
    <t>FABRICIO OLIVEIRA TEIXEIRA</t>
  </si>
  <si>
    <t>142624</t>
  </si>
  <si>
    <t>J L RESTAURANTE LTDA</t>
  </si>
  <si>
    <t>142604</t>
  </si>
  <si>
    <t>142593</t>
  </si>
  <si>
    <t>PAULO ALVES DOS SANTOS DE RIBEIRA DO POMBAL</t>
  </si>
  <si>
    <t>142632</t>
  </si>
  <si>
    <t>S CASTROLENE ALVES</t>
  </si>
  <si>
    <t>142646</t>
  </si>
  <si>
    <t>142641</t>
  </si>
  <si>
    <t>142785</t>
  </si>
  <si>
    <t>COMERCIO DE ALIMENTOS HORIZONTINA LTDA.</t>
  </si>
  <si>
    <t>221487</t>
  </si>
  <si>
    <t>DG COMERCIO E SERVICOS LTDA</t>
  </si>
  <si>
    <t>142684</t>
  </si>
  <si>
    <t>142675</t>
  </si>
  <si>
    <t>221605</t>
  </si>
  <si>
    <t>A J SANTOS DE FREITAS</t>
  </si>
  <si>
    <t>142705</t>
  </si>
  <si>
    <t>E L PETRI RESTAURANTE LTDA</t>
  </si>
  <si>
    <t>221516</t>
  </si>
  <si>
    <t>E. S. A. SARAIVA &amp; CIA LTDA</t>
  </si>
  <si>
    <t>142704</t>
  </si>
  <si>
    <t>FERNANDO ARAUJO DA SILVA</t>
  </si>
  <si>
    <t>142699</t>
  </si>
  <si>
    <t>GILMAR PAULO DA SILVA BOMBONIERE</t>
  </si>
  <si>
    <t>142696</t>
  </si>
  <si>
    <t>L G CARVALHO E CIA LTDA</t>
  </si>
  <si>
    <t>142701</t>
  </si>
  <si>
    <t>142722</t>
  </si>
  <si>
    <t>OLIVEIRAS SUPERMERCADOS LTDA</t>
  </si>
  <si>
    <t>142724</t>
  </si>
  <si>
    <t>142725</t>
  </si>
  <si>
    <t>RCC DISTRIBUIDORA LTDA</t>
  </si>
  <si>
    <t>142712</t>
  </si>
  <si>
    <t>RONDONIA COMERCIO DE EMBALAGENS EIRELI</t>
  </si>
  <si>
    <t>142723</t>
  </si>
  <si>
    <t>CASA DA GULA LTDA</t>
  </si>
  <si>
    <t>142502</t>
  </si>
  <si>
    <t>COMERCIAL TATENO DELIHOUSE LTDA</t>
  </si>
  <si>
    <t>142739</t>
  </si>
  <si>
    <t>221557</t>
  </si>
  <si>
    <t>LPL COMERCIO DE CARAMELOS LTDA</t>
  </si>
  <si>
    <t>142748</t>
  </si>
  <si>
    <t>MERCADO HAUBERT LTDA</t>
  </si>
  <si>
    <t>142751</t>
  </si>
  <si>
    <t>ATACADO DOS DOCES NOVA SOURE LTDA</t>
  </si>
  <si>
    <t>142838</t>
  </si>
  <si>
    <t>ATACADO RIO BRANCO LTDA</t>
  </si>
  <si>
    <t>142784</t>
  </si>
  <si>
    <t>CLENIR ORTIZ PIRES 00208597085</t>
  </si>
  <si>
    <t>221584</t>
  </si>
  <si>
    <t>DC COMERCIO DE BALAS E CHOCOLATES LTDA</t>
  </si>
  <si>
    <t>142783</t>
  </si>
  <si>
    <t>M2R2 COMERCIO DE UTENSILIOS DOMESTICOS LTDA</t>
  </si>
  <si>
    <t>142830</t>
  </si>
  <si>
    <t>142842</t>
  </si>
  <si>
    <t>NACASA COMERCIO DE UTENSILIOS DOMESTICOS EIRELI</t>
  </si>
  <si>
    <t>142826</t>
  </si>
  <si>
    <t>RODRIGO BOA VENTURA ROSA E CIA LTDA</t>
  </si>
  <si>
    <t>142562</t>
  </si>
  <si>
    <t>COMERCIAL KAZZA E FESTAS LTDA</t>
  </si>
  <si>
    <t>142627</t>
  </si>
  <si>
    <t>DISTRIBUIDORA SILVEIRA E SCHMIDT LTDA</t>
  </si>
  <si>
    <t>142453</t>
  </si>
  <si>
    <t>C. L. INVESTE LTDA</t>
  </si>
  <si>
    <t>142818</t>
  </si>
  <si>
    <t>MASSAS ALIMENTICIAS DA ROZ LTDA.</t>
  </si>
  <si>
    <t>221561</t>
  </si>
  <si>
    <t>142813</t>
  </si>
  <si>
    <t>CARTAO BANRISUL SOBERANA</t>
  </si>
  <si>
    <t>FORNECEDORES</t>
  </si>
  <si>
    <t>POSTO 44 DERIVADOS DE PETROLEO LTDA.</t>
  </si>
  <si>
    <t>840882</t>
  </si>
  <si>
    <t>5650</t>
  </si>
  <si>
    <t>841835</t>
  </si>
  <si>
    <t>842204</t>
  </si>
  <si>
    <t>842472</t>
  </si>
  <si>
    <t>843304</t>
  </si>
  <si>
    <t>843495</t>
  </si>
  <si>
    <t>848977</t>
  </si>
  <si>
    <t>849119</t>
  </si>
  <si>
    <t>849785</t>
  </si>
  <si>
    <t>850206</t>
  </si>
  <si>
    <t>850318</t>
  </si>
  <si>
    <t>850570</t>
  </si>
  <si>
    <t>850741</t>
  </si>
  <si>
    <t>851166</t>
  </si>
  <si>
    <t>851585</t>
  </si>
  <si>
    <t>CARTAO JB</t>
  </si>
  <si>
    <t>COLOR TINTAS DISTRIBUIDORA LTDA</t>
  </si>
  <si>
    <t>100167</t>
  </si>
  <si>
    <t>36.278.148 EDVALDO JOSE DOS SANTOS</t>
  </si>
  <si>
    <t>10082026</t>
  </si>
  <si>
    <t>CARREFOUR COMERCIO E INDUSTRIA LTDA</t>
  </si>
  <si>
    <t>10609029</t>
  </si>
  <si>
    <t>CR STORE E-COMMERCE LTDA</t>
  </si>
  <si>
    <t>LM UNIFORMES INDUSTRIA E COMERCIO DE CONFECCOES LTDA</t>
  </si>
  <si>
    <t>1235658</t>
  </si>
  <si>
    <t>STAR CITY ELET.,INFORM.,PERIF.E ACES.LTD</t>
  </si>
  <si>
    <t>17230</t>
  </si>
  <si>
    <t>36</t>
  </si>
  <si>
    <t>ALIMEX DISTRIBUIDORA LTDA</t>
  </si>
  <si>
    <t>141020</t>
  </si>
  <si>
    <t>VM PROCESS &amp; PRODUCTS LTDA</t>
  </si>
  <si>
    <t>140788</t>
  </si>
  <si>
    <t>140619</t>
  </si>
  <si>
    <t>HENRIQUE DA SILVA PADARIA</t>
  </si>
  <si>
    <t>220350</t>
  </si>
  <si>
    <t>M E C DOCES E FESTAS</t>
  </si>
  <si>
    <t>141239</t>
  </si>
  <si>
    <t>GUARANI COMERCIO DE DOCES E DISTRIBUICAO EM GERAL LTDA-ME</t>
  </si>
  <si>
    <t>140885</t>
  </si>
  <si>
    <t>LAURA DA CRUZ DA SILVA LTDA</t>
  </si>
  <si>
    <t>220030</t>
  </si>
  <si>
    <t>RUVIERO E FERREIRA LTDA</t>
  </si>
  <si>
    <t>141311</t>
  </si>
  <si>
    <t>A. DOS SANTOS SOUSA</t>
  </si>
  <si>
    <t>140721</t>
  </si>
  <si>
    <t>219673</t>
  </si>
  <si>
    <t>CLAUDETE M.O. MARCONDES PRESENTES</t>
  </si>
  <si>
    <t>141664</t>
  </si>
  <si>
    <t>JONAS ZOIA</t>
  </si>
  <si>
    <t>220484</t>
  </si>
  <si>
    <t>ISABELLY THAILLANY LIMA RAPOSO</t>
  </si>
  <si>
    <t>141205</t>
  </si>
  <si>
    <t>VLT BAZAR LTDA</t>
  </si>
  <si>
    <t>141196</t>
  </si>
  <si>
    <t>ROSILENE CHAVES OLIVEIRA</t>
  </si>
  <si>
    <t>141044</t>
  </si>
  <si>
    <t>COMISSOES A PAGAR</t>
  </si>
  <si>
    <t>82</t>
  </si>
  <si>
    <t>CONTAS A PAGAR</t>
  </si>
  <si>
    <t>CAMERA AGROALIMENTOS S.A.</t>
  </si>
  <si>
    <t>221032</t>
  </si>
  <si>
    <t>221210</t>
  </si>
  <si>
    <t>221223</t>
  </si>
  <si>
    <t>221233</t>
  </si>
  <si>
    <t>221289</t>
  </si>
  <si>
    <t>221290</t>
  </si>
  <si>
    <t>147518</t>
  </si>
  <si>
    <t>PLASTICOS RONA INDUSTRIA E COMERCIO LTD</t>
  </si>
  <si>
    <t>5503</t>
  </si>
  <si>
    <t>221565</t>
  </si>
  <si>
    <t>LIRAFLEX INDUSTRIAL E COMERCIO DE EMBALA</t>
  </si>
  <si>
    <t>30638</t>
  </si>
  <si>
    <t>30639</t>
  </si>
  <si>
    <t>ARAGAO ENTREGAS RAPIDAS LTDA</t>
  </si>
  <si>
    <t>478661 FT</t>
  </si>
  <si>
    <t>106693</t>
  </si>
  <si>
    <t>0439886200 FT</t>
  </si>
  <si>
    <t>V L PACHECO CONSULTORIA AGROECONOMICA LT</t>
  </si>
  <si>
    <t>182</t>
  </si>
  <si>
    <t>479080 FT</t>
  </si>
  <si>
    <t>CAPORETTO IND. COM. E SERV. LTDA  ME</t>
  </si>
  <si>
    <t>8226</t>
  </si>
  <si>
    <t>0439903900 FT</t>
  </si>
  <si>
    <t>7929</t>
  </si>
  <si>
    <t>ADILSON MARTINELLI</t>
  </si>
  <si>
    <t>2033</t>
  </si>
  <si>
    <t>480185 FT</t>
  </si>
  <si>
    <t>2647 FT</t>
  </si>
  <si>
    <t>CARGILL AGRICOLA SA</t>
  </si>
  <si>
    <t>89589</t>
  </si>
  <si>
    <t>CENTRO DE INTEG EMPRESA ESCOLA DO EST DO</t>
  </si>
  <si>
    <t>136193</t>
  </si>
  <si>
    <t>DEMEI  DEPARTAMENTO MUNICIPAL DE ENERGI</t>
  </si>
  <si>
    <t>2081773</t>
  </si>
  <si>
    <t>80693</t>
  </si>
  <si>
    <t>80729</t>
  </si>
  <si>
    <t>IDUGEL INDUSTRIAL LTDA.</t>
  </si>
  <si>
    <t>9033</t>
  </si>
  <si>
    <t>LOJAS CAMPEA LTDA</t>
  </si>
  <si>
    <t>90304</t>
  </si>
  <si>
    <t>RTE DIST. DE ROL. INDUSTRIAIS LTDA</t>
  </si>
  <si>
    <t>70292</t>
  </si>
  <si>
    <t>125733091</t>
  </si>
  <si>
    <t>SULFORTE IND.E COM.DE PLASTICOS LTDA</t>
  </si>
  <si>
    <t>95276</t>
  </si>
  <si>
    <t>95277</t>
  </si>
  <si>
    <t>TOLEDO DO BRASIL IND DE BALANCAS LTDA</t>
  </si>
  <si>
    <t>246497029620</t>
  </si>
  <si>
    <t>81063</t>
  </si>
  <si>
    <t>TRANSPORTES RODOVIA SUL LTDA</t>
  </si>
  <si>
    <t>627691 FT</t>
  </si>
  <si>
    <t>627893 FT</t>
  </si>
  <si>
    <t>2650 FT</t>
  </si>
  <si>
    <t>CENTRAL DE AMENDOIM LTDA</t>
  </si>
  <si>
    <t>17740</t>
  </si>
  <si>
    <t>2501556 FT</t>
  </si>
  <si>
    <t>2501557 FT</t>
  </si>
  <si>
    <t>2501558 FT</t>
  </si>
  <si>
    <t>113935</t>
  </si>
  <si>
    <t>SINDICATO DAS IND. TRIGO DO RS</t>
  </si>
  <si>
    <t>3088</t>
  </si>
  <si>
    <t>3165 FT</t>
  </si>
  <si>
    <t>68.711.667 ODILA MARINES ASSMANN MARINHO</t>
  </si>
  <si>
    <t>69145373</t>
  </si>
  <si>
    <t>ADHESIVE LABEL LTDA</t>
  </si>
  <si>
    <t>23441</t>
  </si>
  <si>
    <t>141707</t>
  </si>
  <si>
    <t>SOCIETY INFORMATICA COMERCIAL LTDA</t>
  </si>
  <si>
    <t>65011</t>
  </si>
  <si>
    <t>TFA IBAMA</t>
  </si>
  <si>
    <t>TCFA03/26</t>
  </si>
  <si>
    <t>3166 FT</t>
  </si>
  <si>
    <t>2654 FT</t>
  </si>
  <si>
    <t>DALCIN  COMERCIO DE IMPLEMENTOS RODOVIA</t>
  </si>
  <si>
    <t>48306</t>
  </si>
  <si>
    <t>DIMEL MATERIAIS DE EMBALAGEM LTDA</t>
  </si>
  <si>
    <t>193389</t>
  </si>
  <si>
    <t>ELETROCOM MATERIASI ELETRICOS LTDA</t>
  </si>
  <si>
    <t>29</t>
  </si>
  <si>
    <t>01761820 FT</t>
  </si>
  <si>
    <t>3807</t>
  </si>
  <si>
    <t>4513</t>
  </si>
  <si>
    <t>RODOKLAUS TRANSPORTES LTDA</t>
  </si>
  <si>
    <t>36297 FT</t>
  </si>
  <si>
    <t>SANTOSFLORA INDUSTRIA E COMERCIO DE ERVAS LTDA</t>
  </si>
  <si>
    <t>84237</t>
  </si>
  <si>
    <t>25408</t>
  </si>
  <si>
    <t>0440044900 FT</t>
  </si>
  <si>
    <t>32433</t>
  </si>
  <si>
    <t>2101</t>
  </si>
  <si>
    <t>COLMEIA GRAFICA E EDITORA LTDA</t>
  </si>
  <si>
    <t>5954</t>
  </si>
  <si>
    <t>16488 FT</t>
  </si>
  <si>
    <t>80819</t>
  </si>
  <si>
    <t>ELETROCOM AUTOMOCAO INDUSTRIAL LTDA</t>
  </si>
  <si>
    <t>21412</t>
  </si>
  <si>
    <t>RGLL TRANSPORTES LTDA.</t>
  </si>
  <si>
    <t>1839</t>
  </si>
  <si>
    <t>SUPERMERCADOS BELTRAME LTDA</t>
  </si>
  <si>
    <t>518654</t>
  </si>
  <si>
    <t>0440062800 FT</t>
  </si>
  <si>
    <t>TURUM COMERCIO ELETRONICO LTDA</t>
  </si>
  <si>
    <t>93026</t>
  </si>
  <si>
    <t>ZANCHI MANUTENCAO INDUSTRIAL LTDA</t>
  </si>
  <si>
    <t>47</t>
  </si>
  <si>
    <t>ELIAS KRUMMENAUER E CIA LTDA</t>
  </si>
  <si>
    <t>0044353</t>
  </si>
  <si>
    <t>FAE INDUSTRIA E COMERCIO DE MAQUINAS LTDA</t>
  </si>
  <si>
    <t>2366</t>
  </si>
  <si>
    <t>RADIO REPORTER  LTDA</t>
  </si>
  <si>
    <t>2396</t>
  </si>
  <si>
    <t>16363</t>
  </si>
  <si>
    <t>16364</t>
  </si>
  <si>
    <t>TORNEARIA IJUI LTDA</t>
  </si>
  <si>
    <t>1088</t>
  </si>
  <si>
    <t>TOTVS S.A.</t>
  </si>
  <si>
    <t>4592971</t>
  </si>
  <si>
    <t>0440079900 FT</t>
  </si>
  <si>
    <t>1144 B</t>
  </si>
  <si>
    <t>0440099300 FT</t>
  </si>
  <si>
    <t>MIRA OTM TRANSPORTES LTDA</t>
  </si>
  <si>
    <t>398799 FT</t>
  </si>
  <si>
    <t>3168 FT</t>
  </si>
  <si>
    <t>279331 FT</t>
  </si>
  <si>
    <t>2102</t>
  </si>
  <si>
    <t>BRAZMAQ LTDA</t>
  </si>
  <si>
    <t>1023</t>
  </si>
  <si>
    <t>18854539</t>
  </si>
  <si>
    <t>CASA DA CALDEIRA LTDA</t>
  </si>
  <si>
    <t>34328</t>
  </si>
  <si>
    <t>CEMAVI MAQUINAS AVIAMENTOS LTDA</t>
  </si>
  <si>
    <t>9626</t>
  </si>
  <si>
    <t>CENCI &amp; CIA. LTDA.</t>
  </si>
  <si>
    <t>783969</t>
  </si>
  <si>
    <t>80858</t>
  </si>
  <si>
    <t>80894</t>
  </si>
  <si>
    <t>F POZOBON SISTEMAS DE HIGIENE E LIMPEZA</t>
  </si>
  <si>
    <t>385780</t>
  </si>
  <si>
    <t>8974</t>
  </si>
  <si>
    <t>40252</t>
  </si>
  <si>
    <t>668378</t>
  </si>
  <si>
    <t>MADRITEX INDUSTRIA TEXTIL LTDA</t>
  </si>
  <si>
    <t>2105</t>
  </si>
  <si>
    <t>1842</t>
  </si>
  <si>
    <t>110608</t>
  </si>
  <si>
    <t>21486</t>
  </si>
  <si>
    <t>234831</t>
  </si>
  <si>
    <t>66602</t>
  </si>
  <si>
    <t>7797</t>
  </si>
  <si>
    <t>STUDIOPACK PREMIDIA LTDA</t>
  </si>
  <si>
    <t>16419</t>
  </si>
  <si>
    <t>32474</t>
  </si>
  <si>
    <t>DE CARLI E DALLABRIDA LTDA</t>
  </si>
  <si>
    <t>40691</t>
  </si>
  <si>
    <t>19688320 FT</t>
  </si>
  <si>
    <t>529697</t>
  </si>
  <si>
    <t>529698</t>
  </si>
  <si>
    <t>529699</t>
  </si>
  <si>
    <t>529700</t>
  </si>
  <si>
    <t>529702</t>
  </si>
  <si>
    <t>529703</t>
  </si>
  <si>
    <t>529704</t>
  </si>
  <si>
    <t>529705</t>
  </si>
  <si>
    <t>529706</t>
  </si>
  <si>
    <t>529707</t>
  </si>
  <si>
    <t>529708</t>
  </si>
  <si>
    <t>529709</t>
  </si>
  <si>
    <t>529710</t>
  </si>
  <si>
    <t>529711</t>
  </si>
  <si>
    <t>529712</t>
  </si>
  <si>
    <t>529713</t>
  </si>
  <si>
    <t>529714</t>
  </si>
  <si>
    <t>529715</t>
  </si>
  <si>
    <t>529716</t>
  </si>
  <si>
    <t>529718</t>
  </si>
  <si>
    <t>529719</t>
  </si>
  <si>
    <t>529720</t>
  </si>
  <si>
    <t>779524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</si>
  <si>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</si>
  <si>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</si>
  <si>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</si>
  <si>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</si>
  <si>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</si>
  <si>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</si>
  <si>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</si>
  <si>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</si>
  <si>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</si>
  <si>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</si>
  <si>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</si>
  <si>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</si>
  <si>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</si>
  <si>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HD DISTRIBUIDORA DE PRODUTOS HIGIENICOS</t>
  </si>
  <si>
    <t>237349</t>
  </si>
  <si>
    <t>44112</t>
  </si>
  <si>
    <t>85229</t>
  </si>
  <si>
    <t>POSTOS RADAR LTDA</t>
  </si>
  <si>
    <t>4292</t>
  </si>
  <si>
    <t>4302</t>
  </si>
  <si>
    <t>13035</t>
  </si>
  <si>
    <t>SAO JOAO TRANSPORTES E ENCOMENDAS LTDA</t>
  </si>
  <si>
    <t>3454934</t>
  </si>
  <si>
    <t>4594384</t>
  </si>
  <si>
    <t>281891 FT</t>
  </si>
  <si>
    <t>ASSOCIACAO GAUCHA DE MERCADOS</t>
  </si>
  <si>
    <t>220932</t>
  </si>
  <si>
    <t>5956</t>
  </si>
  <si>
    <t>80949</t>
  </si>
  <si>
    <t>529908</t>
  </si>
  <si>
    <t>529909</t>
  </si>
  <si>
    <t>529910</t>
  </si>
  <si>
    <t>529911</t>
  </si>
  <si>
    <t>529912</t>
  </si>
  <si>
    <t>529913</t>
  </si>
  <si>
    <t>529914</t>
  </si>
  <si>
    <t>529915</t>
  </si>
  <si>
    <t>529916</t>
  </si>
  <si>
    <t>529917</t>
  </si>
  <si>
    <t>529918</t>
  </si>
  <si>
    <t>529919</t>
  </si>
  <si>
    <t>529920</t>
  </si>
  <si>
    <t>529921</t>
  </si>
  <si>
    <t>529922</t>
  </si>
  <si>
    <t>529923</t>
  </si>
  <si>
    <t>529924</t>
  </si>
  <si>
    <t>529925</t>
  </si>
  <si>
    <t>529926</t>
  </si>
  <si>
    <t>529927</t>
  </si>
  <si>
    <t>529928</t>
  </si>
  <si>
    <t>529929</t>
  </si>
  <si>
    <t>529933</t>
  </si>
  <si>
    <t>FIDENE FUND. INTEGR. DESENV. NOROESTE</t>
  </si>
  <si>
    <t>81</t>
  </si>
  <si>
    <t>45</t>
  </si>
  <si>
    <t>JOSE VITOR BRUM</t>
  </si>
  <si>
    <t>4655</t>
  </si>
  <si>
    <t>4792</t>
  </si>
  <si>
    <t>5356</t>
  </si>
  <si>
    <t>5445</t>
  </si>
  <si>
    <t>169249</t>
  </si>
  <si>
    <t>169348</t>
  </si>
  <si>
    <t>169440</t>
  </si>
  <si>
    <t>169732</t>
  </si>
  <si>
    <t>169775</t>
  </si>
  <si>
    <t>169816</t>
  </si>
  <si>
    <t>169835</t>
  </si>
  <si>
    <t>169910</t>
  </si>
  <si>
    <t>170010</t>
  </si>
  <si>
    <t>170124</t>
  </si>
  <si>
    <t>170138</t>
  </si>
  <si>
    <t>170239</t>
  </si>
  <si>
    <t>192313</t>
  </si>
  <si>
    <t>193140</t>
  </si>
  <si>
    <t>193497</t>
  </si>
  <si>
    <t>193899</t>
  </si>
  <si>
    <t>671725</t>
  </si>
  <si>
    <t>671919</t>
  </si>
  <si>
    <t>672000</t>
  </si>
  <si>
    <t>672604</t>
  </si>
  <si>
    <t>672633</t>
  </si>
  <si>
    <t>673648</t>
  </si>
  <si>
    <t>673712</t>
  </si>
  <si>
    <t>673886</t>
  </si>
  <si>
    <t>674479</t>
  </si>
  <si>
    <t>4314</t>
  </si>
  <si>
    <t>4322</t>
  </si>
  <si>
    <t>36327 FT</t>
  </si>
  <si>
    <t>SCHIRMANN MAT E SOLUCOES PARA A CONST LTDA</t>
  </si>
  <si>
    <t>22726</t>
  </si>
  <si>
    <t>105150</t>
  </si>
  <si>
    <t>235234</t>
  </si>
  <si>
    <t>8881</t>
  </si>
  <si>
    <t>16590</t>
  </si>
  <si>
    <t>TECNICON SISTEMAS GERENCIAIS LTDA</t>
  </si>
  <si>
    <t>26009</t>
  </si>
  <si>
    <t>1163</t>
  </si>
  <si>
    <t>32490</t>
  </si>
  <si>
    <t>2113</t>
  </si>
  <si>
    <t>2114</t>
  </si>
  <si>
    <t>16502 FT</t>
  </si>
  <si>
    <t>80992</t>
  </si>
  <si>
    <t>530097</t>
  </si>
  <si>
    <t>530098</t>
  </si>
  <si>
    <t>530099</t>
  </si>
  <si>
    <t>530100</t>
  </si>
  <si>
    <t>530101</t>
  </si>
  <si>
    <t>530102</t>
  </si>
  <si>
    <t>530103</t>
  </si>
  <si>
    <t>530104</t>
  </si>
  <si>
    <t>530105</t>
  </si>
  <si>
    <t>530106</t>
  </si>
  <si>
    <t>530107</t>
  </si>
  <si>
    <t>530108</t>
  </si>
  <si>
    <t>530109</t>
  </si>
  <si>
    <t>530110</t>
  </si>
  <si>
    <t>530111</t>
  </si>
  <si>
    <t>530124</t>
  </si>
  <si>
    <t>530125</t>
  </si>
  <si>
    <t>530126</t>
  </si>
  <si>
    <t>530127</t>
  </si>
  <si>
    <t>530128</t>
  </si>
  <si>
    <t>530129</t>
  </si>
  <si>
    <t>530133</t>
  </si>
  <si>
    <t>530134</t>
  </si>
  <si>
    <t>530135</t>
  </si>
  <si>
    <t>530136</t>
  </si>
  <si>
    <t>530137</t>
  </si>
  <si>
    <t>530138</t>
  </si>
  <si>
    <t>530139</t>
  </si>
  <si>
    <t>530140</t>
  </si>
  <si>
    <t>3823</t>
  </si>
  <si>
    <t>3824</t>
  </si>
  <si>
    <t>3825</t>
  </si>
  <si>
    <t>3826</t>
  </si>
  <si>
    <t>85250</t>
  </si>
  <si>
    <t>MAKISOLDA DISTRIBUIDORA LTDA</t>
  </si>
  <si>
    <t>49520</t>
  </si>
  <si>
    <t>NVM DISTRIBUIDORA E COMERCIO LTDA</t>
  </si>
  <si>
    <t>5679</t>
  </si>
  <si>
    <t>9111</t>
  </si>
  <si>
    <t>32504</t>
  </si>
  <si>
    <t>13051</t>
  </si>
  <si>
    <t>BRISKE COMERCIO DE EQUIPAMENTOS DE PROTECAO LTDA</t>
  </si>
  <si>
    <t>2698</t>
  </si>
  <si>
    <t>2119</t>
  </si>
  <si>
    <t>49009</t>
  </si>
  <si>
    <t>86141</t>
  </si>
  <si>
    <t>86142</t>
  </si>
  <si>
    <t>86149</t>
  </si>
  <si>
    <t>81042</t>
  </si>
  <si>
    <t>530271</t>
  </si>
  <si>
    <t>530272</t>
  </si>
  <si>
    <t>530274</t>
  </si>
  <si>
    <t>530276</t>
  </si>
  <si>
    <t>530286</t>
  </si>
  <si>
    <t>530287</t>
  </si>
  <si>
    <t>530288</t>
  </si>
  <si>
    <t>530289</t>
  </si>
  <si>
    <t>530290</t>
  </si>
  <si>
    <t>530291</t>
  </si>
  <si>
    <t>530292</t>
  </si>
  <si>
    <t>530293</t>
  </si>
  <si>
    <t>530294</t>
  </si>
  <si>
    <t>530295</t>
  </si>
  <si>
    <t>530296</t>
  </si>
  <si>
    <t>530297</t>
  </si>
  <si>
    <t>530298</t>
  </si>
  <si>
    <t>530300</t>
  </si>
  <si>
    <t>530301</t>
  </si>
  <si>
    <t>530302</t>
  </si>
  <si>
    <t>530303</t>
  </si>
  <si>
    <t>530304</t>
  </si>
  <si>
    <t>530305</t>
  </si>
  <si>
    <t>530306</t>
  </si>
  <si>
    <t>530370</t>
  </si>
  <si>
    <t>INCAL MAQUINAS INDUSTRIAIS E CALDEIRARIA LTDA</t>
  </si>
  <si>
    <t>1165</t>
  </si>
  <si>
    <t>85301</t>
  </si>
  <si>
    <t>NORTELE RESISTENCIAS ELETRICAS LTDA</t>
  </si>
  <si>
    <t>19971</t>
  </si>
  <si>
    <t>ROGERIO FERRAMENTAS ELETRICAS LTDA</t>
  </si>
  <si>
    <t>2283</t>
  </si>
  <si>
    <t>70788</t>
  </si>
  <si>
    <t>105631</t>
  </si>
  <si>
    <t>115192</t>
  </si>
  <si>
    <t>143403</t>
  </si>
  <si>
    <t>54595</t>
  </si>
  <si>
    <t>7967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</si>
  <si>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</si>
  <si>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</si>
  <si>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</si>
  <si>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</si>
  <si>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</si>
  <si>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</si>
  <si>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</si>
  <si>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</si>
  <si>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</si>
  <si>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</si>
  <si>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</si>
  <si>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470399</t>
  </si>
  <si>
    <t>470429</t>
  </si>
  <si>
    <t>470460</t>
  </si>
  <si>
    <t>32522</t>
  </si>
  <si>
    <t>32526</t>
  </si>
  <si>
    <t>VALDIR BADE TRANSPORTES LTDA</t>
  </si>
  <si>
    <t>7715</t>
  </si>
  <si>
    <t>ZANROSSO, BRAGANHOLO &amp; CIA. LTDA.</t>
  </si>
  <si>
    <t>5379</t>
  </si>
  <si>
    <t>1020</t>
  </si>
  <si>
    <t>1021</t>
  </si>
  <si>
    <t>1022</t>
  </si>
  <si>
    <t>18854537</t>
  </si>
  <si>
    <t>18854538</t>
  </si>
  <si>
    <t>86151</t>
  </si>
  <si>
    <t>86152</t>
  </si>
  <si>
    <t>86153</t>
  </si>
  <si>
    <t>86171</t>
  </si>
  <si>
    <t>86174</t>
  </si>
  <si>
    <t>86175</t>
  </si>
  <si>
    <t>4</t>
  </si>
  <si>
    <t>95</t>
  </si>
  <si>
    <t>530494</t>
  </si>
  <si>
    <t>530495</t>
  </si>
  <si>
    <t>530496</t>
  </si>
  <si>
    <t>530497</t>
  </si>
  <si>
    <t>530498</t>
  </si>
  <si>
    <t>530499</t>
  </si>
  <si>
    <t>530500</t>
  </si>
  <si>
    <t>530501</t>
  </si>
  <si>
    <t>530502</t>
  </si>
  <si>
    <t>530503</t>
  </si>
  <si>
    <t>530504</t>
  </si>
  <si>
    <t>530505</t>
  </si>
  <si>
    <t>530506</t>
  </si>
  <si>
    <t>530507</t>
  </si>
  <si>
    <t>530508</t>
  </si>
  <si>
    <t>530511</t>
  </si>
  <si>
    <t>530512</t>
  </si>
  <si>
    <t>530513</t>
  </si>
  <si>
    <t>530514</t>
  </si>
  <si>
    <t>530515</t>
  </si>
  <si>
    <t>1117141</t>
  </si>
  <si>
    <t>1117142</t>
  </si>
  <si>
    <t>1117143</t>
  </si>
  <si>
    <t>1117144</t>
  </si>
  <si>
    <t>3926</t>
  </si>
  <si>
    <t>3927</t>
  </si>
  <si>
    <t>3928</t>
  </si>
  <si>
    <t>3929</t>
  </si>
  <si>
    <t>3930</t>
  </si>
  <si>
    <t>3931</t>
  </si>
  <si>
    <t>3932</t>
  </si>
  <si>
    <t>3933</t>
  </si>
  <si>
    <t>MARTFLAVOR IND E COM DE AROMAS E ING LTDA</t>
  </si>
  <si>
    <t>10031</t>
  </si>
  <si>
    <t>8936</t>
  </si>
  <si>
    <t>PROCONTA CONTABILIDADE S/S LTDA</t>
  </si>
  <si>
    <t>23</t>
  </si>
  <si>
    <t>1860</t>
  </si>
  <si>
    <t>17805</t>
  </si>
  <si>
    <t>54670</t>
  </si>
  <si>
    <t>32535</t>
  </si>
  <si>
    <t>32537</t>
  </si>
  <si>
    <t>32546</t>
  </si>
  <si>
    <t>32550</t>
  </si>
  <si>
    <t>86181</t>
  </si>
  <si>
    <t>86188</t>
  </si>
  <si>
    <t>86189</t>
  </si>
  <si>
    <t>107173</t>
  </si>
  <si>
    <t>60979</t>
  </si>
  <si>
    <t>81099</t>
  </si>
  <si>
    <t>530701</t>
  </si>
  <si>
    <t>530702</t>
  </si>
  <si>
    <t>530703</t>
  </si>
  <si>
    <t>530704</t>
  </si>
  <si>
    <t>530705</t>
  </si>
  <si>
    <t>530706</t>
  </si>
  <si>
    <t>530707</t>
  </si>
  <si>
    <t>530708</t>
  </si>
  <si>
    <t>530709</t>
  </si>
  <si>
    <t>530710</t>
  </si>
  <si>
    <t>530711</t>
  </si>
  <si>
    <t>530712</t>
  </si>
  <si>
    <t>530713</t>
  </si>
  <si>
    <t>530714</t>
  </si>
  <si>
    <t>530715</t>
  </si>
  <si>
    <t>530716</t>
  </si>
  <si>
    <t>530717</t>
  </si>
  <si>
    <t>530727</t>
  </si>
  <si>
    <t>530728</t>
  </si>
  <si>
    <t>530729</t>
  </si>
  <si>
    <t>530730</t>
  </si>
  <si>
    <t>780368</t>
  </si>
  <si>
    <t>GERSON MACHADO DOS SANTOS E CIA LTDA</t>
  </si>
  <si>
    <t>8593</t>
  </si>
  <si>
    <t>HB TRANSPORTES E LOGISTICA LTDA</t>
  </si>
  <si>
    <t>303959</t>
  </si>
  <si>
    <t>4409</t>
  </si>
  <si>
    <t>4410</t>
  </si>
  <si>
    <t>36335</t>
  </si>
  <si>
    <t>101514</t>
  </si>
  <si>
    <t>101515</t>
  </si>
  <si>
    <t>101840</t>
  </si>
  <si>
    <t>101841</t>
  </si>
  <si>
    <t>101842</t>
  </si>
  <si>
    <t>189117</t>
  </si>
  <si>
    <t>189118</t>
  </si>
  <si>
    <t>189119</t>
  </si>
  <si>
    <t>189120</t>
  </si>
  <si>
    <t>189121</t>
  </si>
  <si>
    <t>189122</t>
  </si>
  <si>
    <t>189123</t>
  </si>
  <si>
    <t>189124</t>
  </si>
  <si>
    <t>189125</t>
  </si>
  <si>
    <t>189126</t>
  </si>
  <si>
    <t>189127</t>
  </si>
  <si>
    <t>189128</t>
  </si>
  <si>
    <t>189129</t>
  </si>
  <si>
    <t>470739</t>
  </si>
  <si>
    <t>32560</t>
  </si>
  <si>
    <t>76358</t>
  </si>
  <si>
    <t>187033</t>
  </si>
  <si>
    <t>86199</t>
  </si>
  <si>
    <t>86200</t>
  </si>
  <si>
    <t>86201</t>
  </si>
  <si>
    <t>86202</t>
  </si>
  <si>
    <t>81138</t>
  </si>
  <si>
    <t>43177</t>
  </si>
  <si>
    <t>43181</t>
  </si>
  <si>
    <t>43196</t>
  </si>
  <si>
    <t>13086</t>
  </si>
  <si>
    <t>13087</t>
  </si>
  <si>
    <t>530893</t>
  </si>
  <si>
    <t>530894</t>
  </si>
  <si>
    <t>530895</t>
  </si>
  <si>
    <t>530896</t>
  </si>
  <si>
    <t>530897</t>
  </si>
  <si>
    <t>530898</t>
  </si>
  <si>
    <t>530899</t>
  </si>
  <si>
    <t>530900</t>
  </si>
  <si>
    <t>530901</t>
  </si>
  <si>
    <t>530902</t>
  </si>
  <si>
    <t>530903</t>
  </si>
  <si>
    <t>530904</t>
  </si>
  <si>
    <t>530906</t>
  </si>
  <si>
    <t>530907</t>
  </si>
  <si>
    <t>530908</t>
  </si>
  <si>
    <t>1120272</t>
  </si>
  <si>
    <t>1120273</t>
  </si>
  <si>
    <t>4012</t>
  </si>
  <si>
    <t>4013</t>
  </si>
  <si>
    <t>4014</t>
  </si>
  <si>
    <t>4015</t>
  </si>
  <si>
    <t>4016</t>
  </si>
  <si>
    <t>IND.E COM.DE ARTEF.DE CIMENTO DREFFS LTD</t>
  </si>
  <si>
    <t>16491</t>
  </si>
  <si>
    <t>LIDER COMERCIO DE EPIS ABRASIVOS E FERRAMENTAS LTDA</t>
  </si>
  <si>
    <t>1038</t>
  </si>
  <si>
    <t>352702</t>
  </si>
  <si>
    <t>8962</t>
  </si>
  <si>
    <t>4441</t>
  </si>
  <si>
    <t>115706</t>
  </si>
  <si>
    <t>54742</t>
  </si>
  <si>
    <t>250768</t>
  </si>
  <si>
    <t>48153</t>
  </si>
  <si>
    <t>86205</t>
  </si>
  <si>
    <t>86210</t>
  </si>
  <si>
    <t>86212</t>
  </si>
  <si>
    <t>81163</t>
  </si>
  <si>
    <t>EMPRESA HOTELEIRA VERA CRUZ LTDA</t>
  </si>
  <si>
    <t>594</t>
  </si>
  <si>
    <t>13089</t>
  </si>
  <si>
    <t>13090</t>
  </si>
  <si>
    <t>531092</t>
  </si>
  <si>
    <t>531093</t>
  </si>
  <si>
    <t>531094</t>
  </si>
  <si>
    <t>219</t>
  </si>
  <si>
    <t>4456</t>
  </si>
  <si>
    <t>115822</t>
  </si>
  <si>
    <t>12650</t>
  </si>
  <si>
    <t>SUPERTEX CONCRETO LTDA</t>
  </si>
  <si>
    <t>134</t>
  </si>
  <si>
    <t>102556</t>
  </si>
  <si>
    <t>102648</t>
  </si>
  <si>
    <t>102649</t>
  </si>
  <si>
    <t>102650</t>
  </si>
  <si>
    <t>102651</t>
  </si>
  <si>
    <t>102652</t>
  </si>
  <si>
    <t>102653</t>
  </si>
  <si>
    <t>102654</t>
  </si>
  <si>
    <t>107</t>
  </si>
  <si>
    <t>108</t>
  </si>
  <si>
    <t>3171</t>
  </si>
  <si>
    <t>189281</t>
  </si>
  <si>
    <t>189282</t>
  </si>
  <si>
    <t>470906</t>
  </si>
  <si>
    <t>12908</t>
  </si>
  <si>
    <t>5384</t>
  </si>
  <si>
    <t>13077</t>
  </si>
  <si>
    <t>12546C</t>
  </si>
  <si>
    <t>4566065</t>
  </si>
  <si>
    <t>81221</t>
  </si>
  <si>
    <t>81245</t>
  </si>
  <si>
    <t>85133</t>
  </si>
  <si>
    <t>144393</t>
  </si>
  <si>
    <t>8226R</t>
  </si>
  <si>
    <t>1169144161</t>
  </si>
  <si>
    <t>R.F.M. DE FREITAS EXPORT. E IMPORT. DE MAQUINAS AGRICOLAS</t>
  </si>
  <si>
    <t>141525</t>
  </si>
  <si>
    <t>GIACOMELLI E TURCHIELLO LTDA</t>
  </si>
  <si>
    <t>221077</t>
  </si>
  <si>
    <t>LAIR GRAVE</t>
  </si>
  <si>
    <t>142447</t>
  </si>
  <si>
    <t>142477</t>
  </si>
  <si>
    <t>BOLOS DO ALEMAO LTDA</t>
  </si>
  <si>
    <t>221315</t>
  </si>
  <si>
    <t>CLAUDIA MARA MELDOLA BULIGON</t>
  </si>
  <si>
    <t>221356</t>
  </si>
  <si>
    <t>COMERCIO E TRANSPORTES DALMASO LTDA</t>
  </si>
  <si>
    <t>221366</t>
  </si>
  <si>
    <t>NEURI P. KLEIN &amp; CIA LTDA</t>
  </si>
  <si>
    <t>221350</t>
  </si>
  <si>
    <t>SUPERMERCADO BENETTI LTDA</t>
  </si>
  <si>
    <t>221354</t>
  </si>
  <si>
    <t>SUPERMERCADO WELTER LTDA</t>
  </si>
  <si>
    <t>221364</t>
  </si>
  <si>
    <t>JOAO FLORIANO LUNARDI</t>
  </si>
  <si>
    <t>141968</t>
  </si>
  <si>
    <t>LUIZA MARIA CAMPAGNOLO PADILHA</t>
  </si>
  <si>
    <t>221442</t>
  </si>
  <si>
    <t>CW REPRESENTACOES DE PRODUTOS ALIMENTICIOS LTDA</t>
  </si>
  <si>
    <t>142094</t>
  </si>
  <si>
    <t>NEUSA B. T. CASTAGNA</t>
  </si>
  <si>
    <t>220898</t>
  </si>
  <si>
    <t>142839</t>
  </si>
  <si>
    <t>DEPOSITO (CLIENTE)</t>
  </si>
  <si>
    <t>75</t>
  </si>
  <si>
    <t>COMERCIAL ZAFFARI LTDA (62)</t>
  </si>
  <si>
    <t>218986</t>
  </si>
  <si>
    <t>COMERCIAL ZAFFARI LTDA (75)</t>
  </si>
  <si>
    <t>218987</t>
  </si>
  <si>
    <t>COMERCIAL ZAFFARI LTDA (57)</t>
  </si>
  <si>
    <t>219183</t>
  </si>
  <si>
    <t>COMERCIAL ZAFFARI LTDA (12)</t>
  </si>
  <si>
    <t>219828</t>
  </si>
  <si>
    <t>COMERCIAL ZAFFARI LTDA (61)</t>
  </si>
  <si>
    <t>220282</t>
  </si>
  <si>
    <t>COMERCIAL ZAFFARI LTDA  (31)</t>
  </si>
  <si>
    <t>220369</t>
  </si>
  <si>
    <t>COMERCIAL ZAFFARI LTDA  (48)</t>
  </si>
  <si>
    <t>220368</t>
  </si>
  <si>
    <t>COMERCIAL ZAFFARI LTDA (41)</t>
  </si>
  <si>
    <t>220302</t>
  </si>
  <si>
    <t>COMERCIAL ZAFFARI LTDA (44)</t>
  </si>
  <si>
    <t>220335</t>
  </si>
  <si>
    <t>COMERCIAL ZAFFARI LTDA (54)</t>
  </si>
  <si>
    <t>220374</t>
  </si>
  <si>
    <t>220370</t>
  </si>
  <si>
    <t>220375</t>
  </si>
  <si>
    <t>COMERCIAL ZAFFARI LTDA (85)</t>
  </si>
  <si>
    <t>220376</t>
  </si>
  <si>
    <t>COMERCIAL ZAFFARI LTDA (95)</t>
  </si>
  <si>
    <t>220377</t>
  </si>
  <si>
    <t>MOISES CONCEICAO PERES</t>
  </si>
  <si>
    <t>221530</t>
  </si>
  <si>
    <t>221531</t>
  </si>
  <si>
    <t>COMERCIAL ZAFFARI LTDA (112)</t>
  </si>
  <si>
    <t>220412</t>
  </si>
  <si>
    <t>MOINHO ROMARIZ I. C. I. E. P. A. LTDA</t>
  </si>
  <si>
    <t>221383</t>
  </si>
  <si>
    <t>COMERCIAL ZAFFARI LTDA  (35)</t>
  </si>
  <si>
    <t>220456</t>
  </si>
  <si>
    <t>COMERCIAL ZAFFARI LTDA (109)</t>
  </si>
  <si>
    <t>220458</t>
  </si>
  <si>
    <t>COMERCIAL ZAFFARI LTDA (111)</t>
  </si>
  <si>
    <t>220459</t>
  </si>
  <si>
    <t>COMERCIAL ZAFFARI LTDA (23)</t>
  </si>
  <si>
    <t>220455</t>
  </si>
  <si>
    <t>COMERCIAL ZAFFARI LTDA (51)</t>
  </si>
  <si>
    <t>220457</t>
  </si>
  <si>
    <t>COMERCIAL ZAFFARI LTDA (40)</t>
  </si>
  <si>
    <t>220511</t>
  </si>
  <si>
    <t>COMERCIAL ZAFFARI LTDA (53)</t>
  </si>
  <si>
    <t>220512</t>
  </si>
  <si>
    <t>COMERCIAL ZAFFARI LTDA (55)</t>
  </si>
  <si>
    <t>220500</t>
  </si>
  <si>
    <t>COMERCIAL ZAFFARI LTDA (59)</t>
  </si>
  <si>
    <t>220502</t>
  </si>
  <si>
    <t>COMERCIAL ZAFFARI LTDA (64)</t>
  </si>
  <si>
    <t>220501</t>
  </si>
  <si>
    <t>COMERCIAL ZAFFARI LTDA (65)</t>
  </si>
  <si>
    <t>220503</t>
  </si>
  <si>
    <t>COMERCIAL ZAFFARI LTDA (56)</t>
  </si>
  <si>
    <t>220620</t>
  </si>
  <si>
    <t>220909</t>
  </si>
  <si>
    <t>220991</t>
  </si>
  <si>
    <t>220992</t>
  </si>
  <si>
    <t>COMERCIAL ZAFFARI LTDA (24)</t>
  </si>
  <si>
    <t>220975</t>
  </si>
  <si>
    <t>COMERCIAL ZAFFARI LTDA (43)</t>
  </si>
  <si>
    <t>220974</t>
  </si>
  <si>
    <t>220957</t>
  </si>
  <si>
    <t>220956</t>
  </si>
  <si>
    <t>220955</t>
  </si>
  <si>
    <t>220954</t>
  </si>
  <si>
    <t>COMERCIAL ZAFFARI LTDA  (34)</t>
  </si>
  <si>
    <t>221065</t>
  </si>
  <si>
    <t>221007</t>
  </si>
  <si>
    <t>COMERCIAL ZAFFARI LTDA (36)</t>
  </si>
  <si>
    <t>221072</t>
  </si>
  <si>
    <t>221011</t>
  </si>
  <si>
    <t>221059</t>
  </si>
  <si>
    <t>221071</t>
  </si>
  <si>
    <t>221067</t>
  </si>
  <si>
    <t>221184</t>
  </si>
  <si>
    <t>221190</t>
  </si>
  <si>
    <t>221153</t>
  </si>
  <si>
    <t>221092</t>
  </si>
  <si>
    <t>COMERCIAL ZAFFARI LTDA (33)</t>
  </si>
  <si>
    <t>221144</t>
  </si>
  <si>
    <t>221143</t>
  </si>
  <si>
    <t>221142</t>
  </si>
  <si>
    <t>221168</t>
  </si>
  <si>
    <t>COMERCIAL ZAFFARI LTDA (52)</t>
  </si>
  <si>
    <t>221167</t>
  </si>
  <si>
    <t>221189</t>
  </si>
  <si>
    <t>221182</t>
  </si>
  <si>
    <t>221188</t>
  </si>
  <si>
    <t>COMERCIAL ZAFFARI LTDA 63</t>
  </si>
  <si>
    <t>221183</t>
  </si>
  <si>
    <t>COMERCIAL ZAFFARI LTDA. (32)</t>
  </si>
  <si>
    <t>221146</t>
  </si>
  <si>
    <t>221191</t>
  </si>
  <si>
    <t>EMP RCB SOBERANA EMPREEND</t>
  </si>
  <si>
    <t>70</t>
  </si>
  <si>
    <t>SOBERANA EMPREENDIMENTOS LTDA.</t>
  </si>
  <si>
    <t>20082026</t>
  </si>
  <si>
    <t>28082026</t>
  </si>
  <si>
    <t>18092026</t>
  </si>
  <si>
    <t>EMPREST SICREDI B90322389</t>
  </si>
  <si>
    <t>97</t>
  </si>
  <si>
    <t>SICREDI DAS CULTURAS RS/MG</t>
  </si>
  <si>
    <t>84</t>
  </si>
  <si>
    <t>85</t>
  </si>
  <si>
    <t>86</t>
  </si>
  <si>
    <t>EXPORTACAO</t>
  </si>
  <si>
    <t>34</t>
  </si>
  <si>
    <t>LABOCER SA</t>
  </si>
  <si>
    <t>141782</t>
  </si>
  <si>
    <t>COIMPEX S.A.</t>
  </si>
  <si>
    <t>141267</t>
  </si>
  <si>
    <t>35</t>
  </si>
  <si>
    <t>ADRIANA DE ALMEIDA</t>
  </si>
  <si>
    <t>42739</t>
  </si>
  <si>
    <t>42807</t>
  </si>
  <si>
    <t>42817</t>
  </si>
  <si>
    <t>42849</t>
  </si>
  <si>
    <t>42880</t>
  </si>
  <si>
    <t>42924</t>
  </si>
  <si>
    <t>42951</t>
  </si>
  <si>
    <t>ANDERSON CARVALHO PETRECOSKI</t>
  </si>
  <si>
    <t>42919</t>
  </si>
  <si>
    <t>ANDERSON DE VARGAS LOPES</t>
  </si>
  <si>
    <t>96955</t>
  </si>
  <si>
    <t>ANDRE OLIVEIRA KETTNER</t>
  </si>
  <si>
    <t>42851</t>
  </si>
  <si>
    <t>CASSIELO GONCALVES BATISTA</t>
  </si>
  <si>
    <t>42855</t>
  </si>
  <si>
    <t>42928</t>
  </si>
  <si>
    <t>42955</t>
  </si>
  <si>
    <t>42968</t>
  </si>
  <si>
    <t>CESAR AUGUSTO DA CHAGA</t>
  </si>
  <si>
    <t>42752</t>
  </si>
  <si>
    <t>42916</t>
  </si>
  <si>
    <t>CESAR DELAM MORETTI</t>
  </si>
  <si>
    <t>42915</t>
  </si>
  <si>
    <t>DAVI RAFAEL BORKENHAGEN</t>
  </si>
  <si>
    <t>42744</t>
  </si>
  <si>
    <t>42918</t>
  </si>
  <si>
    <t>42952</t>
  </si>
  <si>
    <t>EDER LUIS ROLIN</t>
  </si>
  <si>
    <t>96937</t>
  </si>
  <si>
    <t>EDSON DESSUY</t>
  </si>
  <si>
    <t>97020</t>
  </si>
  <si>
    <t>EDUARDO MOTA RICO DE ALMEIDA</t>
  </si>
  <si>
    <t>96938</t>
  </si>
  <si>
    <t>ELIANE GUNTZEL</t>
  </si>
  <si>
    <t>42967</t>
  </si>
  <si>
    <t>ELIAS MARTIM SCHMORANTZ</t>
  </si>
  <si>
    <t>42882</t>
  </si>
  <si>
    <t>42936</t>
  </si>
  <si>
    <t>ELIRIA STEINHORST RODRIGUES</t>
  </si>
  <si>
    <t>42819</t>
  </si>
  <si>
    <t>ESMAEL MARQUES BARBOSA</t>
  </si>
  <si>
    <t>42942</t>
  </si>
  <si>
    <t>42970</t>
  </si>
  <si>
    <t>ESTHER WALTER DOS SANTOS</t>
  </si>
  <si>
    <t>42774</t>
  </si>
  <si>
    <t>42972</t>
  </si>
  <si>
    <t>GABRIEL WURFEL DE OLIVEIRA</t>
  </si>
  <si>
    <t>42742</t>
  </si>
  <si>
    <t>42778</t>
  </si>
  <si>
    <t>42902</t>
  </si>
  <si>
    <t>GENTIL DE SOUZA TEIXEIRA</t>
  </si>
  <si>
    <t>42829</t>
  </si>
  <si>
    <t>HELVIO LUCAS SILVA</t>
  </si>
  <si>
    <t>42860</t>
  </si>
  <si>
    <t>HENRIQUE ARAUJO DA CONCEICAO</t>
  </si>
  <si>
    <t>96823</t>
  </si>
  <si>
    <t>IRANI SANTOS DA LUZ</t>
  </si>
  <si>
    <t>42763</t>
  </si>
  <si>
    <t>42782</t>
  </si>
  <si>
    <t>JADIR SILVA</t>
  </si>
  <si>
    <t>42941</t>
  </si>
  <si>
    <t>JAIR JOSE BULCAO</t>
  </si>
  <si>
    <t>96949</t>
  </si>
  <si>
    <t>JAQUELINE BARACOL THOME DA CRUZ GOI</t>
  </si>
  <si>
    <t>96961</t>
  </si>
  <si>
    <t>JOAO VITOR DOS REIS LOPES</t>
  </si>
  <si>
    <t>42780</t>
  </si>
  <si>
    <t>42825</t>
  </si>
  <si>
    <t>42831</t>
  </si>
  <si>
    <t>42867</t>
  </si>
  <si>
    <t>42901</t>
  </si>
  <si>
    <t>42907</t>
  </si>
  <si>
    <t>42947</t>
  </si>
  <si>
    <t>42975</t>
  </si>
  <si>
    <t>42981</t>
  </si>
  <si>
    <t>JOSE DILSON VIANA</t>
  </si>
  <si>
    <t>42775</t>
  </si>
  <si>
    <t>42776</t>
  </si>
  <si>
    <t>JOSUE NEVES DE OLIVEIRA</t>
  </si>
  <si>
    <t>42834</t>
  </si>
  <si>
    <t>42835</t>
  </si>
  <si>
    <t>42737</t>
  </si>
  <si>
    <t>LUAN DA SILVA DE LIMA</t>
  </si>
  <si>
    <t>42749</t>
  </si>
  <si>
    <t>42773</t>
  </si>
  <si>
    <t>42898</t>
  </si>
  <si>
    <t>LUCAS MARX MAIDANA</t>
  </si>
  <si>
    <t>42856</t>
  </si>
  <si>
    <t>42927</t>
  </si>
  <si>
    <t>LUCAS NOVISKI PEREIRA</t>
  </si>
  <si>
    <t>42761</t>
  </si>
  <si>
    <t>LUCIANA GARZELLA WALTER</t>
  </si>
  <si>
    <t>42983</t>
  </si>
  <si>
    <t>LUIZ OSMAR DE ALMEIDA BRITES</t>
  </si>
  <si>
    <t>42875</t>
  </si>
  <si>
    <t>MARCELO JOSE DE OLIVEIRA</t>
  </si>
  <si>
    <t>42948</t>
  </si>
  <si>
    <t>MARCIO NORBERTO KRUGER</t>
  </si>
  <si>
    <t>42931</t>
  </si>
  <si>
    <t>MARIO ROGERIO DRESCH</t>
  </si>
  <si>
    <t>42822</t>
  </si>
  <si>
    <t>42929</t>
  </si>
  <si>
    <t>42969</t>
  </si>
  <si>
    <t>MARISA TERESINHA JULIANI</t>
  </si>
  <si>
    <t>42913</t>
  </si>
  <si>
    <t>MATEUS DA CHAGA BENETTI</t>
  </si>
  <si>
    <t>42745</t>
  </si>
  <si>
    <t>42746</t>
  </si>
  <si>
    <t>42786</t>
  </si>
  <si>
    <t>42877</t>
  </si>
  <si>
    <t>42912</t>
  </si>
  <si>
    <t>NADLEY MILORD</t>
  </si>
  <si>
    <t>42935</t>
  </si>
  <si>
    <t>NELSON RODRGIGUES</t>
  </si>
  <si>
    <t>42879</t>
  </si>
  <si>
    <t>ODAIR CAPPI DE ALMEIDA</t>
  </si>
  <si>
    <t>42932</t>
  </si>
  <si>
    <t>42954</t>
  </si>
  <si>
    <t>PEDRO HENRIQUE ALMEIDA SILVA</t>
  </si>
  <si>
    <t>42756</t>
  </si>
  <si>
    <t>42794</t>
  </si>
  <si>
    <t>42842</t>
  </si>
  <si>
    <t>42859</t>
  </si>
  <si>
    <t>RAFAEL VISNESKI BRIKALSKI</t>
  </si>
  <si>
    <t>96879</t>
  </si>
  <si>
    <t>96933</t>
  </si>
  <si>
    <t>RAFAELLA VITORIA KREBS BORKENHAGEN</t>
  </si>
  <si>
    <t>42791</t>
  </si>
  <si>
    <t>42838</t>
  </si>
  <si>
    <t>42965</t>
  </si>
  <si>
    <t>RENATO GUSTAVO DE LIMA</t>
  </si>
  <si>
    <t>42795</t>
  </si>
  <si>
    <t>42823</t>
  </si>
  <si>
    <t>42897</t>
  </si>
  <si>
    <t>42933</t>
  </si>
  <si>
    <t>ROBINSON WALTER</t>
  </si>
  <si>
    <t>42888</t>
  </si>
  <si>
    <t>RUBIA GRACIELE DELAM DA SILVA MORAES</t>
  </si>
  <si>
    <t>97022</t>
  </si>
  <si>
    <t>SANDRO DA SILVA</t>
  </si>
  <si>
    <t>96939</t>
  </si>
  <si>
    <t>96993</t>
  </si>
  <si>
    <t>SARA DIANE DOS SANTOS DINARELLI</t>
  </si>
  <si>
    <t>42740</t>
  </si>
  <si>
    <t>42899</t>
  </si>
  <si>
    <t>SERGIO CZICHESKI</t>
  </si>
  <si>
    <t>42781</t>
  </si>
  <si>
    <t>SIDINEI NORBERT</t>
  </si>
  <si>
    <t>42861</t>
  </si>
  <si>
    <t>42934</t>
  </si>
  <si>
    <t>TALES DE CAMARGO DE CARVALHO</t>
  </si>
  <si>
    <t>42766</t>
  </si>
  <si>
    <t>42784</t>
  </si>
  <si>
    <t>42803</t>
  </si>
  <si>
    <t>42887</t>
  </si>
  <si>
    <t>42926</t>
  </si>
  <si>
    <t>VALDAIR MODESTO</t>
  </si>
  <si>
    <t>97029</t>
  </si>
  <si>
    <t>VALDAIR WINSKOSKI</t>
  </si>
  <si>
    <t>42826</t>
  </si>
  <si>
    <t>42852</t>
  </si>
  <si>
    <t>VILMAR LUIS SKLAR</t>
  </si>
  <si>
    <t>42836</t>
  </si>
  <si>
    <t>VITOR MATEUS FERNANDES PITHAN</t>
  </si>
  <si>
    <t>42743</t>
  </si>
  <si>
    <t>42886</t>
  </si>
  <si>
    <t>VITOR MATEUS PAZ DE ALMEIDA</t>
  </si>
  <si>
    <t>42940</t>
  </si>
  <si>
    <t>WILLIAN DOS REIS GONCALVES</t>
  </si>
  <si>
    <t>42943</t>
  </si>
  <si>
    <t>42973</t>
  </si>
  <si>
    <t>HONORARIOS ADVOC A PAGAR</t>
  </si>
  <si>
    <t>99</t>
  </si>
  <si>
    <t>ICMS DIFAL/FCP A RECOLHER</t>
  </si>
  <si>
    <t>32</t>
  </si>
  <si>
    <t>IMPOSTOS E CONTRIBUICOES</t>
  </si>
  <si>
    <t>ICMS DIFAL / FCP A RECOLHER</t>
  </si>
  <si>
    <t>DIFAL PR 082026</t>
  </si>
  <si>
    <t>IMPORTACOES A PAGAR</t>
  </si>
  <si>
    <t>GUANDY - GUATEMALAN CANDIES S.A.</t>
  </si>
  <si>
    <t>142649</t>
  </si>
  <si>
    <t>INDENIZACOES TRABALHISTAS</t>
  </si>
  <si>
    <t>49</t>
  </si>
  <si>
    <t>RECLA EDUARDO ANTUNE</t>
  </si>
  <si>
    <t>LUCAS MATEUS GRUN</t>
  </si>
  <si>
    <t>LUCAS MATEUS GRUN 2</t>
  </si>
  <si>
    <t>INSS RETIDO RECOLHER</t>
  </si>
  <si>
    <t>15</t>
  </si>
  <si>
    <t>INSS RETIDO A RECOLHER</t>
  </si>
  <si>
    <t>IRRF A RECOLHER</t>
  </si>
  <si>
    <t>20</t>
  </si>
  <si>
    <t>10</t>
  </si>
  <si>
    <t>11</t>
  </si>
  <si>
    <t>112</t>
  </si>
  <si>
    <t>113</t>
  </si>
  <si>
    <t>1189</t>
  </si>
  <si>
    <t>188</t>
  </si>
  <si>
    <t>202636</t>
  </si>
  <si>
    <t>225</t>
  </si>
  <si>
    <t>260000021</t>
  </si>
  <si>
    <t>28</t>
  </si>
  <si>
    <t>283</t>
  </si>
  <si>
    <t>284</t>
  </si>
  <si>
    <t>291</t>
  </si>
  <si>
    <t>330</t>
  </si>
  <si>
    <t>40</t>
  </si>
  <si>
    <t>42</t>
  </si>
  <si>
    <t>657</t>
  </si>
  <si>
    <t>7</t>
  </si>
  <si>
    <t>9</t>
  </si>
  <si>
    <t>988</t>
  </si>
  <si>
    <t>22</t>
  </si>
  <si>
    <t>PARC ICMS 117</t>
  </si>
  <si>
    <t>43</t>
  </si>
  <si>
    <t>PARCELAMENTO ICMS 2018 117</t>
  </si>
  <si>
    <t>8228310</t>
  </si>
  <si>
    <t>PARC ICMS 2118 96</t>
  </si>
  <si>
    <t>44</t>
  </si>
  <si>
    <t>PARCELAMENTO ICMS 2018 96</t>
  </si>
  <si>
    <t>36283169</t>
  </si>
  <si>
    <t>PARCEL FEDERAL 102024</t>
  </si>
  <si>
    <t>89</t>
  </si>
  <si>
    <t>PARCEL IBAMA</t>
  </si>
  <si>
    <t>50</t>
  </si>
  <si>
    <t>PARCELAMENTO DEBITO 14102469 IBAMA</t>
  </si>
  <si>
    <t>PARCIBAMA</t>
  </si>
  <si>
    <t>PARCELAMENTO IBAMA</t>
  </si>
  <si>
    <t>87</t>
  </si>
  <si>
    <t>PARCELAMENTO DEBITO 16397285</t>
  </si>
  <si>
    <t>16397285</t>
  </si>
  <si>
    <t>PARCELAMENTO DEBITO 17452416</t>
  </si>
  <si>
    <t>17452416</t>
  </si>
  <si>
    <t>PIS/COFINS/CSLL RECOLHER</t>
  </si>
  <si>
    <t>21</t>
  </si>
  <si>
    <t>PIS/COFINS/CSLL A RECOLHER</t>
  </si>
  <si>
    <t>17347</t>
  </si>
  <si>
    <t>17484</t>
  </si>
  <si>
    <t>37</t>
  </si>
  <si>
    <t>LUCIANO NEVES PAIVA</t>
  </si>
  <si>
    <t>218185</t>
  </si>
  <si>
    <t>SUPER SANTOS VENANCIO SUPERMERCADO LTDA</t>
  </si>
  <si>
    <t>218248</t>
  </si>
  <si>
    <t>218913</t>
  </si>
  <si>
    <t>AGROPECUARIA IVAGACI LTDA.</t>
  </si>
  <si>
    <t>218717</t>
  </si>
  <si>
    <t>SEC COMERCIO DE UTILIDADES LTDA</t>
  </si>
  <si>
    <t>140240</t>
  </si>
  <si>
    <t>218831</t>
  </si>
  <si>
    <t>SUPER NACOES LTDA</t>
  </si>
  <si>
    <t>218798</t>
  </si>
  <si>
    <t>219221</t>
  </si>
  <si>
    <t>EDERSON PATRIC SOUZA ALVES ME</t>
  </si>
  <si>
    <t>219983</t>
  </si>
  <si>
    <t>REFATURA CARTAO BANRISUL</t>
  </si>
  <si>
    <t>103</t>
  </si>
  <si>
    <t>ACD PECAS MARINGA LTDA EM RECUPERACAO JUDICIAL</t>
  </si>
  <si>
    <t>6284628462846284</t>
  </si>
  <si>
    <t>BLOOD BROTHERS COMERCIO LTDA</t>
  </si>
  <si>
    <t>1617116171</t>
  </si>
  <si>
    <t>DOMUS COMERCIO E IMOPORTACAO LTDA</t>
  </si>
  <si>
    <t>841130841130</t>
  </si>
  <si>
    <t>EBAZAR.COM.BR. LTDA</t>
  </si>
  <si>
    <t>147608612</t>
  </si>
  <si>
    <t>EDEMAR HAMP EIRELI  ME</t>
  </si>
  <si>
    <t>4307</t>
  </si>
  <si>
    <t>FERNANDEZ COMERCIO DE MEDICAMENTOS SA</t>
  </si>
  <si>
    <t>134681346813468</t>
  </si>
  <si>
    <t>FRIGELAR COMERCIO E INDUSTRIA LTDA</t>
  </si>
  <si>
    <t>103103103103103</t>
  </si>
  <si>
    <t>GAP - DISTRIBUIDORA DE AUTO PECAS LTDA</t>
  </si>
  <si>
    <t>229772</t>
  </si>
  <si>
    <t>GOLD FOIL COMERCIAL IMO. E EXP. DE</t>
  </si>
  <si>
    <t>3081730817</t>
  </si>
  <si>
    <t>J.F.ABC AUTO PECAS E COMERCIO LTDA</t>
  </si>
  <si>
    <t>53489</t>
  </si>
  <si>
    <t>689824581</t>
  </si>
  <si>
    <t>LOJAS COLOMBO S/A COM DE UTILIDADES DOMESTICAS</t>
  </si>
  <si>
    <t>173499</t>
  </si>
  <si>
    <t>MASTERCORP DO BRASIL LTDA</t>
  </si>
  <si>
    <t>000284488</t>
  </si>
  <si>
    <t>MERCADO WEB G&amp;H LTDA</t>
  </si>
  <si>
    <t>391833</t>
  </si>
  <si>
    <t>PAULO C GALANTE CIA LTDA</t>
  </si>
  <si>
    <t>63665926366592</t>
  </si>
  <si>
    <t>27630</t>
  </si>
  <si>
    <t>9484848</t>
  </si>
  <si>
    <t>START ONE VAREJO DIGITAL LTDA</t>
  </si>
  <si>
    <t>01082026</t>
  </si>
  <si>
    <t>0000049</t>
  </si>
  <si>
    <t>51</t>
  </si>
  <si>
    <t>6822562801</t>
  </si>
  <si>
    <t>SEGUROS A PAGAR</t>
  </si>
  <si>
    <t>MAPFRE SEGUROS</t>
  </si>
  <si>
    <t>226856102</t>
  </si>
  <si>
    <t>PORTO SEGURO CIA DE SEGUROS GERAIS</t>
  </si>
  <si>
    <t>24540363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</si>
</sst>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[$-F800]dddd\,\ mmmm\ dd\,\ yyyy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</borders>
  <cellStyleXfs count="2">
    <xf numFmtId="0" fontId="0" fillId="0" borderId="0"/>
    <xf numFmtId="43" fontId="5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5" borderId="0" xfId="0" applyFill="1"/>
    <xf numFmtId="14" fontId="0" fillId="5" borderId="2" xfId="0" applyNumberFormat="1" applyFill="1" applyBorder="1"/>
    <xf numFmtId="14" fontId="0" fillId="5" borderId="0" xfId="0" applyNumberFormat="1" applyFill="1"/>
    <xf numFmtId="43" fontId="5" fillId="5" borderId="0" xfId="1" applyFill="1"/>
    <xf numFmtId="0" fontId="0" fillId="5" borderId="3" xfId="0" applyFill="1" applyBorder="1"/>
    <xf numFmtId="43" fontId="5" fillId="5" borderId="3" xfId="1" applyFill="1" applyBorder="1"/>
    <xf numFmtId="43" fontId="6" fillId="5" borderId="3" xfId="1" applyFont="1" applyFill="1" applyBorder="1"/>
    <xf numFmtId="14" fontId="6" fillId="5" borderId="0" xfId="0" applyNumberFormat="1" applyFont="1" applyFill="1" applyAlignment="1">
      <alignment horizontal="left"/>
    </xf>
    <xf numFmtId="0" fontId="0" fillId="5" borderId="0" xfId="0" applyFill="1" applyAlignment="1">
      <alignment horizontal="center" vertical="center" wrapText="1"/>
    </xf>
    <xf numFmtId="4" fontId="5" fillId="5" borderId="0" xfId="1" applyNumberFormat="1" applyFill="1"/>
    <xf numFmtId="4" fontId="5" fillId="5" borderId="3" xfId="1" applyNumberFormat="1" applyFill="1" applyBorder="1"/>
    <xf numFmtId="4" fontId="0" fillId="0" borderId="0" xfId="0" applyNumberFormat="1"/>
    <xf numFmtId="4" fontId="6" fillId="5" borderId="3" xfId="1" applyNumberFormat="1" applyFont="1" applyFill="1" applyBorder="1"/>
    <xf numFmtId="0" fontId="7" fillId="6" borderId="0" xfId="0" applyFont="1" applyFill="1" applyAlignment="1">
      <alignment horizontal="center"/>
    </xf>
    <xf numFmtId="14" fontId="0" fillId="0" borderId="0" xfId="0" applyNumberFormat="1"/>
    <xf numFmtId="0" fontId="0" fillId="5" borderId="0" xfId="0" applyFill="1" applyAlignment="1">
      <alignment horizont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6" fontId="5" fillId="5" borderId="0" xfId="1" applyNumberFormat="1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4"/>
  <sheetViews>
    <sheetView showGridLines="0" zoomScale="111" workbookViewId="0">
      <pane xSplit="1" ySplit="3" topLeftCell="B6" activePane="bottomRight" state="frozen"/>
      <selection pane="topRight"/>
      <selection pane="bottomLeft"/>
      <selection pane="bottomRight" activeCell="B9" sqref="B9"/>
    </sheetView>
  </sheetViews>
  <sheetFormatPr defaultRowHeight="14.5"/>
  <cols>
    <col min="1" max="1" width="39" customWidth="1"/>
    <col min="2" max="6" width="16" customWidth="1"/>
  </cols>
  <sheetData>
    <row r="2" spans="1:6" ht="24" customHeight="1">
      <c r="A2" s="31" t="s">
        <v>0</v>
      </c>
      <c r="B2" s="32"/>
      <c r="C2" s="32"/>
      <c r="D2" s="32"/>
      <c r="E2" s="32"/>
      <c r="F2" s="32"/>
    </row>
    <row r="3" spans="1:6">
      <c r="A3" s="1"/>
      <c r="B3" s="2" t="s">
        <v>180</v>
      </c>
      <c r="C3" s="2" t="s">
        <v>181</v>
      </c>
      <c r="D3" s="2" t="s">
        <v>182</v>
      </c>
      <c r="E3" s="2" t="s">
        <v>183</v>
      </c>
      <c r="F3" s="2" t="s">
        <v>184</v>
      </c>
    </row>
    <row r="4" spans="1:6">
      <c r="A4" s="1"/>
      <c r="B4" s="3">
        <v>46293</v>
      </c>
      <c r="C4" s="3">
        <v>46294</v>
      </c>
      <c r="D4" s="3">
        <v>46295</v>
      </c>
      <c r="E4" s="3">
        <v>46296</v>
      </c>
      <c r="F4" s="3">
        <v>46297</v>
      </c>
    </row>
    <row r="5" spans="1:6">
      <c r="A5" s="1"/>
      <c r="B5" s="1"/>
      <c r="C5" s="1"/>
      <c r="D5" s="1"/>
      <c r="E5" s="1"/>
      <c r="F5" s="1"/>
    </row>
    <row r="6" spans="1:6">
      <c r="A6" s="4" t="s">
        <v>6</v>
      </c>
      <c r="B6" s="5">
        <v>50000</v>
      </c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2" t="s">
        <v>7</v>
      </c>
      <c r="B8" s="1"/>
      <c r="C8" s="1"/>
      <c r="D8" s="1"/>
      <c r="E8" s="1"/>
      <c r="F8" s="1"/>
    </row>
    <row r="9" spans="1:6">
      <c r="A9" s="6" t="s">
        <v>185</v>
      </c>
      <c r="B9" s="5">
        <v>52789.7</v>
      </c>
      <c r="C9" s="5">
        <v>92480.79</v>
      </c>
      <c r="D9" s="5">
        <v>93660.7</v>
      </c>
      <c r="E9" s="5">
        <v>89104.97</v>
      </c>
      <c r="F9" s="5">
        <v>80640.070000000007</v>
      </c>
    </row>
    <row r="10" spans="1:6">
      <c r="A10" s="6" t="s">
        <v>186</v>
      </c>
      <c r="B10" s="5">
        <v>216519.53</v>
      </c>
      <c r="C10" s="5">
        <v>191447.63</v>
      </c>
      <c r="D10" s="5">
        <v>241060.2</v>
      </c>
      <c r="E10" s="5">
        <v>224287.16</v>
      </c>
      <c r="F10" s="5">
        <v>182089.12</v>
      </c>
    </row>
    <row r="11" spans="1:6">
      <c r="A11" s="6" t="s">
        <v>187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</row>
    <row r="12" spans="1:6">
      <c r="A12" s="6" t="s">
        <v>188</v>
      </c>
      <c r="B12" s="5">
        <v>0</v>
      </c>
      <c r="C12" s="5">
        <v>73</v>
      </c>
      <c r="D12" s="5">
        <v>491.1</v>
      </c>
      <c r="E12" s="5">
        <v>1204.8699999999999</v>
      </c>
      <c r="F12" s="5">
        <v>0</v>
      </c>
    </row>
    <row r="13" spans="1:6">
      <c r="A13" s="2" t="s">
        <v>12</v>
      </c>
      <c r="B13" s="7">
        <f>B23</f>
        <v>195926.6</v>
      </c>
      <c r="C13" s="7">
        <f>B27</f>
        <v>141628.96</v>
      </c>
      <c r="D13" s="7">
        <f>B33</f>
        <v>57487.24</v>
      </c>
      <c r="E13" s="7">
        <f>B38</f>
        <v>92943.66</v>
      </c>
      <c r="F13" s="7">
        <f>B43</f>
        <v>69471.61</v>
      </c>
    </row>
    <row r="14" spans="1:6">
      <c r="A14" s="6"/>
      <c r="B14" s="5">
        <v>0</v>
      </c>
      <c r="C14" s="5">
        <v>0</v>
      </c>
      <c r="D14" s="5">
        <v>0</v>
      </c>
      <c r="E14" s="5">
        <v>0</v>
      </c>
      <c r="F14" s="5">
        <v>0</v>
      </c>
    </row>
    <row r="15" spans="1:6" ht="15.5" customHeight="1">
      <c r="A15" s="8" t="s">
        <v>13</v>
      </c>
      <c r="B15" s="9" t="str">
        <f ca="1">B6+B18-B13</f>
        <v/>
      </c>
      <c r="C15" s="9" t="str">
        <f ca="1">B15+C18-C13</f>
        <v/>
      </c>
      <c r="D15" s="9" t="str">
        <f ca="1">C15+D18-D13</f>
        <v/>
      </c>
      <c r="E15" s="9" t="str">
        <f ca="1">D15+E18-E13</f>
        <v/>
      </c>
      <c r="F15" s="9" t="str">
        <f ca="1">E15+F18-F13</f>
        <v/>
      </c>
    </row>
    <row r="16" spans="1:6">
      <c r="A16" s="6" t="s">
        <v>189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</row>
    <row r="17" spans="1:6">
      <c r="A17" s="6" t="s">
        <v>190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</row>
    <row r="18" spans="1:6">
      <c r="A18" s="10" t="s">
        <v>24</v>
      </c>
      <c r="B18" s="11" t="str">
        <f ca="1">SUM(B9:B17)</f>
        <v/>
      </c>
      <c r="C18" s="11" t="str">
        <f ca="1">SUM(C9:C17)</f>
        <v/>
      </c>
      <c r="D18" s="11" t="str">
        <f ca="1">SUM(D9:D17)</f>
        <v/>
      </c>
      <c r="E18" s="11" t="str">
        <f ca="1">SUM(E9:E17)</f>
        <v/>
      </c>
      <c r="F18" s="11" t="str">
        <f ca="1">SUM(F9:F17)</f>
        <v/>
      </c>
    </row>
    <row r="19" spans="1:6">
      <c r="A19" s="12">
        <f>B4</f>
        <v>46293</v>
      </c>
      <c r="B19" s="1"/>
      <c r="C19" s="1"/>
      <c r="D19" s="1"/>
      <c r="E19" s="1"/>
      <c r="F19" s="1"/>
    </row>
    <row r="20" spans="1:6">
      <c r="A20" s="6" t="s">
        <v>191</v>
      </c>
      <c r="B20" s="5">
        <v>192995.62</v>
      </c>
      <c r="C20" s="1"/>
      <c r="D20" s="1"/>
      <c r="E20" s="1"/>
      <c r="F20" s="1"/>
    </row>
    <row r="21" spans="1:6">
      <c r="A21" s="6" t="s">
        <v>192</v>
      </c>
      <c r="B21" s="5">
        <v>401.34</v>
      </c>
      <c r="C21" s="1"/>
      <c r="D21" s="1"/>
      <c r="E21" s="1"/>
      <c r="F21" s="1"/>
    </row>
    <row r="22" spans="1:6">
      <c r="A22" s="6" t="s">
        <v>193</v>
      </c>
      <c r="B22" s="5">
        <v>2529.64</v>
      </c>
      <c r="C22" s="1"/>
      <c r="D22" s="1"/>
      <c r="E22" s="1"/>
      <c r="F22" s="1"/>
    </row>
    <row r="23" spans="1:6">
      <c r="A23" s="10" t="s">
        <v>24</v>
      </c>
      <c r="B23" s="11">
        <f>SUM(B20:B22)</f>
        <v>195926.6</v>
      </c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2">
        <f>C4</f>
        <v>46294</v>
      </c>
      <c r="B25" s="1"/>
      <c r="C25" s="1"/>
      <c r="D25" s="1"/>
      <c r="E25" s="1"/>
      <c r="F25" s="1"/>
    </row>
    <row r="26" spans="1:6">
      <c r="A26" s="6" t="s">
        <v>191</v>
      </c>
      <c r="B26" s="5">
        <v>141628.96</v>
      </c>
      <c r="C26" s="1"/>
      <c r="D26" s="1"/>
      <c r="E26" s="1"/>
      <c r="F26" s="1"/>
    </row>
    <row r="27" spans="1:6">
      <c r="A27" s="10" t="s">
        <v>24</v>
      </c>
      <c r="B27" s="11">
        <f>SUM(B26:B26)</f>
        <v>141628.96</v>
      </c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2">
        <f>D4</f>
        <v>46295</v>
      </c>
      <c r="B29" s="1"/>
      <c r="C29" s="1"/>
      <c r="D29" s="1"/>
      <c r="E29" s="1"/>
      <c r="F29" s="1"/>
    </row>
    <row r="30" spans="1:6">
      <c r="A30" s="6" t="s">
        <v>191</v>
      </c>
      <c r="B30" s="5">
        <v>52834.35</v>
      </c>
      <c r="C30" s="1"/>
      <c r="D30" s="1"/>
      <c r="E30" s="1"/>
      <c r="F30" s="1"/>
    </row>
    <row r="31" spans="1:6">
      <c r="A31" s="6" t="s">
        <v>194</v>
      </c>
      <c r="B31" s="5">
        <v>118.27</v>
      </c>
      <c r="C31" s="1"/>
      <c r="D31" s="1"/>
      <c r="E31" s="1"/>
      <c r="F31" s="1"/>
    </row>
    <row r="32" spans="1:6">
      <c r="A32" s="6" t="s">
        <v>195</v>
      </c>
      <c r="B32" s="5">
        <v>4534.62</v>
      </c>
      <c r="C32" s="1"/>
      <c r="D32" s="1"/>
      <c r="E32" s="1"/>
      <c r="F32" s="1"/>
    </row>
    <row r="33" spans="1:6">
      <c r="A33" s="10" t="s">
        <v>24</v>
      </c>
      <c r="B33" s="11">
        <f>SUM(B30:B32)</f>
        <v>57487.24</v>
      </c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2">
        <f>E4</f>
        <v>46296</v>
      </c>
      <c r="B35" s="1"/>
      <c r="C35" s="1"/>
      <c r="D35" s="1"/>
      <c r="E35" s="1"/>
      <c r="F35" s="1"/>
    </row>
    <row r="36" spans="1:6">
      <c r="A36" s="6" t="s">
        <v>191</v>
      </c>
      <c r="B36" s="5">
        <v>91093.66</v>
      </c>
      <c r="C36" s="1"/>
      <c r="D36" s="1"/>
      <c r="E36" s="1"/>
      <c r="F36" s="1"/>
    </row>
    <row r="37" spans="1:6">
      <c r="A37" s="6" t="s">
        <v>196</v>
      </c>
      <c r="B37" s="5">
        <v>1850</v>
      </c>
      <c r="C37" s="1"/>
      <c r="D37" s="1"/>
      <c r="E37" s="1"/>
      <c r="F37" s="1"/>
    </row>
    <row r="38" spans="1:6">
      <c r="A38" s="10" t="s">
        <v>24</v>
      </c>
      <c r="B38" s="11">
        <f>SUM(B36:B37)</f>
        <v>92943.66</v>
      </c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2">
        <f>F4</f>
        <v>46297</v>
      </c>
      <c r="B40" s="1"/>
      <c r="C40" s="1"/>
      <c r="D40" s="1"/>
      <c r="E40" s="1"/>
      <c r="F40" s="1"/>
    </row>
    <row r="41" spans="1:6">
      <c r="A41" s="6" t="s">
        <v>191</v>
      </c>
      <c r="B41" s="5">
        <v>64951.29</v>
      </c>
      <c r="C41" s="1"/>
      <c r="D41" s="1"/>
      <c r="E41" s="1"/>
      <c r="F41" s="1"/>
    </row>
    <row r="42" spans="1:6">
      <c r="A42" s="6" t="s">
        <v>197</v>
      </c>
      <c r="B42" s="5">
        <v>4520.32</v>
      </c>
      <c r="C42" s="1"/>
      <c r="D42" s="1"/>
      <c r="E42" s="1"/>
      <c r="F42" s="1"/>
    </row>
    <row r="43" spans="1:6">
      <c r="A43" s="10" t="s">
        <v>24</v>
      </c>
      <c r="B43" s="11">
        <f>SUM(B41:B42)</f>
        <v>69471.61</v>
      </c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47"/>
  <sheetViews>
    <sheetView tabSelected="1" topLeftCell="A114" zoomScale="59" workbookViewId="0">
      <selection activeCell="A129" sqref="A129"/>
    </sheetView>
  </sheetViews>
  <sheetFormatPr defaultColWidth="9.6328125" defaultRowHeight="14.5"/>
  <cols>
    <col min="1" max="1" width="20.36328125" style="14" bestFit="1" customWidth="1"/>
    <col min="2" max="2" width="64.26953125" style="14" bestFit="1" customWidth="1"/>
    <col min="3" max="3" width="12.36328125" style="14" bestFit="1" customWidth="1"/>
    <col min="4" max="4" width="12.6328125" style="14" bestFit="1" customWidth="1"/>
    <col min="5" max="6" width="13.36328125" style="14" bestFit="1" customWidth="1"/>
    <col min="7" max="238" width="9.6328125" style="14" customWidth="1"/>
    <col min="239" max="239" width="14.54296875" style="14" bestFit="1" customWidth="1"/>
    <col min="240" max="240" width="16.54296875" style="14" bestFit="1" customWidth="1"/>
    <col min="241" max="241" width="12.54296875" style="14" customWidth="1"/>
    <col min="242" max="242" width="5.26953125" style="14" customWidth="1"/>
    <col min="243" max="243" width="11.453125" style="14" bestFit="1" customWidth="1"/>
    <col min="244" max="244" width="9.6328125" style="14" customWidth="1"/>
    <col min="245" max="245" width="15.81640625" style="14" bestFit="1" customWidth="1"/>
    <col min="246" max="256" width="9.6328125" style="14" customWidth="1"/>
    <col min="257" max="257" width="18.36328125" style="14" customWidth="1"/>
    <col min="258" max="262" width="12.54296875" style="14" bestFit="1" customWidth="1"/>
    <col min="263" max="494" width="9.6328125" style="14" customWidth="1"/>
    <col min="495" max="495" width="14.54296875" style="14" bestFit="1" customWidth="1"/>
    <col min="496" max="496" width="16.54296875" style="14" bestFit="1" customWidth="1"/>
    <col min="497" max="497" width="12.54296875" style="14" customWidth="1"/>
    <col min="498" max="498" width="5.26953125" style="14" customWidth="1"/>
    <col min="499" max="499" width="11.453125" style="14" bestFit="1" customWidth="1"/>
    <col min="500" max="500" width="9.6328125" style="14" customWidth="1"/>
    <col min="501" max="501" width="15.81640625" style="14" bestFit="1" customWidth="1"/>
    <col min="502" max="512" width="9.6328125" style="14" customWidth="1"/>
    <col min="513" max="513" width="18.36328125" style="14" customWidth="1"/>
    <col min="514" max="518" width="12.54296875" style="14" bestFit="1" customWidth="1"/>
    <col min="519" max="750" width="9.6328125" style="14" customWidth="1"/>
    <col min="751" max="751" width="14.54296875" style="14" bestFit="1" customWidth="1"/>
    <col min="752" max="752" width="16.54296875" style="14" bestFit="1" customWidth="1"/>
    <col min="753" max="753" width="12.54296875" style="14" customWidth="1"/>
    <col min="754" max="754" width="5.26953125" style="14" customWidth="1"/>
    <col min="755" max="755" width="11.453125" style="14" bestFit="1" customWidth="1"/>
    <col min="756" max="756" width="9.6328125" style="14" customWidth="1"/>
    <col min="757" max="757" width="15.81640625" style="14" bestFit="1" customWidth="1"/>
    <col min="758" max="768" width="9.6328125" style="14" customWidth="1"/>
    <col min="769" max="769" width="18.36328125" style="14" customWidth="1"/>
    <col min="770" max="774" width="12.54296875" style="14" bestFit="1" customWidth="1"/>
    <col min="775" max="1006" width="9.6328125" style="14" customWidth="1"/>
    <col min="1007" max="1007" width="14.54296875" style="14" bestFit="1" customWidth="1"/>
    <col min="1008" max="1008" width="16.54296875" style="14" bestFit="1" customWidth="1"/>
    <col min="1009" max="1009" width="12.54296875" style="14" customWidth="1"/>
    <col min="1010" max="1010" width="5.26953125" style="14" customWidth="1"/>
    <col min="1011" max="1011" width="11.453125" style="14" bestFit="1" customWidth="1"/>
    <col min="1012" max="1012" width="9.6328125" style="14" customWidth="1"/>
    <col min="1013" max="1013" width="15.81640625" style="14" bestFit="1" customWidth="1"/>
    <col min="1014" max="1024" width="9.6328125" style="14" customWidth="1"/>
    <col min="1025" max="1025" width="18.36328125" style="14" customWidth="1"/>
    <col min="1026" max="1030" width="12.54296875" style="14" bestFit="1" customWidth="1"/>
    <col min="1031" max="1262" width="9.6328125" style="14" customWidth="1"/>
    <col min="1263" max="1263" width="14.54296875" style="14" bestFit="1" customWidth="1"/>
    <col min="1264" max="1264" width="16.54296875" style="14" bestFit="1" customWidth="1"/>
    <col min="1265" max="1265" width="12.54296875" style="14" customWidth="1"/>
    <col min="1266" max="1266" width="5.26953125" style="14" customWidth="1"/>
    <col min="1267" max="1267" width="11.453125" style="14" bestFit="1" customWidth="1"/>
    <col min="1268" max="1268" width="9.6328125" style="14" customWidth="1"/>
    <col min="1269" max="1269" width="15.81640625" style="14" bestFit="1" customWidth="1"/>
    <col min="1270" max="1280" width="9.6328125" style="14" customWidth="1"/>
    <col min="1281" max="1281" width="18.36328125" style="14" customWidth="1"/>
    <col min="1282" max="1286" width="12.54296875" style="14" bestFit="1" customWidth="1"/>
    <col min="1287" max="1518" width="9.6328125" style="14" customWidth="1"/>
    <col min="1519" max="1519" width="14.54296875" style="14" bestFit="1" customWidth="1"/>
    <col min="1520" max="1520" width="16.54296875" style="14" bestFit="1" customWidth="1"/>
    <col min="1521" max="1521" width="12.54296875" style="14" customWidth="1"/>
    <col min="1522" max="1522" width="5.26953125" style="14" customWidth="1"/>
    <col min="1523" max="1523" width="11.453125" style="14" bestFit="1" customWidth="1"/>
    <col min="1524" max="1524" width="9.6328125" style="14" customWidth="1"/>
    <col min="1525" max="1525" width="15.81640625" style="14" bestFit="1" customWidth="1"/>
    <col min="1526" max="1536" width="9.6328125" style="14" customWidth="1"/>
    <col min="1537" max="1537" width="18.36328125" style="14" customWidth="1"/>
    <col min="1538" max="1542" width="12.54296875" style="14" bestFit="1" customWidth="1"/>
    <col min="1543" max="1774" width="9.6328125" style="14" customWidth="1"/>
    <col min="1775" max="1775" width="14.54296875" style="14" bestFit="1" customWidth="1"/>
    <col min="1776" max="1776" width="16.54296875" style="14" bestFit="1" customWidth="1"/>
    <col min="1777" max="1777" width="12.54296875" style="14" customWidth="1"/>
    <col min="1778" max="1778" width="5.26953125" style="14" customWidth="1"/>
    <col min="1779" max="1779" width="11.453125" style="14" bestFit="1" customWidth="1"/>
    <col min="1780" max="1780" width="9.6328125" style="14" customWidth="1"/>
    <col min="1781" max="1781" width="15.81640625" style="14" bestFit="1" customWidth="1"/>
    <col min="1782" max="1792" width="9.6328125" style="14" customWidth="1"/>
    <col min="1793" max="1793" width="18.36328125" style="14" customWidth="1"/>
    <col min="1794" max="1798" width="12.54296875" style="14" bestFit="1" customWidth="1"/>
    <col min="1799" max="2030" width="9.6328125" style="14" customWidth="1"/>
    <col min="2031" max="2031" width="14.54296875" style="14" bestFit="1" customWidth="1"/>
    <col min="2032" max="2032" width="16.54296875" style="14" bestFit="1" customWidth="1"/>
    <col min="2033" max="2033" width="12.54296875" style="14" customWidth="1"/>
    <col min="2034" max="2034" width="5.26953125" style="14" customWidth="1"/>
    <col min="2035" max="2035" width="11.453125" style="14" bestFit="1" customWidth="1"/>
    <col min="2036" max="2036" width="9.6328125" style="14" customWidth="1"/>
    <col min="2037" max="2037" width="15.81640625" style="14" bestFit="1" customWidth="1"/>
    <col min="2038" max="2048" width="9.6328125" style="14" customWidth="1"/>
    <col min="2049" max="2049" width="18.36328125" style="14" customWidth="1"/>
    <col min="2050" max="2054" width="12.54296875" style="14" bestFit="1" customWidth="1"/>
    <col min="2055" max="2286" width="9.6328125" style="14" customWidth="1"/>
    <col min="2287" max="2287" width="14.54296875" style="14" bestFit="1" customWidth="1"/>
    <col min="2288" max="2288" width="16.54296875" style="14" bestFit="1" customWidth="1"/>
    <col min="2289" max="2289" width="12.54296875" style="14" customWidth="1"/>
    <col min="2290" max="2290" width="5.26953125" style="14" customWidth="1"/>
    <col min="2291" max="2291" width="11.453125" style="14" bestFit="1" customWidth="1"/>
    <col min="2292" max="2292" width="9.6328125" style="14" customWidth="1"/>
    <col min="2293" max="2293" width="15.81640625" style="14" bestFit="1" customWidth="1"/>
    <col min="2294" max="2304" width="9.6328125" style="14" customWidth="1"/>
    <col min="2305" max="2305" width="18.36328125" style="14" customWidth="1"/>
    <col min="2306" max="2310" width="12.54296875" style="14" bestFit="1" customWidth="1"/>
    <col min="2311" max="2542" width="9.6328125" style="14" customWidth="1"/>
    <col min="2543" max="2543" width="14.54296875" style="14" bestFit="1" customWidth="1"/>
    <col min="2544" max="2544" width="16.54296875" style="14" bestFit="1" customWidth="1"/>
    <col min="2545" max="2545" width="12.54296875" style="14" customWidth="1"/>
    <col min="2546" max="2546" width="5.26953125" style="14" customWidth="1"/>
    <col min="2547" max="2547" width="11.453125" style="14" bestFit="1" customWidth="1"/>
    <col min="2548" max="2548" width="9.6328125" style="14" customWidth="1"/>
    <col min="2549" max="2549" width="15.81640625" style="14" bestFit="1" customWidth="1"/>
    <col min="2550" max="2560" width="9.6328125" style="14" customWidth="1"/>
    <col min="2561" max="2561" width="18.36328125" style="14" customWidth="1"/>
    <col min="2562" max="2566" width="12.54296875" style="14" bestFit="1" customWidth="1"/>
    <col min="2567" max="2798" width="9.6328125" style="14" customWidth="1"/>
    <col min="2799" max="2799" width="14.54296875" style="14" bestFit="1" customWidth="1"/>
    <col min="2800" max="2800" width="16.54296875" style="14" bestFit="1" customWidth="1"/>
    <col min="2801" max="2801" width="12.54296875" style="14" customWidth="1"/>
    <col min="2802" max="2802" width="5.26953125" style="14" customWidth="1"/>
    <col min="2803" max="2803" width="11.453125" style="14" bestFit="1" customWidth="1"/>
    <col min="2804" max="2804" width="9.6328125" style="14" customWidth="1"/>
    <col min="2805" max="2805" width="15.81640625" style="14" bestFit="1" customWidth="1"/>
    <col min="2806" max="2816" width="9.6328125" style="14" customWidth="1"/>
    <col min="2817" max="2817" width="18.36328125" style="14" customWidth="1"/>
    <col min="2818" max="2822" width="12.54296875" style="14" bestFit="1" customWidth="1"/>
    <col min="2823" max="3054" width="9.6328125" style="14" customWidth="1"/>
    <col min="3055" max="3055" width="14.54296875" style="14" bestFit="1" customWidth="1"/>
    <col min="3056" max="3056" width="16.54296875" style="14" bestFit="1" customWidth="1"/>
    <col min="3057" max="3057" width="12.54296875" style="14" customWidth="1"/>
    <col min="3058" max="3058" width="5.26953125" style="14" customWidth="1"/>
    <col min="3059" max="3059" width="11.453125" style="14" bestFit="1" customWidth="1"/>
    <col min="3060" max="3060" width="9.6328125" style="14" customWidth="1"/>
    <col min="3061" max="3061" width="15.81640625" style="14" bestFit="1" customWidth="1"/>
    <col min="3062" max="3072" width="9.6328125" style="14" customWidth="1"/>
    <col min="3073" max="3073" width="18.36328125" style="14" customWidth="1"/>
    <col min="3074" max="3078" width="12.54296875" style="14" bestFit="1" customWidth="1"/>
    <col min="3079" max="3310" width="9.6328125" style="14" customWidth="1"/>
    <col min="3311" max="3311" width="14.54296875" style="14" bestFit="1" customWidth="1"/>
    <col min="3312" max="3312" width="16.54296875" style="14" bestFit="1" customWidth="1"/>
    <col min="3313" max="3313" width="12.54296875" style="14" customWidth="1"/>
    <col min="3314" max="3314" width="5.26953125" style="14" customWidth="1"/>
    <col min="3315" max="3315" width="11.453125" style="14" bestFit="1" customWidth="1"/>
    <col min="3316" max="3316" width="9.6328125" style="14" customWidth="1"/>
    <col min="3317" max="3317" width="15.81640625" style="14" bestFit="1" customWidth="1"/>
    <col min="3318" max="3328" width="9.6328125" style="14" customWidth="1"/>
    <col min="3329" max="3329" width="18.36328125" style="14" customWidth="1"/>
    <col min="3330" max="3334" width="12.54296875" style="14" bestFit="1" customWidth="1"/>
    <col min="3335" max="3566" width="9.6328125" style="14" customWidth="1"/>
    <col min="3567" max="3567" width="14.54296875" style="14" bestFit="1" customWidth="1"/>
    <col min="3568" max="3568" width="16.54296875" style="14" bestFit="1" customWidth="1"/>
    <col min="3569" max="3569" width="12.54296875" style="14" customWidth="1"/>
    <col min="3570" max="3570" width="5.26953125" style="14" customWidth="1"/>
    <col min="3571" max="3571" width="11.453125" style="14" bestFit="1" customWidth="1"/>
    <col min="3572" max="3572" width="9.6328125" style="14" customWidth="1"/>
    <col min="3573" max="3573" width="15.81640625" style="14" bestFit="1" customWidth="1"/>
    <col min="3574" max="3584" width="9.6328125" style="14" customWidth="1"/>
    <col min="3585" max="3585" width="18.36328125" style="14" customWidth="1"/>
    <col min="3586" max="3590" width="12.54296875" style="14" bestFit="1" customWidth="1"/>
    <col min="3591" max="3822" width="9.6328125" style="14" customWidth="1"/>
    <col min="3823" max="3823" width="14.54296875" style="14" bestFit="1" customWidth="1"/>
    <col min="3824" max="3824" width="16.54296875" style="14" bestFit="1" customWidth="1"/>
    <col min="3825" max="3825" width="12.54296875" style="14" customWidth="1"/>
    <col min="3826" max="3826" width="5.26953125" style="14" customWidth="1"/>
    <col min="3827" max="3827" width="11.453125" style="14" bestFit="1" customWidth="1"/>
    <col min="3828" max="3828" width="9.6328125" style="14" customWidth="1"/>
    <col min="3829" max="3829" width="15.81640625" style="14" bestFit="1" customWidth="1"/>
    <col min="3830" max="3840" width="9.6328125" style="14" customWidth="1"/>
    <col min="3841" max="3841" width="18.36328125" style="14" customWidth="1"/>
    <col min="3842" max="3846" width="12.54296875" style="14" bestFit="1" customWidth="1"/>
    <col min="3847" max="4078" width="9.6328125" style="14" customWidth="1"/>
    <col min="4079" max="4079" width="14.54296875" style="14" bestFit="1" customWidth="1"/>
    <col min="4080" max="4080" width="16.54296875" style="14" bestFit="1" customWidth="1"/>
    <col min="4081" max="4081" width="12.54296875" style="14" customWidth="1"/>
    <col min="4082" max="4082" width="5.26953125" style="14" customWidth="1"/>
    <col min="4083" max="4083" width="11.453125" style="14" bestFit="1" customWidth="1"/>
    <col min="4084" max="4084" width="9.6328125" style="14" customWidth="1"/>
    <col min="4085" max="4085" width="15.81640625" style="14" bestFit="1" customWidth="1"/>
    <col min="4086" max="4096" width="9.6328125" style="14" customWidth="1"/>
    <col min="4097" max="4097" width="18.36328125" style="14" customWidth="1"/>
    <col min="4098" max="4102" width="12.54296875" style="14" bestFit="1" customWidth="1"/>
    <col min="4103" max="4334" width="9.6328125" style="14" customWidth="1"/>
    <col min="4335" max="4335" width="14.54296875" style="14" bestFit="1" customWidth="1"/>
    <col min="4336" max="4336" width="16.54296875" style="14" bestFit="1" customWidth="1"/>
    <col min="4337" max="4337" width="12.54296875" style="14" customWidth="1"/>
    <col min="4338" max="4338" width="5.26953125" style="14" customWidth="1"/>
    <col min="4339" max="4339" width="11.453125" style="14" bestFit="1" customWidth="1"/>
    <col min="4340" max="4340" width="9.6328125" style="14" customWidth="1"/>
    <col min="4341" max="4341" width="15.81640625" style="14" bestFit="1" customWidth="1"/>
    <col min="4342" max="4352" width="9.6328125" style="14" customWidth="1"/>
    <col min="4353" max="4353" width="18.36328125" style="14" customWidth="1"/>
    <col min="4354" max="4358" width="12.54296875" style="14" bestFit="1" customWidth="1"/>
    <col min="4359" max="4590" width="9.6328125" style="14" customWidth="1"/>
    <col min="4591" max="4591" width="14.54296875" style="14" bestFit="1" customWidth="1"/>
    <col min="4592" max="4592" width="16.54296875" style="14" bestFit="1" customWidth="1"/>
    <col min="4593" max="4593" width="12.54296875" style="14" customWidth="1"/>
    <col min="4594" max="4594" width="5.26953125" style="14" customWidth="1"/>
    <col min="4595" max="4595" width="11.453125" style="14" bestFit="1" customWidth="1"/>
    <col min="4596" max="4596" width="9.6328125" style="14" customWidth="1"/>
    <col min="4597" max="4597" width="15.81640625" style="14" bestFit="1" customWidth="1"/>
    <col min="4598" max="4608" width="9.6328125" style="14" customWidth="1"/>
    <col min="4609" max="4609" width="18.36328125" style="14" customWidth="1"/>
    <col min="4610" max="4614" width="12.54296875" style="14" bestFit="1" customWidth="1"/>
    <col min="4615" max="4846" width="9.6328125" style="14" customWidth="1"/>
    <col min="4847" max="4847" width="14.54296875" style="14" bestFit="1" customWidth="1"/>
    <col min="4848" max="4848" width="16.54296875" style="14" bestFit="1" customWidth="1"/>
    <col min="4849" max="4849" width="12.54296875" style="14" customWidth="1"/>
    <col min="4850" max="4850" width="5.26953125" style="14" customWidth="1"/>
    <col min="4851" max="4851" width="11.453125" style="14" bestFit="1" customWidth="1"/>
    <col min="4852" max="4852" width="9.6328125" style="14" customWidth="1"/>
    <col min="4853" max="4853" width="15.81640625" style="14" bestFit="1" customWidth="1"/>
    <col min="4854" max="4864" width="9.6328125" style="14" customWidth="1"/>
    <col min="4865" max="4865" width="18.36328125" style="14" customWidth="1"/>
    <col min="4866" max="4870" width="12.54296875" style="14" bestFit="1" customWidth="1"/>
    <col min="4871" max="5102" width="9.6328125" style="14" customWidth="1"/>
    <col min="5103" max="5103" width="14.54296875" style="14" bestFit="1" customWidth="1"/>
    <col min="5104" max="5104" width="16.54296875" style="14" bestFit="1" customWidth="1"/>
    <col min="5105" max="5105" width="12.54296875" style="14" customWidth="1"/>
    <col min="5106" max="5106" width="5.26953125" style="14" customWidth="1"/>
    <col min="5107" max="5107" width="11.453125" style="14" bestFit="1" customWidth="1"/>
    <col min="5108" max="5108" width="9.6328125" style="14" customWidth="1"/>
    <col min="5109" max="5109" width="15.81640625" style="14" bestFit="1" customWidth="1"/>
    <col min="5110" max="5120" width="9.6328125" style="14" customWidth="1"/>
    <col min="5121" max="5121" width="18.36328125" style="14" customWidth="1"/>
    <col min="5122" max="5126" width="12.54296875" style="14" bestFit="1" customWidth="1"/>
    <col min="5127" max="5358" width="9.6328125" style="14" customWidth="1"/>
    <col min="5359" max="5359" width="14.54296875" style="14" bestFit="1" customWidth="1"/>
    <col min="5360" max="5360" width="16.54296875" style="14" bestFit="1" customWidth="1"/>
    <col min="5361" max="5361" width="12.54296875" style="14" customWidth="1"/>
    <col min="5362" max="5362" width="5.26953125" style="14" customWidth="1"/>
    <col min="5363" max="5363" width="11.453125" style="14" bestFit="1" customWidth="1"/>
    <col min="5364" max="5364" width="9.6328125" style="14" customWidth="1"/>
    <col min="5365" max="5365" width="15.81640625" style="14" bestFit="1" customWidth="1"/>
    <col min="5366" max="5376" width="9.6328125" style="14" customWidth="1"/>
    <col min="5377" max="5377" width="18.36328125" style="14" customWidth="1"/>
    <col min="5378" max="5382" width="12.54296875" style="14" bestFit="1" customWidth="1"/>
    <col min="5383" max="5614" width="9.6328125" style="14" customWidth="1"/>
    <col min="5615" max="5615" width="14.54296875" style="14" bestFit="1" customWidth="1"/>
    <col min="5616" max="5616" width="16.54296875" style="14" bestFit="1" customWidth="1"/>
    <col min="5617" max="5617" width="12.54296875" style="14" customWidth="1"/>
    <col min="5618" max="5618" width="5.26953125" style="14" customWidth="1"/>
    <col min="5619" max="5619" width="11.453125" style="14" bestFit="1" customWidth="1"/>
    <col min="5620" max="5620" width="9.6328125" style="14" customWidth="1"/>
    <col min="5621" max="5621" width="15.81640625" style="14" bestFit="1" customWidth="1"/>
    <col min="5622" max="5632" width="9.6328125" style="14" customWidth="1"/>
    <col min="5633" max="5633" width="18.36328125" style="14" customWidth="1"/>
    <col min="5634" max="5638" width="12.54296875" style="14" bestFit="1" customWidth="1"/>
    <col min="5639" max="5870" width="9.6328125" style="14" customWidth="1"/>
    <col min="5871" max="5871" width="14.54296875" style="14" bestFit="1" customWidth="1"/>
    <col min="5872" max="5872" width="16.54296875" style="14" bestFit="1" customWidth="1"/>
    <col min="5873" max="5873" width="12.54296875" style="14" customWidth="1"/>
    <col min="5874" max="5874" width="5.26953125" style="14" customWidth="1"/>
    <col min="5875" max="5875" width="11.453125" style="14" bestFit="1" customWidth="1"/>
    <col min="5876" max="5876" width="9.6328125" style="14" customWidth="1"/>
    <col min="5877" max="5877" width="15.81640625" style="14" bestFit="1" customWidth="1"/>
    <col min="5878" max="5888" width="9.6328125" style="14" customWidth="1"/>
    <col min="5889" max="5889" width="18.36328125" style="14" customWidth="1"/>
    <col min="5890" max="5894" width="12.54296875" style="14" bestFit="1" customWidth="1"/>
    <col min="5895" max="6126" width="9.6328125" style="14" customWidth="1"/>
    <col min="6127" max="6127" width="14.54296875" style="14" bestFit="1" customWidth="1"/>
    <col min="6128" max="6128" width="16.54296875" style="14" bestFit="1" customWidth="1"/>
    <col min="6129" max="6129" width="12.54296875" style="14" customWidth="1"/>
    <col min="6130" max="6130" width="5.26953125" style="14" customWidth="1"/>
    <col min="6131" max="6131" width="11.453125" style="14" bestFit="1" customWidth="1"/>
    <col min="6132" max="6132" width="9.6328125" style="14" customWidth="1"/>
    <col min="6133" max="6133" width="15.81640625" style="14" bestFit="1" customWidth="1"/>
    <col min="6134" max="6144" width="9.6328125" style="14" customWidth="1"/>
    <col min="6145" max="6145" width="18.36328125" style="14" customWidth="1"/>
    <col min="6146" max="6150" width="12.54296875" style="14" bestFit="1" customWidth="1"/>
    <col min="6151" max="6382" width="9.6328125" style="14" customWidth="1"/>
    <col min="6383" max="6383" width="14.54296875" style="14" bestFit="1" customWidth="1"/>
    <col min="6384" max="6384" width="16.54296875" style="14" bestFit="1" customWidth="1"/>
    <col min="6385" max="6385" width="12.54296875" style="14" customWidth="1"/>
    <col min="6386" max="6386" width="5.26953125" style="14" customWidth="1"/>
    <col min="6387" max="6387" width="11.453125" style="14" bestFit="1" customWidth="1"/>
    <col min="6388" max="6388" width="9.6328125" style="14" customWidth="1"/>
    <col min="6389" max="6389" width="15.81640625" style="14" bestFit="1" customWidth="1"/>
    <col min="6390" max="6400" width="9.6328125" style="14" customWidth="1"/>
    <col min="6401" max="6401" width="18.36328125" style="14" customWidth="1"/>
    <col min="6402" max="6406" width="12.54296875" style="14" bestFit="1" customWidth="1"/>
    <col min="6407" max="6638" width="9.6328125" style="14" customWidth="1"/>
    <col min="6639" max="6639" width="14.54296875" style="14" bestFit="1" customWidth="1"/>
    <col min="6640" max="6640" width="16.54296875" style="14" bestFit="1" customWidth="1"/>
    <col min="6641" max="6641" width="12.54296875" style="14" customWidth="1"/>
    <col min="6642" max="6642" width="5.26953125" style="14" customWidth="1"/>
    <col min="6643" max="6643" width="11.453125" style="14" bestFit="1" customWidth="1"/>
    <col min="6644" max="6644" width="9.6328125" style="14" customWidth="1"/>
    <col min="6645" max="6645" width="15.81640625" style="14" bestFit="1" customWidth="1"/>
    <col min="6646" max="6656" width="9.6328125" style="14" customWidth="1"/>
    <col min="6657" max="6657" width="18.36328125" style="14" customWidth="1"/>
    <col min="6658" max="6662" width="12.54296875" style="14" bestFit="1" customWidth="1"/>
    <col min="6663" max="6894" width="9.6328125" style="14" customWidth="1"/>
    <col min="6895" max="6895" width="14.54296875" style="14" bestFit="1" customWidth="1"/>
    <col min="6896" max="6896" width="16.54296875" style="14" bestFit="1" customWidth="1"/>
    <col min="6897" max="6897" width="12.54296875" style="14" customWidth="1"/>
    <col min="6898" max="6898" width="5.26953125" style="14" customWidth="1"/>
    <col min="6899" max="6899" width="11.453125" style="14" bestFit="1" customWidth="1"/>
    <col min="6900" max="6900" width="9.6328125" style="14" customWidth="1"/>
    <col min="6901" max="6901" width="15.81640625" style="14" bestFit="1" customWidth="1"/>
    <col min="6902" max="6912" width="9.6328125" style="14" customWidth="1"/>
    <col min="6913" max="6913" width="18.36328125" style="14" customWidth="1"/>
    <col min="6914" max="6918" width="12.54296875" style="14" bestFit="1" customWidth="1"/>
    <col min="6919" max="7150" width="9.6328125" style="14" customWidth="1"/>
    <col min="7151" max="7151" width="14.54296875" style="14" bestFit="1" customWidth="1"/>
    <col min="7152" max="7152" width="16.54296875" style="14" bestFit="1" customWidth="1"/>
    <col min="7153" max="7153" width="12.54296875" style="14" customWidth="1"/>
    <col min="7154" max="7154" width="5.26953125" style="14" customWidth="1"/>
    <col min="7155" max="7155" width="11.453125" style="14" bestFit="1" customWidth="1"/>
    <col min="7156" max="7156" width="9.6328125" style="14" customWidth="1"/>
    <col min="7157" max="7157" width="15.81640625" style="14" bestFit="1" customWidth="1"/>
    <col min="7158" max="7168" width="9.6328125" style="14" customWidth="1"/>
    <col min="7169" max="7169" width="18.36328125" style="14" customWidth="1"/>
    <col min="7170" max="7174" width="12.54296875" style="14" bestFit="1" customWidth="1"/>
    <col min="7175" max="7406" width="9.6328125" style="14" customWidth="1"/>
    <col min="7407" max="7407" width="14.54296875" style="14" bestFit="1" customWidth="1"/>
    <col min="7408" max="7408" width="16.54296875" style="14" bestFit="1" customWidth="1"/>
    <col min="7409" max="7409" width="12.54296875" style="14" customWidth="1"/>
    <col min="7410" max="7410" width="5.26953125" style="14" customWidth="1"/>
    <col min="7411" max="7411" width="11.453125" style="14" bestFit="1" customWidth="1"/>
    <col min="7412" max="7412" width="9.6328125" style="14" customWidth="1"/>
    <col min="7413" max="7413" width="15.81640625" style="14" bestFit="1" customWidth="1"/>
    <col min="7414" max="7424" width="9.6328125" style="14" customWidth="1"/>
    <col min="7425" max="7425" width="18.36328125" style="14" customWidth="1"/>
    <col min="7426" max="7430" width="12.54296875" style="14" bestFit="1" customWidth="1"/>
    <col min="7431" max="7662" width="9.6328125" style="14" customWidth="1"/>
    <col min="7663" max="7663" width="14.54296875" style="14" bestFit="1" customWidth="1"/>
    <col min="7664" max="7664" width="16.54296875" style="14" bestFit="1" customWidth="1"/>
    <col min="7665" max="7665" width="12.54296875" style="14" customWidth="1"/>
    <col min="7666" max="7666" width="5.26953125" style="14" customWidth="1"/>
    <col min="7667" max="7667" width="11.453125" style="14" bestFit="1" customWidth="1"/>
    <col min="7668" max="7668" width="9.6328125" style="14" customWidth="1"/>
    <col min="7669" max="7669" width="15.81640625" style="14" bestFit="1" customWidth="1"/>
    <col min="7670" max="7680" width="9.6328125" style="14" customWidth="1"/>
    <col min="7681" max="7681" width="18.36328125" style="14" customWidth="1"/>
    <col min="7682" max="7686" width="12.54296875" style="14" bestFit="1" customWidth="1"/>
    <col min="7687" max="7918" width="9.6328125" style="14" customWidth="1"/>
    <col min="7919" max="7919" width="14.54296875" style="14" bestFit="1" customWidth="1"/>
    <col min="7920" max="7920" width="16.54296875" style="14" bestFit="1" customWidth="1"/>
    <col min="7921" max="7921" width="12.54296875" style="14" customWidth="1"/>
    <col min="7922" max="7922" width="5.26953125" style="14" customWidth="1"/>
    <col min="7923" max="7923" width="11.453125" style="14" bestFit="1" customWidth="1"/>
    <col min="7924" max="7924" width="9.6328125" style="14" customWidth="1"/>
    <col min="7925" max="7925" width="15.81640625" style="14" bestFit="1" customWidth="1"/>
    <col min="7926" max="7936" width="9.6328125" style="14" customWidth="1"/>
    <col min="7937" max="7937" width="18.36328125" style="14" customWidth="1"/>
    <col min="7938" max="7942" width="12.54296875" style="14" bestFit="1" customWidth="1"/>
    <col min="7943" max="8174" width="9.6328125" style="14" customWidth="1"/>
    <col min="8175" max="8175" width="14.54296875" style="14" bestFit="1" customWidth="1"/>
    <col min="8176" max="8176" width="16.54296875" style="14" bestFit="1" customWidth="1"/>
    <col min="8177" max="8177" width="12.54296875" style="14" customWidth="1"/>
    <col min="8178" max="8178" width="5.26953125" style="14" customWidth="1"/>
    <col min="8179" max="8179" width="11.453125" style="14" bestFit="1" customWidth="1"/>
    <col min="8180" max="8180" width="9.6328125" style="14" customWidth="1"/>
    <col min="8181" max="8181" width="15.81640625" style="14" bestFit="1" customWidth="1"/>
    <col min="8182" max="8192" width="9.6328125" style="14" customWidth="1"/>
    <col min="8193" max="8193" width="18.36328125" style="14" customWidth="1"/>
    <col min="8194" max="8198" width="12.54296875" style="14" bestFit="1" customWidth="1"/>
    <col min="8199" max="8430" width="9.6328125" style="14" customWidth="1"/>
    <col min="8431" max="8431" width="14.54296875" style="14" bestFit="1" customWidth="1"/>
    <col min="8432" max="8432" width="16.54296875" style="14" bestFit="1" customWidth="1"/>
    <col min="8433" max="8433" width="12.54296875" style="14" customWidth="1"/>
    <col min="8434" max="8434" width="5.26953125" style="14" customWidth="1"/>
    <col min="8435" max="8435" width="11.453125" style="14" bestFit="1" customWidth="1"/>
    <col min="8436" max="8436" width="9.6328125" style="14" customWidth="1"/>
    <col min="8437" max="8437" width="15.81640625" style="14" bestFit="1" customWidth="1"/>
    <col min="8438" max="8448" width="9.6328125" style="14" customWidth="1"/>
    <col min="8449" max="8449" width="18.36328125" style="14" customWidth="1"/>
    <col min="8450" max="8454" width="12.54296875" style="14" bestFit="1" customWidth="1"/>
    <col min="8455" max="8686" width="9.6328125" style="14" customWidth="1"/>
    <col min="8687" max="8687" width="14.54296875" style="14" bestFit="1" customWidth="1"/>
    <col min="8688" max="8688" width="16.54296875" style="14" bestFit="1" customWidth="1"/>
    <col min="8689" max="8689" width="12.54296875" style="14" customWidth="1"/>
    <col min="8690" max="8690" width="5.26953125" style="14" customWidth="1"/>
    <col min="8691" max="8691" width="11.453125" style="14" bestFit="1" customWidth="1"/>
    <col min="8692" max="8692" width="9.6328125" style="14" customWidth="1"/>
    <col min="8693" max="8693" width="15.81640625" style="14" bestFit="1" customWidth="1"/>
    <col min="8694" max="8704" width="9.6328125" style="14" customWidth="1"/>
    <col min="8705" max="8705" width="18.36328125" style="14" customWidth="1"/>
    <col min="8706" max="8710" width="12.54296875" style="14" bestFit="1" customWidth="1"/>
    <col min="8711" max="8942" width="9.6328125" style="14" customWidth="1"/>
    <col min="8943" max="8943" width="14.54296875" style="14" bestFit="1" customWidth="1"/>
    <col min="8944" max="8944" width="16.54296875" style="14" bestFit="1" customWidth="1"/>
    <col min="8945" max="8945" width="12.54296875" style="14" customWidth="1"/>
    <col min="8946" max="8946" width="5.26953125" style="14" customWidth="1"/>
    <col min="8947" max="8947" width="11.453125" style="14" bestFit="1" customWidth="1"/>
    <col min="8948" max="8948" width="9.6328125" style="14" customWidth="1"/>
    <col min="8949" max="8949" width="15.81640625" style="14" bestFit="1" customWidth="1"/>
    <col min="8950" max="8960" width="9.6328125" style="14" customWidth="1"/>
    <col min="8961" max="8961" width="18.36328125" style="14" customWidth="1"/>
    <col min="8962" max="8966" width="12.54296875" style="14" bestFit="1" customWidth="1"/>
    <col min="8967" max="9198" width="9.6328125" style="14" customWidth="1"/>
    <col min="9199" max="9199" width="14.54296875" style="14" bestFit="1" customWidth="1"/>
    <col min="9200" max="9200" width="16.54296875" style="14" bestFit="1" customWidth="1"/>
    <col min="9201" max="9201" width="12.54296875" style="14" customWidth="1"/>
    <col min="9202" max="9202" width="5.26953125" style="14" customWidth="1"/>
    <col min="9203" max="9203" width="11.453125" style="14" bestFit="1" customWidth="1"/>
    <col min="9204" max="9204" width="9.6328125" style="14" customWidth="1"/>
    <col min="9205" max="9205" width="15.81640625" style="14" bestFit="1" customWidth="1"/>
    <col min="9206" max="9216" width="9.6328125" style="14" customWidth="1"/>
    <col min="9217" max="9217" width="18.36328125" style="14" customWidth="1"/>
    <col min="9218" max="9222" width="12.54296875" style="14" bestFit="1" customWidth="1"/>
    <col min="9223" max="9454" width="9.6328125" style="14" customWidth="1"/>
    <col min="9455" max="9455" width="14.54296875" style="14" bestFit="1" customWidth="1"/>
    <col min="9456" max="9456" width="16.54296875" style="14" bestFit="1" customWidth="1"/>
    <col min="9457" max="9457" width="12.54296875" style="14" customWidth="1"/>
    <col min="9458" max="9458" width="5.26953125" style="14" customWidth="1"/>
    <col min="9459" max="9459" width="11.453125" style="14" bestFit="1" customWidth="1"/>
    <col min="9460" max="9460" width="9.6328125" style="14" customWidth="1"/>
    <col min="9461" max="9461" width="15.81640625" style="14" bestFit="1" customWidth="1"/>
    <col min="9462" max="9472" width="9.6328125" style="14" customWidth="1"/>
    <col min="9473" max="9473" width="18.36328125" style="14" customWidth="1"/>
    <col min="9474" max="9478" width="12.54296875" style="14" bestFit="1" customWidth="1"/>
    <col min="9479" max="9710" width="9.6328125" style="14" customWidth="1"/>
    <col min="9711" max="9711" width="14.54296875" style="14" bestFit="1" customWidth="1"/>
    <col min="9712" max="9712" width="16.54296875" style="14" bestFit="1" customWidth="1"/>
    <col min="9713" max="9713" width="12.54296875" style="14" customWidth="1"/>
    <col min="9714" max="9714" width="5.26953125" style="14" customWidth="1"/>
    <col min="9715" max="9715" width="11.453125" style="14" bestFit="1" customWidth="1"/>
    <col min="9716" max="9716" width="9.6328125" style="14" customWidth="1"/>
    <col min="9717" max="9717" width="15.81640625" style="14" bestFit="1" customWidth="1"/>
    <col min="9718" max="9728" width="9.6328125" style="14" customWidth="1"/>
    <col min="9729" max="9729" width="18.36328125" style="14" customWidth="1"/>
    <col min="9730" max="9734" width="12.54296875" style="14" bestFit="1" customWidth="1"/>
    <col min="9735" max="9966" width="9.6328125" style="14" customWidth="1"/>
    <col min="9967" max="9967" width="14.54296875" style="14" bestFit="1" customWidth="1"/>
    <col min="9968" max="9968" width="16.54296875" style="14" bestFit="1" customWidth="1"/>
    <col min="9969" max="9969" width="12.54296875" style="14" customWidth="1"/>
    <col min="9970" max="9970" width="5.26953125" style="14" customWidth="1"/>
    <col min="9971" max="9971" width="11.453125" style="14" bestFit="1" customWidth="1"/>
    <col min="9972" max="9972" width="9.6328125" style="14" customWidth="1"/>
    <col min="9973" max="9973" width="15.81640625" style="14" bestFit="1" customWidth="1"/>
    <col min="9974" max="9984" width="9.6328125" style="14" customWidth="1"/>
    <col min="9985" max="9985" width="18.36328125" style="14" customWidth="1"/>
    <col min="9986" max="9990" width="12.54296875" style="14" bestFit="1" customWidth="1"/>
    <col min="9991" max="10222" width="9.6328125" style="14" customWidth="1"/>
    <col min="10223" max="10223" width="14.54296875" style="14" bestFit="1" customWidth="1"/>
    <col min="10224" max="10224" width="16.54296875" style="14" bestFit="1" customWidth="1"/>
    <col min="10225" max="10225" width="12.54296875" style="14" customWidth="1"/>
    <col min="10226" max="10226" width="5.26953125" style="14" customWidth="1"/>
    <col min="10227" max="10227" width="11.453125" style="14" bestFit="1" customWidth="1"/>
    <col min="10228" max="10228" width="9.6328125" style="14" customWidth="1"/>
    <col min="10229" max="10229" width="15.81640625" style="14" bestFit="1" customWidth="1"/>
    <col min="10230" max="10240" width="9.6328125" style="14" customWidth="1"/>
    <col min="10241" max="10241" width="18.36328125" style="14" customWidth="1"/>
    <col min="10242" max="10246" width="12.54296875" style="14" bestFit="1" customWidth="1"/>
    <col min="10247" max="10478" width="9.6328125" style="14" customWidth="1"/>
    <col min="10479" max="10479" width="14.54296875" style="14" bestFit="1" customWidth="1"/>
    <col min="10480" max="10480" width="16.54296875" style="14" bestFit="1" customWidth="1"/>
    <col min="10481" max="10481" width="12.54296875" style="14" customWidth="1"/>
    <col min="10482" max="10482" width="5.26953125" style="14" customWidth="1"/>
    <col min="10483" max="10483" width="11.453125" style="14" bestFit="1" customWidth="1"/>
    <col min="10484" max="10484" width="9.6328125" style="14" customWidth="1"/>
    <col min="10485" max="10485" width="15.81640625" style="14" bestFit="1" customWidth="1"/>
    <col min="10486" max="10496" width="9.6328125" style="14" customWidth="1"/>
    <col min="10497" max="10497" width="18.36328125" style="14" customWidth="1"/>
    <col min="10498" max="10502" width="12.54296875" style="14" bestFit="1" customWidth="1"/>
    <col min="10503" max="10734" width="9.6328125" style="14" customWidth="1"/>
    <col min="10735" max="10735" width="14.54296875" style="14" bestFit="1" customWidth="1"/>
    <col min="10736" max="10736" width="16.54296875" style="14" bestFit="1" customWidth="1"/>
    <col min="10737" max="10737" width="12.54296875" style="14" customWidth="1"/>
    <col min="10738" max="10738" width="5.26953125" style="14" customWidth="1"/>
    <col min="10739" max="10739" width="11.453125" style="14" bestFit="1" customWidth="1"/>
    <col min="10740" max="10740" width="9.6328125" style="14" customWidth="1"/>
    <col min="10741" max="10741" width="15.81640625" style="14" bestFit="1" customWidth="1"/>
    <col min="10742" max="10752" width="9.6328125" style="14" customWidth="1"/>
    <col min="10753" max="10753" width="18.36328125" style="14" customWidth="1"/>
    <col min="10754" max="10758" width="12.54296875" style="14" bestFit="1" customWidth="1"/>
    <col min="10759" max="10990" width="9.6328125" style="14" customWidth="1"/>
    <col min="10991" max="10991" width="14.54296875" style="14" bestFit="1" customWidth="1"/>
    <col min="10992" max="10992" width="16.54296875" style="14" bestFit="1" customWidth="1"/>
    <col min="10993" max="10993" width="12.54296875" style="14" customWidth="1"/>
    <col min="10994" max="10994" width="5.26953125" style="14" customWidth="1"/>
    <col min="10995" max="10995" width="11.453125" style="14" bestFit="1" customWidth="1"/>
    <col min="10996" max="10996" width="9.6328125" style="14" customWidth="1"/>
    <col min="10997" max="10997" width="15.81640625" style="14" bestFit="1" customWidth="1"/>
    <col min="10998" max="11008" width="9.6328125" style="14" customWidth="1"/>
    <col min="11009" max="11009" width="18.36328125" style="14" customWidth="1"/>
    <col min="11010" max="11014" width="12.54296875" style="14" bestFit="1" customWidth="1"/>
    <col min="11015" max="11246" width="9.6328125" style="14" customWidth="1"/>
    <col min="11247" max="11247" width="14.54296875" style="14" bestFit="1" customWidth="1"/>
    <col min="11248" max="11248" width="16.54296875" style="14" bestFit="1" customWidth="1"/>
    <col min="11249" max="11249" width="12.54296875" style="14" customWidth="1"/>
    <col min="11250" max="11250" width="5.26953125" style="14" customWidth="1"/>
    <col min="11251" max="11251" width="11.453125" style="14" bestFit="1" customWidth="1"/>
    <col min="11252" max="11252" width="9.6328125" style="14" customWidth="1"/>
    <col min="11253" max="11253" width="15.81640625" style="14" bestFit="1" customWidth="1"/>
    <col min="11254" max="11264" width="9.6328125" style="14" customWidth="1"/>
    <col min="11265" max="11265" width="18.36328125" style="14" customWidth="1"/>
    <col min="11266" max="11270" width="12.54296875" style="14" bestFit="1" customWidth="1"/>
    <col min="11271" max="11502" width="9.6328125" style="14" customWidth="1"/>
    <col min="11503" max="11503" width="14.54296875" style="14" bestFit="1" customWidth="1"/>
    <col min="11504" max="11504" width="16.54296875" style="14" bestFit="1" customWidth="1"/>
    <col min="11505" max="11505" width="12.54296875" style="14" customWidth="1"/>
    <col min="11506" max="11506" width="5.26953125" style="14" customWidth="1"/>
    <col min="11507" max="11507" width="11.453125" style="14" bestFit="1" customWidth="1"/>
    <col min="11508" max="11508" width="9.6328125" style="14" customWidth="1"/>
    <col min="11509" max="11509" width="15.81640625" style="14" bestFit="1" customWidth="1"/>
    <col min="11510" max="11520" width="9.6328125" style="14" customWidth="1"/>
    <col min="11521" max="11521" width="18.36328125" style="14" customWidth="1"/>
    <col min="11522" max="11526" width="12.54296875" style="14" bestFit="1" customWidth="1"/>
    <col min="11527" max="11758" width="9.6328125" style="14" customWidth="1"/>
    <col min="11759" max="11759" width="14.54296875" style="14" bestFit="1" customWidth="1"/>
    <col min="11760" max="11760" width="16.54296875" style="14" bestFit="1" customWidth="1"/>
    <col min="11761" max="11761" width="12.54296875" style="14" customWidth="1"/>
    <col min="11762" max="11762" width="5.26953125" style="14" customWidth="1"/>
    <col min="11763" max="11763" width="11.453125" style="14" bestFit="1" customWidth="1"/>
    <col min="11764" max="11764" width="9.6328125" style="14" customWidth="1"/>
    <col min="11765" max="11765" width="15.81640625" style="14" bestFit="1" customWidth="1"/>
    <col min="11766" max="11776" width="9.6328125" style="14" customWidth="1"/>
    <col min="11777" max="11777" width="18.36328125" style="14" customWidth="1"/>
    <col min="11778" max="11782" width="12.54296875" style="14" bestFit="1" customWidth="1"/>
    <col min="11783" max="12014" width="9.6328125" style="14" customWidth="1"/>
    <col min="12015" max="12015" width="14.54296875" style="14" bestFit="1" customWidth="1"/>
    <col min="12016" max="12016" width="16.54296875" style="14" bestFit="1" customWidth="1"/>
    <col min="12017" max="12017" width="12.54296875" style="14" customWidth="1"/>
    <col min="12018" max="12018" width="5.26953125" style="14" customWidth="1"/>
    <col min="12019" max="12019" width="11.453125" style="14" bestFit="1" customWidth="1"/>
    <col min="12020" max="12020" width="9.6328125" style="14" customWidth="1"/>
    <col min="12021" max="12021" width="15.81640625" style="14" bestFit="1" customWidth="1"/>
    <col min="12022" max="12032" width="9.6328125" style="14" customWidth="1"/>
    <col min="12033" max="12033" width="18.36328125" style="14" customWidth="1"/>
    <col min="12034" max="12038" width="12.54296875" style="14" bestFit="1" customWidth="1"/>
    <col min="12039" max="12270" width="9.6328125" style="14" customWidth="1"/>
    <col min="12271" max="12271" width="14.54296875" style="14" bestFit="1" customWidth="1"/>
    <col min="12272" max="12272" width="16.54296875" style="14" bestFit="1" customWidth="1"/>
    <col min="12273" max="12273" width="12.54296875" style="14" customWidth="1"/>
    <col min="12274" max="12274" width="5.26953125" style="14" customWidth="1"/>
    <col min="12275" max="12275" width="11.453125" style="14" bestFit="1" customWidth="1"/>
    <col min="12276" max="12276" width="9.6328125" style="14" customWidth="1"/>
    <col min="12277" max="12277" width="15.81640625" style="14" bestFit="1" customWidth="1"/>
    <col min="12278" max="12288" width="9.6328125" style="14" customWidth="1"/>
    <col min="12289" max="12289" width="18.36328125" style="14" customWidth="1"/>
    <col min="12290" max="12294" width="12.54296875" style="14" bestFit="1" customWidth="1"/>
    <col min="12295" max="12526" width="9.6328125" style="14" customWidth="1"/>
    <col min="12527" max="12527" width="14.54296875" style="14" bestFit="1" customWidth="1"/>
    <col min="12528" max="12528" width="16.54296875" style="14" bestFit="1" customWidth="1"/>
    <col min="12529" max="12529" width="12.54296875" style="14" customWidth="1"/>
    <col min="12530" max="12530" width="5.26953125" style="14" customWidth="1"/>
    <col min="12531" max="12531" width="11.453125" style="14" bestFit="1" customWidth="1"/>
    <col min="12532" max="12532" width="9.6328125" style="14" customWidth="1"/>
    <col min="12533" max="12533" width="15.81640625" style="14" bestFit="1" customWidth="1"/>
    <col min="12534" max="12544" width="9.6328125" style="14" customWidth="1"/>
    <col min="12545" max="12545" width="18.36328125" style="14" customWidth="1"/>
    <col min="12546" max="12550" width="12.54296875" style="14" bestFit="1" customWidth="1"/>
    <col min="12551" max="12782" width="9.6328125" style="14" customWidth="1"/>
    <col min="12783" max="12783" width="14.54296875" style="14" bestFit="1" customWidth="1"/>
    <col min="12784" max="12784" width="16.54296875" style="14" bestFit="1" customWidth="1"/>
    <col min="12785" max="12785" width="12.54296875" style="14" customWidth="1"/>
    <col min="12786" max="12786" width="5.26953125" style="14" customWidth="1"/>
    <col min="12787" max="12787" width="11.453125" style="14" bestFit="1" customWidth="1"/>
    <col min="12788" max="12788" width="9.6328125" style="14" customWidth="1"/>
    <col min="12789" max="12789" width="15.81640625" style="14" bestFit="1" customWidth="1"/>
    <col min="12790" max="12800" width="9.6328125" style="14" customWidth="1"/>
    <col min="12801" max="12801" width="18.36328125" style="14" customWidth="1"/>
    <col min="12802" max="12806" width="12.54296875" style="14" bestFit="1" customWidth="1"/>
    <col min="12807" max="13038" width="9.6328125" style="14" customWidth="1"/>
    <col min="13039" max="13039" width="14.54296875" style="14" bestFit="1" customWidth="1"/>
    <col min="13040" max="13040" width="16.54296875" style="14" bestFit="1" customWidth="1"/>
    <col min="13041" max="13041" width="12.54296875" style="14" customWidth="1"/>
    <col min="13042" max="13042" width="5.26953125" style="14" customWidth="1"/>
    <col min="13043" max="13043" width="11.453125" style="14" bestFit="1" customWidth="1"/>
    <col min="13044" max="13044" width="9.6328125" style="14" customWidth="1"/>
    <col min="13045" max="13045" width="15.81640625" style="14" bestFit="1" customWidth="1"/>
    <col min="13046" max="13056" width="9.6328125" style="14" customWidth="1"/>
    <col min="13057" max="13057" width="18.36328125" style="14" customWidth="1"/>
    <col min="13058" max="13062" width="12.54296875" style="14" bestFit="1" customWidth="1"/>
    <col min="13063" max="13294" width="9.6328125" style="14" customWidth="1"/>
    <col min="13295" max="13295" width="14.54296875" style="14" bestFit="1" customWidth="1"/>
    <col min="13296" max="13296" width="16.54296875" style="14" bestFit="1" customWidth="1"/>
    <col min="13297" max="13297" width="12.54296875" style="14" customWidth="1"/>
    <col min="13298" max="13298" width="5.26953125" style="14" customWidth="1"/>
    <col min="13299" max="13299" width="11.453125" style="14" bestFit="1" customWidth="1"/>
    <col min="13300" max="13300" width="9.6328125" style="14" customWidth="1"/>
    <col min="13301" max="13301" width="15.81640625" style="14" bestFit="1" customWidth="1"/>
    <col min="13302" max="13312" width="9.6328125" style="14" customWidth="1"/>
    <col min="13313" max="13313" width="18.36328125" style="14" customWidth="1"/>
    <col min="13314" max="13318" width="12.54296875" style="14" bestFit="1" customWidth="1"/>
    <col min="13319" max="13550" width="9.6328125" style="14" customWidth="1"/>
    <col min="13551" max="13551" width="14.54296875" style="14" bestFit="1" customWidth="1"/>
    <col min="13552" max="13552" width="16.54296875" style="14" bestFit="1" customWidth="1"/>
    <col min="13553" max="13553" width="12.54296875" style="14" customWidth="1"/>
    <col min="13554" max="13554" width="5.26953125" style="14" customWidth="1"/>
    <col min="13555" max="13555" width="11.453125" style="14" bestFit="1" customWidth="1"/>
    <col min="13556" max="13556" width="9.6328125" style="14" customWidth="1"/>
    <col min="13557" max="13557" width="15.81640625" style="14" bestFit="1" customWidth="1"/>
    <col min="13558" max="13568" width="9.6328125" style="14" customWidth="1"/>
    <col min="13569" max="13569" width="18.36328125" style="14" customWidth="1"/>
    <col min="13570" max="13574" width="12.54296875" style="14" bestFit="1" customWidth="1"/>
    <col min="13575" max="13806" width="9.6328125" style="14" customWidth="1"/>
    <col min="13807" max="13807" width="14.54296875" style="14" bestFit="1" customWidth="1"/>
    <col min="13808" max="13808" width="16.54296875" style="14" bestFit="1" customWidth="1"/>
    <col min="13809" max="13809" width="12.54296875" style="14" customWidth="1"/>
    <col min="13810" max="13810" width="5.26953125" style="14" customWidth="1"/>
    <col min="13811" max="13811" width="11.453125" style="14" bestFit="1" customWidth="1"/>
    <col min="13812" max="13812" width="9.6328125" style="14" customWidth="1"/>
    <col min="13813" max="13813" width="15.81640625" style="14" bestFit="1" customWidth="1"/>
    <col min="13814" max="13824" width="9.6328125" style="14" customWidth="1"/>
    <col min="13825" max="13825" width="18.36328125" style="14" customWidth="1"/>
    <col min="13826" max="13830" width="12.54296875" style="14" bestFit="1" customWidth="1"/>
    <col min="13831" max="14062" width="9.6328125" style="14" customWidth="1"/>
    <col min="14063" max="14063" width="14.54296875" style="14" bestFit="1" customWidth="1"/>
    <col min="14064" max="14064" width="16.54296875" style="14" bestFit="1" customWidth="1"/>
    <col min="14065" max="14065" width="12.54296875" style="14" customWidth="1"/>
    <col min="14066" max="14066" width="5.26953125" style="14" customWidth="1"/>
    <col min="14067" max="14067" width="11.453125" style="14" bestFit="1" customWidth="1"/>
    <col min="14068" max="14068" width="9.6328125" style="14" customWidth="1"/>
    <col min="14069" max="14069" width="15.81640625" style="14" bestFit="1" customWidth="1"/>
    <col min="14070" max="14080" width="9.6328125" style="14" customWidth="1"/>
    <col min="14081" max="14081" width="18.36328125" style="14" customWidth="1"/>
    <col min="14082" max="14086" width="12.54296875" style="14" bestFit="1" customWidth="1"/>
    <col min="14087" max="14318" width="9.6328125" style="14" customWidth="1"/>
    <col min="14319" max="14319" width="14.54296875" style="14" bestFit="1" customWidth="1"/>
    <col min="14320" max="14320" width="16.54296875" style="14" bestFit="1" customWidth="1"/>
    <col min="14321" max="14321" width="12.54296875" style="14" customWidth="1"/>
    <col min="14322" max="14322" width="5.26953125" style="14" customWidth="1"/>
    <col min="14323" max="14323" width="11.453125" style="14" bestFit="1" customWidth="1"/>
    <col min="14324" max="14324" width="9.6328125" style="14" customWidth="1"/>
    <col min="14325" max="14325" width="15.81640625" style="14" bestFit="1" customWidth="1"/>
    <col min="14326" max="14336" width="9.6328125" style="14" customWidth="1"/>
    <col min="14337" max="14337" width="18.36328125" style="14" customWidth="1"/>
    <col min="14338" max="14342" width="12.54296875" style="14" bestFit="1" customWidth="1"/>
    <col min="14343" max="14574" width="9.6328125" style="14" customWidth="1"/>
    <col min="14575" max="14575" width="14.54296875" style="14" bestFit="1" customWidth="1"/>
    <col min="14576" max="14576" width="16.54296875" style="14" bestFit="1" customWidth="1"/>
    <col min="14577" max="14577" width="12.54296875" style="14" customWidth="1"/>
    <col min="14578" max="14578" width="5.26953125" style="14" customWidth="1"/>
    <col min="14579" max="14579" width="11.453125" style="14" bestFit="1" customWidth="1"/>
    <col min="14580" max="14580" width="9.6328125" style="14" customWidth="1"/>
    <col min="14581" max="14581" width="15.81640625" style="14" bestFit="1" customWidth="1"/>
    <col min="14582" max="14592" width="9.6328125" style="14" customWidth="1"/>
    <col min="14593" max="14593" width="18.36328125" style="14" customWidth="1"/>
    <col min="14594" max="14598" width="12.54296875" style="14" bestFit="1" customWidth="1"/>
    <col min="14599" max="14830" width="9.6328125" style="14" customWidth="1"/>
    <col min="14831" max="14831" width="14.54296875" style="14" bestFit="1" customWidth="1"/>
    <col min="14832" max="14832" width="16.54296875" style="14" bestFit="1" customWidth="1"/>
    <col min="14833" max="14833" width="12.54296875" style="14" customWidth="1"/>
    <col min="14834" max="14834" width="5.26953125" style="14" customWidth="1"/>
    <col min="14835" max="14835" width="11.453125" style="14" bestFit="1" customWidth="1"/>
    <col min="14836" max="14836" width="9.6328125" style="14" customWidth="1"/>
    <col min="14837" max="14837" width="15.81640625" style="14" bestFit="1" customWidth="1"/>
    <col min="14838" max="14848" width="9.6328125" style="14" customWidth="1"/>
    <col min="14849" max="14849" width="18.36328125" style="14" customWidth="1"/>
    <col min="14850" max="14854" width="12.54296875" style="14" bestFit="1" customWidth="1"/>
    <col min="14855" max="15086" width="9.6328125" style="14" customWidth="1"/>
    <col min="15087" max="15087" width="14.54296875" style="14" bestFit="1" customWidth="1"/>
    <col min="15088" max="15088" width="16.54296875" style="14" bestFit="1" customWidth="1"/>
    <col min="15089" max="15089" width="12.54296875" style="14" customWidth="1"/>
    <col min="15090" max="15090" width="5.26953125" style="14" customWidth="1"/>
    <col min="15091" max="15091" width="11.453125" style="14" bestFit="1" customWidth="1"/>
    <col min="15092" max="15092" width="9.6328125" style="14" customWidth="1"/>
    <col min="15093" max="15093" width="15.81640625" style="14" bestFit="1" customWidth="1"/>
    <col min="15094" max="15104" width="9.6328125" style="14" customWidth="1"/>
    <col min="15105" max="15105" width="18.36328125" style="14" customWidth="1"/>
    <col min="15106" max="15110" width="12.54296875" style="14" bestFit="1" customWidth="1"/>
    <col min="15111" max="15342" width="9.6328125" style="14" customWidth="1"/>
    <col min="15343" max="15343" width="14.54296875" style="14" bestFit="1" customWidth="1"/>
    <col min="15344" max="15344" width="16.54296875" style="14" bestFit="1" customWidth="1"/>
    <col min="15345" max="15345" width="12.54296875" style="14" customWidth="1"/>
    <col min="15346" max="15346" width="5.26953125" style="14" customWidth="1"/>
    <col min="15347" max="15347" width="11.453125" style="14" bestFit="1" customWidth="1"/>
    <col min="15348" max="15348" width="9.6328125" style="14" customWidth="1"/>
    <col min="15349" max="15349" width="15.81640625" style="14" bestFit="1" customWidth="1"/>
    <col min="15350" max="15360" width="9.6328125" style="14" customWidth="1"/>
    <col min="15361" max="15361" width="18.36328125" style="14" customWidth="1"/>
    <col min="15362" max="15366" width="12.54296875" style="14" bestFit="1" customWidth="1"/>
    <col min="15367" max="15598" width="9.6328125" style="14" customWidth="1"/>
    <col min="15599" max="15599" width="14.54296875" style="14" bestFit="1" customWidth="1"/>
    <col min="15600" max="15600" width="16.54296875" style="14" bestFit="1" customWidth="1"/>
    <col min="15601" max="15601" width="12.54296875" style="14" customWidth="1"/>
    <col min="15602" max="15602" width="5.26953125" style="14" customWidth="1"/>
    <col min="15603" max="15603" width="11.453125" style="14" bestFit="1" customWidth="1"/>
    <col min="15604" max="15604" width="9.6328125" style="14" customWidth="1"/>
    <col min="15605" max="15605" width="15.81640625" style="14" bestFit="1" customWidth="1"/>
    <col min="15606" max="15616" width="9.6328125" style="14" customWidth="1"/>
    <col min="15617" max="15617" width="18.36328125" style="14" customWidth="1"/>
    <col min="15618" max="15622" width="12.54296875" style="14" bestFit="1" customWidth="1"/>
    <col min="15623" max="15854" width="9.6328125" style="14" customWidth="1"/>
    <col min="15855" max="15855" width="14.54296875" style="14" bestFit="1" customWidth="1"/>
    <col min="15856" max="15856" width="16.54296875" style="14" bestFit="1" customWidth="1"/>
    <col min="15857" max="15857" width="12.54296875" style="14" customWidth="1"/>
    <col min="15858" max="15858" width="5.26953125" style="14" customWidth="1"/>
    <col min="15859" max="15859" width="11.453125" style="14" bestFit="1" customWidth="1"/>
    <col min="15860" max="15860" width="9.6328125" style="14" customWidth="1"/>
    <col min="15861" max="15861" width="15.81640625" style="14" bestFit="1" customWidth="1"/>
    <col min="15862" max="15872" width="9.6328125" style="14" customWidth="1"/>
    <col min="15873" max="15873" width="18.36328125" style="14" customWidth="1"/>
    <col min="15874" max="15878" width="12.54296875" style="14" bestFit="1" customWidth="1"/>
    <col min="15879" max="16110" width="9.6328125" style="14" customWidth="1"/>
    <col min="16111" max="16111" width="14.54296875" style="14" bestFit="1" customWidth="1"/>
    <col min="16112" max="16112" width="16.54296875" style="14" bestFit="1" customWidth="1"/>
    <col min="16113" max="16113" width="12.54296875" style="14" customWidth="1"/>
    <col min="16114" max="16114" width="5.26953125" style="14" customWidth="1"/>
    <col min="16115" max="16115" width="11.453125" style="14" bestFit="1" customWidth="1"/>
    <col min="16116" max="16116" width="9.6328125" style="14" customWidth="1"/>
    <col min="16117" max="16117" width="15.81640625" style="14" bestFit="1" customWidth="1"/>
    <col min="16118" max="16128" width="9.6328125" style="14" customWidth="1"/>
    <col min="16129" max="16129" width="18.36328125" style="14" customWidth="1"/>
    <col min="16130" max="16134" width="12.54296875" style="14" bestFit="1" customWidth="1"/>
    <col min="16135" max="16384" width="9.6328125" style="14" customWidth="1"/>
  </cols>
  <sheetData>
    <row r="2" spans="1:6">
      <c r="A2" s="29" t="s">
        <v>0</v>
      </c>
      <c r="B2" s="30"/>
      <c r="C2" s="30"/>
      <c r="D2" s="30"/>
      <c r="E2" s="30"/>
      <c r="F2" s="30"/>
    </row>
    <row r="3" spans="1:6" ht="29"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</row>
    <row r="4" spans="1:6" hidden="1">
      <c r="B4" s="15">
        <v>46293</v>
      </c>
      <c r="C4" s="15">
        <v>46294</v>
      </c>
      <c r="D4" s="15">
        <v>46295</v>
      </c>
      <c r="E4" s="15">
        <v>46296</v>
      </c>
      <c r="F4" s="15">
        <v>46297</v>
      </c>
    </row>
    <row r="5" spans="1:6">
      <c r="B5" s="16"/>
      <c r="C5" s="16"/>
      <c r="D5" s="16"/>
      <c r="E5" s="16"/>
      <c r="F5" s="16"/>
    </row>
    <row r="6" spans="1:6">
      <c r="A6" s="14" t="s">
        <v>6</v>
      </c>
      <c r="B6" s="23">
        <v>50000</v>
      </c>
      <c r="C6" s="16"/>
      <c r="D6" s="16"/>
      <c r="E6" s="16"/>
      <c r="F6" s="16"/>
    </row>
    <row r="8" spans="1:6" ht="15" customHeight="1" thickBot="1">
      <c r="A8" s="18" t="s">
        <v>7</v>
      </c>
      <c r="B8" s="24">
        <f>SUMIF(Detalhamento!$G:$G,B$4,Detalhamento!$F:$F)</f>
        <v>17311.839999999997</v>
      </c>
      <c r="C8" s="24">
        <f>SUMIF(Detalhamento!$G:$G,C$4,Detalhamento!$F:$F)</f>
        <v>32227.29</v>
      </c>
      <c r="D8" s="24">
        <f>SUMIF(Detalhamento!$G:$G,D$4,Detalhamento!$F:$F)</f>
        <v>300774.64999999997</v>
      </c>
      <c r="E8" s="24">
        <f>SUMIF(Detalhamento!$G:$G,E$4,Detalhamento!$F:$F)</f>
        <v>298480.95999999996</v>
      </c>
      <c r="F8" s="24">
        <f>SUMIF(Detalhamento!$G:$G,F$4,Detalhamento!$F:$F)</f>
        <v>290473.81</v>
      </c>
    </row>
    <row r="9" spans="1:6" ht="15" customHeight="1" thickTop="1">
      <c r="A9" s="14" t="s">
        <v>8</v>
      </c>
      <c r="B9" s="23">
        <f>SUMIFS(Detalhamento!$F:$F,Detalhamento!$G:$G,B$4,Detalhamento!$B:$B,"BRADESCO COBRANCA")</f>
        <v>16639.839999999997</v>
      </c>
      <c r="C9" s="23">
        <f>SUMIFS(Detalhamento!$F:$F,Detalhamento!$G:$G,C$4,Detalhamento!$B:$B,"BRADESCO COBRANCA")</f>
        <v>24829.040000000001</v>
      </c>
      <c r="D9" s="23">
        <f>SUMIFS(Detalhamento!$F:$F,Detalhamento!$G:$G,D$4,Detalhamento!$B:$B,"BRADESCO COBRANCA")</f>
        <v>225371.24999999997</v>
      </c>
      <c r="E9" s="23">
        <f>SUMIFS(Detalhamento!$F:$F,Detalhamento!$G:$G,E$4,Detalhamento!$B:$B,"BRADESCO COBRANCA")</f>
        <v>209762.49</v>
      </c>
      <c r="F9" s="23">
        <f>SUMIFS(Detalhamento!$F:$F,Detalhamento!$G:$G,F$4,Detalhamento!$B:$B,"BRADESCO COBRANCA")</f>
        <v>174593.03</v>
      </c>
    </row>
    <row r="10" spans="1:6">
      <c r="A10" s="14" t="s">
        <v>9</v>
      </c>
      <c r="B10" s="25">
        <f>SUMIFS(Detalhamento!$F:$F,Detalhamento!$G:$G,B$4,Detalhamento!$B:$B,"BANRISUL COBRANCA")</f>
        <v>672</v>
      </c>
      <c r="C10" s="23">
        <f>SUMIFS(Detalhamento!$F:$F,Detalhamento!$G:$G,C$4,Detalhamento!$B:$B,"BANRISUL COBRANCA")</f>
        <v>7325.25</v>
      </c>
      <c r="D10" s="23">
        <f>SUMIFS(Detalhamento!$F:$F,Detalhamento!$G:$G,D$4,Detalhamento!$B:$B,"BANRISUL COBRANCA")</f>
        <v>68312.299999999988</v>
      </c>
      <c r="E10" s="23">
        <f>SUMIFS(Detalhamento!$F:$F,Detalhamento!$G:$G,E$4,Detalhamento!$B:$B,"BANRISUL COBRANCA")</f>
        <v>77350.200000000026</v>
      </c>
      <c r="F10" s="23">
        <f>SUMIFS(Detalhamento!$F:$F,Detalhamento!$G:$G,F$4,Detalhamento!$B:$B,"BANRISUL COBRANCA")</f>
        <v>77668.78</v>
      </c>
    </row>
    <row r="11" spans="1:6">
      <c r="A11" s="14" t="s">
        <v>10</v>
      </c>
      <c r="B11" s="25">
        <f>SUMIFS(Detalhamento!$F:$F,Detalhamento!$G:$G,B$4,Detalhamento!$B:$B,"DEPOSITO (CLIENTE)")</f>
        <v>0</v>
      </c>
      <c r="C11" s="23">
        <f>SUMIFS(Detalhamento!$F:$F,Detalhamento!$G:$G,C$4,Detalhamento!$B:$B,"DEPOSITO (CLIENTE)")</f>
        <v>0</v>
      </c>
      <c r="D11" s="23">
        <f>SUMIFS(Detalhamento!$F:$F,Detalhamento!$G:$G,D$4,Detalhamento!$B:$B,"DEPOSITO (CLIENTE)")</f>
        <v>6600</v>
      </c>
      <c r="E11" s="23">
        <f>SUMIFS(Detalhamento!$F:$F,Detalhamento!$G:$G,E$4,Detalhamento!$B:$B,"DEPOSITO (CLIENTE)")</f>
        <v>10241.4</v>
      </c>
      <c r="F11" s="23">
        <f>SUMIFS(Detalhamento!$F:$F,Detalhamento!$G:$G,F$4,Detalhamento!$B:$B,"DEPOSITO (CLIENTE)")</f>
        <v>38212</v>
      </c>
    </row>
    <row r="12" spans="1:6">
      <c r="A12" t="s">
        <v>11</v>
      </c>
      <c r="B12" s="25">
        <f>B8-B9-B10-B11</f>
        <v>0</v>
      </c>
      <c r="C12" s="25">
        <f>C8-C9-C10-C11</f>
        <v>73</v>
      </c>
      <c r="D12" s="25">
        <f>D8-D9-D10-D11</f>
        <v>491.10000000000582</v>
      </c>
      <c r="E12" s="25">
        <f>E8-E9-E10-E11</f>
        <v>1126.8699999999462</v>
      </c>
      <c r="F12" s="25">
        <f>F8-F9-F10-F11</f>
        <v>0</v>
      </c>
    </row>
    <row r="13" spans="1:6" ht="15" customHeight="1" thickBot="1">
      <c r="A13" s="18" t="s">
        <v>12</v>
      </c>
      <c r="B13" s="24">
        <f>SUMIFS(Detalhamento!$H:$H,Detalhamento!$A:$A,B$4,Detalhamento!$D:$D,"*FORNECED*")+SUMIFS(Detalhamento!$H:$H,Detalhamento!$A:$A,B$4,Detalhamento!$D:$D,"*IMPOSTOS*")</f>
        <v>46172.5</v>
      </c>
      <c r="C13" s="24">
        <f>SUMIFS(Detalhamento!$H:$H,Detalhamento!$A:$A,C$4,Detalhamento!$D:$D,"*FORNECED*")+SUMIFS(Detalhamento!$H:$H,Detalhamento!$A:$A,C$4,Detalhamento!$D:$D,"*IMPOSTOS*")</f>
        <v>149305.93000000002</v>
      </c>
      <c r="D13" s="24">
        <f>SUMIFS(Detalhamento!$H:$H,Detalhamento!$A:$A,D$4,Detalhamento!$D:$D,"*FORNECED*")+SUMIFS(Detalhamento!$H:$H,Detalhamento!$A:$A,D$4,Detalhamento!$D:$D,"*IMPOSTOS*")</f>
        <v>62395.3</v>
      </c>
      <c r="E13" s="24">
        <f>SUMIFS(Detalhamento!$H:$H,Detalhamento!$A:$A,E$4,Detalhamento!$D:$D,"*FORNECED*")+SUMIFS(Detalhamento!$H:$H,Detalhamento!$A:$A,E$4,Detalhamento!$D:$D,"*IMPOSTOS*")</f>
        <v>92943.659999999989</v>
      </c>
      <c r="F13" s="24">
        <f>SUMIFS(Detalhamento!$H:$H,Detalhamento!$A:$A,F$4,Detalhamento!$D:$D,"*FORNECED*")+SUMIFS(Detalhamento!$H:$H,Detalhamento!$A:$A,F$4,Detalhamento!$D:$D,"*IMPOSTOS*")</f>
        <v>77091.289999999994</v>
      </c>
    </row>
    <row r="14" spans="1:6" ht="15" customHeight="1" thickTop="1"/>
    <row r="15" spans="1:6" ht="15" customHeight="1" thickBot="1">
      <c r="A15" s="20" t="s">
        <v>13</v>
      </c>
      <c r="B15" s="26">
        <f>B6+B8-B13</f>
        <v>21139.339999999997</v>
      </c>
      <c r="C15" s="26">
        <f>B15+C8-C13</f>
        <v>-95939.300000000017</v>
      </c>
      <c r="D15" s="26">
        <f>C15+D8-D13</f>
        <v>142440.04999999993</v>
      </c>
      <c r="E15" s="26">
        <f>D15+E8-E13</f>
        <v>347977.34999999992</v>
      </c>
      <c r="F15" s="26">
        <f>E15+F8-F13</f>
        <v>561359.86999999988</v>
      </c>
    </row>
    <row r="16" spans="1:6" ht="15" customHeight="1" thickTop="1"/>
    <row r="17" spans="1:3">
      <c r="A17" s="14" t="s">
        <v>12</v>
      </c>
    </row>
    <row r="18" spans="1:3">
      <c r="B18" s="17"/>
    </row>
    <row r="19" spans="1:3">
      <c r="A19" s="21" t="str">
        <f>B3</f>
        <v>28/09 - Segunda-Feira</v>
      </c>
      <c r="B19" s="17"/>
    </row>
    <row r="20" spans="1:3">
      <c r="A20" s="14" t="s">
        <v>14</v>
      </c>
      <c r="B20" s="17" t="s">
        <v>15</v>
      </c>
      <c r="C20" s="25">
        <v>401.34</v>
      </c>
    </row>
    <row r="21" spans="1:3">
      <c r="A21" s="14" t="s">
        <v>16</v>
      </c>
      <c r="B21" s="17" t="s">
        <v>17</v>
      </c>
      <c r="C21" s="25">
        <v>25894.05</v>
      </c>
    </row>
    <row r="22" spans="1:3">
      <c r="A22" s="14" t="s">
        <v>18</v>
      </c>
      <c r="B22" s="17" t="s">
        <v>19</v>
      </c>
      <c r="C22" s="25">
        <v>11826</v>
      </c>
    </row>
    <row r="23" spans="1:3">
      <c r="A23" s="14" t="s">
        <v>20</v>
      </c>
      <c r="B23" s="17" t="s">
        <v>21</v>
      </c>
      <c r="C23" s="25">
        <v>7928.62</v>
      </c>
    </row>
    <row r="24" spans="1:3">
      <c r="A24" s="14" t="s">
        <v>22</v>
      </c>
      <c r="B24" s="17" t="s">
        <v>23</v>
      </c>
      <c r="C24" s="25">
        <v>122.49</v>
      </c>
    </row>
    <row r="25" spans="1:3" ht="15" customHeight="1" thickBot="1">
      <c r="A25" s="18" t="s">
        <v>24</v>
      </c>
      <c r="B25" s="19"/>
      <c r="C25" s="25">
        <f>SUM(C20:C24)</f>
        <v>46172.5</v>
      </c>
    </row>
    <row r="26" spans="1:3" ht="15" customHeight="1" thickTop="1">
      <c r="B26" s="17"/>
    </row>
    <row r="27" spans="1:3">
      <c r="A27" s="21" t="str">
        <f>C3</f>
        <v>29/09 - Terça-Feira</v>
      </c>
      <c r="B27" s="17"/>
    </row>
    <row r="28" spans="1:3">
      <c r="A28" s="14" t="s">
        <v>25</v>
      </c>
      <c r="B28" s="17" t="s">
        <v>26</v>
      </c>
      <c r="C28" s="25">
        <v>55824.94</v>
      </c>
    </row>
    <row r="29" spans="1:3">
      <c r="A29" s="14" t="s">
        <v>27</v>
      </c>
      <c r="B29" s="17" t="s">
        <v>28</v>
      </c>
      <c r="C29" s="25">
        <v>17315.46</v>
      </c>
    </row>
    <row r="30" spans="1:3">
      <c r="A30" s="14" t="s">
        <v>29</v>
      </c>
      <c r="B30" s="17" t="s">
        <v>30</v>
      </c>
      <c r="C30" s="25">
        <v>66.73</v>
      </c>
    </row>
    <row r="31" spans="1:3">
      <c r="A31" s="14" t="s">
        <v>31</v>
      </c>
      <c r="B31" s="17" t="s">
        <v>32</v>
      </c>
      <c r="C31" s="25">
        <v>11174</v>
      </c>
    </row>
    <row r="32" spans="1:3">
      <c r="A32" s="14" t="s">
        <v>33</v>
      </c>
      <c r="B32" s="17" t="s">
        <v>34</v>
      </c>
      <c r="C32" s="25">
        <v>16000</v>
      </c>
    </row>
    <row r="33" spans="1:3" ht="15" customHeight="1" thickBot="1">
      <c r="A33" s="14" t="s">
        <v>35</v>
      </c>
      <c r="B33" s="17" t="s">
        <v>36</v>
      </c>
      <c r="C33" s="25">
        <v>3375</v>
      </c>
    </row>
    <row r="34" spans="1:3" ht="15" customHeight="1" thickTop="1">
      <c r="A34" s="14" t="s">
        <v>37</v>
      </c>
      <c r="B34" s="17" t="s">
        <v>38</v>
      </c>
      <c r="C34" s="25">
        <v>866.22</v>
      </c>
    </row>
    <row r="35" spans="1:3">
      <c r="A35" s="14" t="s">
        <v>39</v>
      </c>
      <c r="B35" s="17" t="s">
        <v>40</v>
      </c>
      <c r="C35" s="25">
        <v>12217.6</v>
      </c>
    </row>
    <row r="36" spans="1:3">
      <c r="A36" s="14" t="s">
        <v>41</v>
      </c>
      <c r="B36" s="17" t="s">
        <v>42</v>
      </c>
      <c r="C36" s="25">
        <v>275.66000000000003</v>
      </c>
    </row>
    <row r="37" spans="1:3">
      <c r="A37" s="14" t="s">
        <v>43</v>
      </c>
      <c r="B37" s="17" t="s">
        <v>44</v>
      </c>
      <c r="C37" s="25">
        <v>12217.16</v>
      </c>
    </row>
    <row r="38" spans="1:3">
      <c r="A38" s="14" t="s">
        <v>45</v>
      </c>
      <c r="B38" s="17" t="s">
        <v>46</v>
      </c>
      <c r="C38" s="25">
        <v>12084.38</v>
      </c>
    </row>
    <row r="39" spans="1:3">
      <c r="A39" s="14" t="s">
        <v>47</v>
      </c>
      <c r="B39" s="17" t="s">
        <v>48</v>
      </c>
      <c r="C39" s="25">
        <v>138</v>
      </c>
    </row>
    <row r="40" spans="1:3">
      <c r="A40" s="14" t="s">
        <v>49</v>
      </c>
      <c r="B40" s="17" t="s">
        <v>50</v>
      </c>
      <c r="C40" s="25">
        <v>6000</v>
      </c>
    </row>
    <row r="41" spans="1:3" ht="15" customHeight="1" thickBot="1">
      <c r="A41" s="14" t="s">
        <v>51</v>
      </c>
      <c r="B41" s="17" t="s">
        <v>52</v>
      </c>
      <c r="C41" s="25">
        <v>1006.76</v>
      </c>
    </row>
    <row r="42" spans="1:3" ht="15" customHeight="1" thickTop="1">
      <c r="A42" s="14" t="s">
        <v>37</v>
      </c>
      <c r="B42" s="17" t="s">
        <v>53</v>
      </c>
      <c r="C42" s="25">
        <v>744.02</v>
      </c>
    </row>
    <row r="43" spans="1:3" ht="15" customHeight="1">
      <c r="A43" s="18" t="s">
        <v>24</v>
      </c>
      <c r="B43" s="19"/>
      <c r="C43" s="25">
        <f>SUM(C28:C42)</f>
        <v>149305.93</v>
      </c>
    </row>
    <row r="44" spans="1:3">
      <c r="B44" s="17"/>
    </row>
    <row r="45" spans="1:3">
      <c r="A45" s="21" t="str">
        <f>D3</f>
        <v>30/09 - Quarta-Feira</v>
      </c>
      <c r="B45" s="33"/>
    </row>
    <row r="46" spans="1:3">
      <c r="A46" s="14" t="s">
        <v>54</v>
      </c>
      <c r="B46" s="17" t="s">
        <v>55</v>
      </c>
      <c r="C46" s="25">
        <v>400</v>
      </c>
    </row>
    <row r="47" spans="1:3">
      <c r="A47" s="14" t="s">
        <v>56</v>
      </c>
      <c r="B47" s="17" t="s">
        <v>55</v>
      </c>
      <c r="C47" s="25">
        <v>764.1</v>
      </c>
    </row>
    <row r="48" spans="1:3">
      <c r="A48" s="14" t="s">
        <v>57</v>
      </c>
      <c r="B48" s="17" t="s">
        <v>55</v>
      </c>
      <c r="C48" s="25">
        <v>363.6</v>
      </c>
    </row>
    <row r="49" spans="1:3" ht="15" customHeight="1" thickBot="1">
      <c r="A49" s="14" t="s">
        <v>58</v>
      </c>
      <c r="B49" s="17" t="s">
        <v>55</v>
      </c>
      <c r="C49" s="25">
        <v>361.91</v>
      </c>
    </row>
    <row r="50" spans="1:3" ht="15" customHeight="1" thickTop="1">
      <c r="A50" s="14" t="s">
        <v>59</v>
      </c>
      <c r="B50" s="17" t="s">
        <v>55</v>
      </c>
      <c r="C50" s="25">
        <v>466.29</v>
      </c>
    </row>
    <row r="51" spans="1:3">
      <c r="A51" s="14" t="s">
        <v>60</v>
      </c>
      <c r="B51" s="17" t="s">
        <v>55</v>
      </c>
      <c r="C51" s="25">
        <v>1162.1600000000001</v>
      </c>
    </row>
    <row r="52" spans="1:3">
      <c r="A52" s="14" t="s">
        <v>61</v>
      </c>
      <c r="B52" s="17" t="s">
        <v>55</v>
      </c>
      <c r="C52" s="25">
        <v>260.52</v>
      </c>
    </row>
    <row r="53" spans="1:3">
      <c r="A53" s="14" t="s">
        <v>62</v>
      </c>
      <c r="B53" s="17" t="s">
        <v>55</v>
      </c>
      <c r="C53" s="25">
        <v>593.94000000000005</v>
      </c>
    </row>
    <row r="54" spans="1:3">
      <c r="A54" s="14" t="s">
        <v>63</v>
      </c>
      <c r="B54" s="17" t="s">
        <v>55</v>
      </c>
      <c r="C54" s="25">
        <v>120</v>
      </c>
    </row>
    <row r="55" spans="1:3">
      <c r="A55" s="14" t="s">
        <v>64</v>
      </c>
      <c r="B55" s="17" t="s">
        <v>55</v>
      </c>
      <c r="C55" s="25">
        <v>2254.75</v>
      </c>
    </row>
    <row r="56" spans="1:3">
      <c r="A56" s="14" t="s">
        <v>65</v>
      </c>
      <c r="B56" s="17" t="s">
        <v>66</v>
      </c>
      <c r="C56" s="25">
        <v>289.68</v>
      </c>
    </row>
    <row r="57" spans="1:3" ht="15" customHeight="1" thickBot="1">
      <c r="A57" s="14" t="s">
        <v>67</v>
      </c>
      <c r="B57" s="17" t="s">
        <v>68</v>
      </c>
      <c r="C57" s="25">
        <v>2254.75</v>
      </c>
    </row>
    <row r="58" spans="1:3" ht="15" customHeight="1" thickTop="1">
      <c r="A58" s="14" t="s">
        <v>69</v>
      </c>
      <c r="B58" s="17" t="s">
        <v>70</v>
      </c>
      <c r="C58" s="25">
        <v>1057.97</v>
      </c>
    </row>
    <row r="59" spans="1:3">
      <c r="A59" s="14" t="s">
        <v>71</v>
      </c>
      <c r="B59" s="17" t="s">
        <v>72</v>
      </c>
      <c r="C59" s="25">
        <v>250</v>
      </c>
    </row>
    <row r="60" spans="1:3">
      <c r="A60" s="14" t="s">
        <v>73</v>
      </c>
      <c r="B60" s="17" t="s">
        <v>74</v>
      </c>
      <c r="C60" s="25">
        <v>439.5</v>
      </c>
    </row>
    <row r="61" spans="1:3">
      <c r="A61" s="14" t="s">
        <v>75</v>
      </c>
      <c r="B61" s="17" t="s">
        <v>76</v>
      </c>
      <c r="C61" s="25">
        <v>6278.26</v>
      </c>
    </row>
    <row r="62" spans="1:3">
      <c r="A62" s="14" t="s">
        <v>77</v>
      </c>
      <c r="B62" s="17" t="s">
        <v>78</v>
      </c>
      <c r="C62" s="25">
        <v>1431.75</v>
      </c>
    </row>
    <row r="63" spans="1:3">
      <c r="A63" s="14" t="s">
        <v>79</v>
      </c>
      <c r="B63" s="17" t="s">
        <v>80</v>
      </c>
      <c r="C63" s="25">
        <v>763.2</v>
      </c>
    </row>
    <row r="64" spans="1:3">
      <c r="A64" s="14" t="s">
        <v>81</v>
      </c>
      <c r="B64" s="17" t="s">
        <v>82</v>
      </c>
      <c r="C64" s="25">
        <v>550</v>
      </c>
    </row>
    <row r="65" spans="1:3">
      <c r="A65" s="14" t="s">
        <v>83</v>
      </c>
      <c r="B65" s="17" t="s">
        <v>84</v>
      </c>
      <c r="C65" s="25">
        <v>320</v>
      </c>
    </row>
    <row r="66" spans="1:3">
      <c r="A66" s="14" t="s">
        <v>85</v>
      </c>
      <c r="B66" s="17" t="s">
        <v>86</v>
      </c>
      <c r="C66" s="25">
        <v>4534.62</v>
      </c>
    </row>
    <row r="67" spans="1:3">
      <c r="A67" s="14" t="s">
        <v>87</v>
      </c>
      <c r="B67" s="17" t="s">
        <v>88</v>
      </c>
      <c r="C67" s="25">
        <v>112.5</v>
      </c>
    </row>
    <row r="68" spans="1:3">
      <c r="A68" s="14" t="s">
        <v>89</v>
      </c>
      <c r="B68" s="17" t="s">
        <v>90</v>
      </c>
      <c r="C68" s="25">
        <v>85.12</v>
      </c>
    </row>
    <row r="69" spans="1:3">
      <c r="A69" s="14" t="s">
        <v>91</v>
      </c>
      <c r="B69" s="17" t="s">
        <v>92</v>
      </c>
      <c r="C69" s="25">
        <v>3900</v>
      </c>
    </row>
    <row r="70" spans="1:3">
      <c r="A70" s="14" t="s">
        <v>93</v>
      </c>
      <c r="B70" s="17" t="s">
        <v>94</v>
      </c>
      <c r="C70" s="25">
        <v>3375</v>
      </c>
    </row>
    <row r="71" spans="1:3">
      <c r="A71" s="14" t="s">
        <v>95</v>
      </c>
      <c r="B71" s="17" t="s">
        <v>96</v>
      </c>
      <c r="C71" s="25">
        <v>2249.12</v>
      </c>
    </row>
    <row r="72" spans="1:3">
      <c r="A72" s="14" t="s">
        <v>97</v>
      </c>
      <c r="B72" s="17" t="s">
        <v>98</v>
      </c>
      <c r="C72" s="25">
        <v>52</v>
      </c>
    </row>
    <row r="73" spans="1:3">
      <c r="A73" s="14" t="s">
        <v>99</v>
      </c>
      <c r="B73" s="17" t="s">
        <v>42</v>
      </c>
      <c r="C73" s="25">
        <v>266.23</v>
      </c>
    </row>
    <row r="74" spans="1:3">
      <c r="A74" s="14" t="s">
        <v>100</v>
      </c>
      <c r="B74" s="17" t="s">
        <v>101</v>
      </c>
      <c r="C74" s="25">
        <v>29</v>
      </c>
    </row>
    <row r="75" spans="1:3">
      <c r="A75" s="14" t="s">
        <v>102</v>
      </c>
      <c r="B75" s="17" t="s">
        <v>103</v>
      </c>
      <c r="C75" s="25">
        <v>23770.18</v>
      </c>
    </row>
    <row r="76" spans="1:3">
      <c r="A76" s="14" t="s">
        <v>104</v>
      </c>
      <c r="B76" s="17" t="s">
        <v>23</v>
      </c>
      <c r="C76" s="25">
        <v>3333.33</v>
      </c>
    </row>
    <row r="77" spans="1:3">
      <c r="A77" s="14" t="s">
        <v>105</v>
      </c>
      <c r="B77" s="17" t="s">
        <v>106</v>
      </c>
      <c r="C77" s="25">
        <v>187.55</v>
      </c>
    </row>
    <row r="78" spans="1:3" ht="15" customHeight="1">
      <c r="A78" s="18" t="s">
        <v>24</v>
      </c>
      <c r="B78" s="19"/>
      <c r="C78" s="25">
        <f>SUM(C46:C77)</f>
        <v>62277.030000000006</v>
      </c>
    </row>
    <row r="79" spans="1:3">
      <c r="B79" s="17"/>
    </row>
    <row r="80" spans="1:3">
      <c r="A80" s="21" t="str">
        <f>E3</f>
        <v>01/10 - Quinta-Feira</v>
      </c>
      <c r="B80" s="17"/>
    </row>
    <row r="81" spans="1:3">
      <c r="A81" s="14" t="s">
        <v>107</v>
      </c>
      <c r="B81" s="17" t="s">
        <v>55</v>
      </c>
      <c r="C81" s="25">
        <v>4272</v>
      </c>
    </row>
    <row r="82" spans="1:3">
      <c r="A82" s="14" t="s">
        <v>108</v>
      </c>
      <c r="B82" s="17" t="s">
        <v>55</v>
      </c>
      <c r="C82" s="25">
        <v>3733.16</v>
      </c>
    </row>
    <row r="83" spans="1:3">
      <c r="A83" s="14" t="s">
        <v>109</v>
      </c>
      <c r="B83" s="17" t="s">
        <v>55</v>
      </c>
      <c r="C83" s="25">
        <v>338.54</v>
      </c>
    </row>
    <row r="84" spans="1:3">
      <c r="A84" s="14" t="s">
        <v>110</v>
      </c>
      <c r="B84" s="17" t="s">
        <v>55</v>
      </c>
      <c r="C84" s="25">
        <v>1689</v>
      </c>
    </row>
    <row r="85" spans="1:3">
      <c r="A85" s="14" t="s">
        <v>111</v>
      </c>
      <c r="B85" s="17" t="s">
        <v>55</v>
      </c>
      <c r="C85" s="25">
        <v>3350</v>
      </c>
    </row>
    <row r="86" spans="1:3">
      <c r="A86" s="14" t="s">
        <v>112</v>
      </c>
      <c r="B86" s="17" t="s">
        <v>55</v>
      </c>
      <c r="C86" s="25">
        <v>238.58</v>
      </c>
    </row>
    <row r="87" spans="1:3">
      <c r="A87" s="14" t="s">
        <v>113</v>
      </c>
      <c r="B87" s="17" t="s">
        <v>55</v>
      </c>
      <c r="C87" s="25">
        <v>745.02</v>
      </c>
    </row>
    <row r="88" spans="1:3">
      <c r="A88" s="14" t="s">
        <v>114</v>
      </c>
      <c r="B88" s="17" t="s">
        <v>115</v>
      </c>
      <c r="C88" s="25">
        <v>7247.05</v>
      </c>
    </row>
    <row r="89" spans="1:3">
      <c r="A89" s="14" t="s">
        <v>116</v>
      </c>
      <c r="B89" s="17" t="s">
        <v>117</v>
      </c>
      <c r="C89" s="25">
        <v>22441.31</v>
      </c>
    </row>
    <row r="90" spans="1:3">
      <c r="A90" s="14" t="s">
        <v>118</v>
      </c>
      <c r="B90" s="17" t="s">
        <v>119</v>
      </c>
      <c r="C90" s="25">
        <v>1570</v>
      </c>
    </row>
    <row r="91" spans="1:3">
      <c r="A91" s="14" t="s">
        <v>120</v>
      </c>
      <c r="B91" s="17" t="s">
        <v>121</v>
      </c>
      <c r="C91" s="25">
        <v>1925</v>
      </c>
    </row>
    <row r="92" spans="1:3">
      <c r="A92" s="14" t="s">
        <v>122</v>
      </c>
      <c r="B92" s="17" t="s">
        <v>123</v>
      </c>
      <c r="C92" s="25">
        <v>5653</v>
      </c>
    </row>
    <row r="93" spans="1:3">
      <c r="A93" s="14" t="s">
        <v>124</v>
      </c>
      <c r="B93" s="17" t="s">
        <v>125</v>
      </c>
      <c r="C93" s="25">
        <v>2990</v>
      </c>
    </row>
    <row r="94" spans="1:3">
      <c r="A94" s="14" t="s">
        <v>126</v>
      </c>
      <c r="B94" s="17" t="s">
        <v>127</v>
      </c>
      <c r="C94" s="25">
        <v>1799.6</v>
      </c>
    </row>
    <row r="95" spans="1:3">
      <c r="A95" s="14" t="s">
        <v>128</v>
      </c>
      <c r="B95" s="17" t="s">
        <v>74</v>
      </c>
      <c r="C95" s="25">
        <v>459</v>
      </c>
    </row>
    <row r="96" spans="1:3">
      <c r="A96" s="14" t="s">
        <v>129</v>
      </c>
      <c r="B96" s="17" t="s">
        <v>130</v>
      </c>
      <c r="C96" s="25">
        <v>16140.55</v>
      </c>
    </row>
    <row r="97" spans="1:3">
      <c r="A97" s="14" t="s">
        <v>131</v>
      </c>
      <c r="B97" s="17" t="s">
        <v>132</v>
      </c>
      <c r="C97" s="25">
        <v>3350</v>
      </c>
    </row>
    <row r="98" spans="1:3">
      <c r="A98" s="14" t="s">
        <v>133</v>
      </c>
      <c r="B98" s="17" t="s">
        <v>134</v>
      </c>
      <c r="C98" s="25">
        <v>2882.01</v>
      </c>
    </row>
    <row r="99" spans="1:3">
      <c r="A99" s="14" t="s">
        <v>135</v>
      </c>
      <c r="B99" s="17" t="s">
        <v>136</v>
      </c>
      <c r="C99" s="25">
        <v>586.02</v>
      </c>
    </row>
    <row r="100" spans="1:3">
      <c r="A100" s="14" t="s">
        <v>137</v>
      </c>
      <c r="B100" s="17" t="s">
        <v>88</v>
      </c>
      <c r="C100" s="25">
        <v>200</v>
      </c>
    </row>
    <row r="101" spans="1:3">
      <c r="A101" s="14" t="s">
        <v>138</v>
      </c>
      <c r="B101" s="17" t="s">
        <v>139</v>
      </c>
      <c r="C101" s="25">
        <v>1850</v>
      </c>
    </row>
    <row r="102" spans="1:3">
      <c r="A102" s="14" t="s">
        <v>140</v>
      </c>
      <c r="B102" s="17" t="s">
        <v>42</v>
      </c>
      <c r="C102" s="25">
        <v>264.14999999999998</v>
      </c>
    </row>
    <row r="103" spans="1:3">
      <c r="A103" s="14" t="s">
        <v>141</v>
      </c>
      <c r="B103" s="17" t="s">
        <v>106</v>
      </c>
      <c r="C103" s="25">
        <v>9219.67</v>
      </c>
    </row>
    <row r="104" spans="1:3" ht="15" customHeight="1">
      <c r="A104" s="18" t="s">
        <v>24</v>
      </c>
      <c r="B104" s="19"/>
      <c r="C104" s="25">
        <f>SUM(C81:C103)</f>
        <v>92943.659999999989</v>
      </c>
    </row>
    <row r="105" spans="1:3">
      <c r="B105" s="17"/>
    </row>
    <row r="106" spans="1:3">
      <c r="A106" s="21" t="str">
        <f>F3</f>
        <v>02/10 - Sexta-Feira</v>
      </c>
      <c r="B106" s="17"/>
    </row>
    <row r="107" spans="1:3">
      <c r="A107" s="14" t="s">
        <v>142</v>
      </c>
      <c r="B107" s="17" t="s">
        <v>55</v>
      </c>
      <c r="C107" s="25">
        <v>2070</v>
      </c>
    </row>
    <row r="108" spans="1:3">
      <c r="A108" s="14" t="s">
        <v>143</v>
      </c>
      <c r="B108" s="17" t="s">
        <v>55</v>
      </c>
      <c r="C108" s="25">
        <v>130.66</v>
      </c>
    </row>
    <row r="109" spans="1:3">
      <c r="A109" s="14" t="s">
        <v>144</v>
      </c>
      <c r="B109" s="17" t="s">
        <v>55</v>
      </c>
      <c r="C109" s="25">
        <v>2410.2399999999998</v>
      </c>
    </row>
    <row r="110" spans="1:3">
      <c r="A110" s="14" t="s">
        <v>145</v>
      </c>
      <c r="B110" s="17" t="s">
        <v>146</v>
      </c>
      <c r="C110" s="25">
        <v>1812.17</v>
      </c>
    </row>
    <row r="111" spans="1:3">
      <c r="A111" s="14" t="s">
        <v>147</v>
      </c>
      <c r="B111" s="17" t="s">
        <v>148</v>
      </c>
      <c r="C111" s="25">
        <v>528.5</v>
      </c>
    </row>
    <row r="112" spans="1:3">
      <c r="A112" s="14" t="s">
        <v>149</v>
      </c>
      <c r="B112" s="17" t="s">
        <v>150</v>
      </c>
      <c r="C112" s="25">
        <v>43158.71</v>
      </c>
    </row>
    <row r="113" spans="1:3">
      <c r="A113" s="14" t="s">
        <v>151</v>
      </c>
      <c r="B113" s="17" t="s">
        <v>152</v>
      </c>
      <c r="C113" s="25">
        <v>2070</v>
      </c>
    </row>
    <row r="114" spans="1:3">
      <c r="A114" s="14" t="s">
        <v>153</v>
      </c>
      <c r="B114" s="17" t="s">
        <v>74</v>
      </c>
      <c r="C114" s="25">
        <v>435</v>
      </c>
    </row>
    <row r="115" spans="1:3">
      <c r="A115" s="14" t="s">
        <v>154</v>
      </c>
      <c r="B115" s="17" t="s">
        <v>155</v>
      </c>
      <c r="C115" s="25">
        <v>8000</v>
      </c>
    </row>
    <row r="116" spans="1:3">
      <c r="A116" s="14" t="s">
        <v>156</v>
      </c>
      <c r="B116" s="17" t="s">
        <v>157</v>
      </c>
      <c r="C116" s="25">
        <v>725.7</v>
      </c>
    </row>
    <row r="117" spans="1:3">
      <c r="A117" s="14" t="s">
        <v>158</v>
      </c>
      <c r="B117" s="17" t="s">
        <v>136</v>
      </c>
      <c r="C117" s="25">
        <v>319.97000000000003</v>
      </c>
    </row>
    <row r="118" spans="1:3">
      <c r="A118" s="14" t="s">
        <v>159</v>
      </c>
      <c r="B118" s="17" t="s">
        <v>160</v>
      </c>
      <c r="C118" s="25">
        <v>240</v>
      </c>
    </row>
    <row r="119" spans="1:3">
      <c r="A119" s="14" t="s">
        <v>161</v>
      </c>
      <c r="B119" s="17" t="s">
        <v>162</v>
      </c>
      <c r="C119" s="25">
        <v>1240</v>
      </c>
    </row>
    <row r="120" spans="1:3">
      <c r="A120" s="14" t="s">
        <v>163</v>
      </c>
      <c r="B120" s="17" t="s">
        <v>164</v>
      </c>
      <c r="C120" s="25">
        <v>700</v>
      </c>
    </row>
    <row r="121" spans="1:3">
      <c r="A121" s="14" t="s">
        <v>165</v>
      </c>
      <c r="B121" s="17" t="s">
        <v>42</v>
      </c>
      <c r="C121" s="25">
        <v>181.37</v>
      </c>
    </row>
    <row r="122" spans="1:3">
      <c r="A122" s="14" t="s">
        <v>166</v>
      </c>
      <c r="B122" s="17" t="s">
        <v>167</v>
      </c>
      <c r="C122" s="25">
        <v>435</v>
      </c>
    </row>
    <row r="123" spans="1:3">
      <c r="A123" s="14" t="s">
        <v>168</v>
      </c>
      <c r="B123" s="17" t="s">
        <v>169</v>
      </c>
      <c r="C123" s="25">
        <v>380</v>
      </c>
    </row>
    <row r="124" spans="1:3">
      <c r="A124" s="14" t="s">
        <v>170</v>
      </c>
      <c r="B124" s="17" t="s">
        <v>106</v>
      </c>
      <c r="C124" s="25">
        <v>7835.97</v>
      </c>
    </row>
    <row r="125" spans="1:3">
      <c r="A125" s="14" t="s">
        <v>171</v>
      </c>
      <c r="B125" s="17" t="s">
        <v>48</v>
      </c>
      <c r="C125" s="25">
        <v>418</v>
      </c>
    </row>
    <row r="126" spans="1:3">
      <c r="A126" s="14" t="s">
        <v>172</v>
      </c>
      <c r="B126" s="17" t="s">
        <v>173</v>
      </c>
      <c r="C126" s="25">
        <v>4000</v>
      </c>
    </row>
    <row r="127" spans="1:3" ht="15" customHeight="1">
      <c r="A127" s="18" t="s">
        <v>24</v>
      </c>
      <c r="B127" s="19"/>
      <c r="C127" s="25">
        <f>SUM(C107:C126)</f>
        <v>77091.289999999994</v>
      </c>
    </row>
    <row r="128" spans="1:3">
      <c r="B128" s="17"/>
    </row>
    <row r="129" spans="1:3">
      <c r="A129" s="21" t="s">
        <v>174</v>
      </c>
      <c r="B129" s="17"/>
    </row>
    <row r="130" spans="1:3">
      <c r="A130" s="21">
        <f>B4</f>
        <v>46293</v>
      </c>
      <c r="B130" s="17"/>
    </row>
    <row r="131" spans="1:3" ht="15" customHeight="1">
      <c r="A131" s="18" t="s">
        <v>175</v>
      </c>
      <c r="B131" s="19"/>
      <c r="C131" s="25">
        <v>0</v>
      </c>
    </row>
    <row r="132" spans="1:3">
      <c r="B132" s="17"/>
    </row>
    <row r="133" spans="1:3">
      <c r="A133" s="21">
        <f>C4</f>
        <v>46294</v>
      </c>
      <c r="B133" s="17"/>
    </row>
    <row r="134" spans="1:3" ht="15" customHeight="1">
      <c r="A134" s="18" t="s">
        <v>175</v>
      </c>
      <c r="B134" s="19"/>
      <c r="C134" s="25">
        <v>0</v>
      </c>
    </row>
    <row r="135" spans="1:3">
      <c r="B135" s="17"/>
    </row>
    <row r="136" spans="1:3">
      <c r="A136" s="21">
        <f>D4</f>
        <v>46295</v>
      </c>
      <c r="B136" s="17"/>
    </row>
    <row r="137" spans="1:3">
      <c r="A137" s="14" t="s">
        <v>176</v>
      </c>
      <c r="B137" s="17" t="s">
        <v>55</v>
      </c>
      <c r="C137" s="25">
        <v>12.5</v>
      </c>
    </row>
    <row r="138" spans="1:3">
      <c r="A138" s="14" t="s">
        <v>177</v>
      </c>
      <c r="B138" s="17" t="s">
        <v>55</v>
      </c>
      <c r="C138" s="25">
        <v>15.2</v>
      </c>
    </row>
    <row r="139" spans="1:3">
      <c r="A139" s="14" t="s">
        <v>178</v>
      </c>
      <c r="B139" s="17" t="s">
        <v>179</v>
      </c>
      <c r="C139" s="25">
        <v>90.57</v>
      </c>
    </row>
    <row r="140" spans="1:3" ht="15" customHeight="1">
      <c r="A140" s="18" t="s">
        <v>175</v>
      </c>
      <c r="B140" s="19"/>
      <c r="C140" s="25">
        <f>SUM(C137:C139)</f>
        <v>118.27</v>
      </c>
    </row>
    <row r="141" spans="1:3">
      <c r="B141" s="17"/>
    </row>
    <row r="142" spans="1:3">
      <c r="A142" s="21">
        <f>E4</f>
        <v>46296</v>
      </c>
      <c r="B142" s="17"/>
    </row>
    <row r="143" spans="1:3" ht="15" customHeight="1">
      <c r="A143" s="18" t="s">
        <v>175</v>
      </c>
      <c r="B143" s="19"/>
      <c r="C143" s="25">
        <v>0</v>
      </c>
    </row>
    <row r="144" spans="1:3">
      <c r="B144" s="17"/>
    </row>
    <row r="145" spans="1:3">
      <c r="A145" s="21">
        <f>F4</f>
        <v>46297</v>
      </c>
      <c r="B145" s="17"/>
    </row>
    <row r="146" spans="1:3" ht="15" customHeight="1">
      <c r="A146" s="18" t="s">
        <v>175</v>
      </c>
      <c r="B146" s="19"/>
      <c r="C146" s="25">
        <v>0</v>
      </c>
    </row>
    <row r="147" spans="1:3">
      <c r="B147" s="17"/>
    </row>
  </sheetData>
  <mergeCells count="1">
    <mergeCell ref="A2:F2"/>
  </mergeCells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5"/>
  <cols>
    <col min="1" max="3" width="22" customWidth="1"/>
  </cols>
  <sheetData>
    <row r="1" spans="1:5" ht="18.5" customHeight="1">
      <c r="A1" s="13" t="s">
        <v>198</v>
      </c>
      <c r="B1" s="13" t="s">
        <v>199</v>
      </c>
      <c r="C1" s="13" t="s">
        <v>200</v>
      </c>
      <c r="E1" t="s">
        <v>201</v>
      </c>
    </row>
    <row r="2" spans="1:5">
      <c r="A2" t="s">
        <v>202</v>
      </c>
      <c r="B2">
        <v>1</v>
      </c>
    </row>
    <row r="3" spans="1:5">
      <c r="A3" t="s">
        <v>203</v>
      </c>
      <c r="B3">
        <v>1</v>
      </c>
    </row>
    <row r="4" spans="1:5">
      <c r="A4" t="s">
        <v>204</v>
      </c>
      <c r="B4">
        <v>0</v>
      </c>
    </row>
    <row r="5" spans="1:5">
      <c r="A5" t="s">
        <v>205</v>
      </c>
      <c r="B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5"/>
  <cols>
    <col min="1" max="2" width="22" customWidth="1"/>
  </cols>
  <sheetData>
    <row r="1" spans="1:2" ht="18.5" customHeight="1">
      <c r="A1" s="13" t="s">
        <v>206</v>
      </c>
      <c r="B1" s="13" t="s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804"/>
  <sheetViews>
    <sheetView workbookViewId="0">
      <pane ySplit="1" topLeftCell="A2" activePane="bottomLeft" state="frozen"/>
      <selection pane="bottomLeft" activeCell="J3842" sqref="J3842"/>
    </sheetView>
  </sheetViews>
  <sheetFormatPr defaultRowHeight="14.5"/>
  <cols>
    <col min="1" max="1" width="14" customWidth="1"/>
    <col min="2" max="2" width="32" customWidth="1"/>
    <col min="3" max="3" width="12" customWidth="1"/>
    <col min="4" max="4" width="24" customWidth="1"/>
    <col min="5" max="5" width="8" customWidth="1"/>
    <col min="6" max="6" width="18" customWidth="1"/>
    <col min="7" max="7" width="16" customWidth="1"/>
    <col min="8" max="8" width="20" customWidth="1"/>
    <col min="9" max="9" width="16" customWidth="1"/>
    <col min="10" max="10" width="48" customWidth="1"/>
    <col min="11" max="11" width="18" customWidth="1"/>
  </cols>
  <sheetData>
    <row r="1" spans="1:11">
      <c r="A1" s="27" t="s">
        <v>208</v>
      </c>
      <c r="B1" s="27" t="s">
        <v>198</v>
      </c>
      <c r="C1" s="27" t="s">
        <v>209</v>
      </c>
      <c r="D1" s="27" t="s">
        <v>210</v>
      </c>
      <c r="E1" s="27" t="s">
        <v>199</v>
      </c>
      <c r="F1" s="27" t="s">
        <v>211</v>
      </c>
      <c r="G1" s="27" t="s">
        <v>212</v>
      </c>
      <c r="H1" s="27" t="s">
        <v>213</v>
      </c>
      <c r="I1" s="27" t="s">
        <v>214</v>
      </c>
      <c r="J1" s="27" t="s">
        <v>215</v>
      </c>
      <c r="K1" s="27" t="s">
        <v>216</v>
      </c>
    </row>
    <row r="2" spans="1:11" hidden="1">
      <c r="A2" s="28">
        <v>46287</v>
      </c>
      <c r="B2" t="s">
        <v>185</v>
      </c>
      <c r="C2" t="s">
        <v>202</v>
      </c>
      <c r="D2" t="s">
        <v>217</v>
      </c>
      <c r="E2">
        <f>IF(LEFT(D2,6)="CLIENT",IFERROR(VLOOKUP(C2,Config_Carteiras!$A:$B,2,FALSE),1),"")</f>
        <v>1</v>
      </c>
      <c r="F2" s="25">
        <v>385</v>
      </c>
      <c r="G2" s="28">
        <f>IF(LEFT(D2,6)="CLIENT",IF(E2=0,WORKDAY(A2-1,1,Dias_Sem_Compensacao!$A$2:$A$500),WORKDAY(A2,E2,Dias_Sem_Compensacao!$A$2:$A$500)),"")</f>
        <v>46288</v>
      </c>
      <c r="H2" s="25">
        <v>0</v>
      </c>
      <c r="I2" s="28">
        <v>46287</v>
      </c>
      <c r="J2" t="s">
        <v>218</v>
      </c>
      <c r="K2" t="s">
        <v>219</v>
      </c>
    </row>
    <row r="3" spans="1:11" hidden="1">
      <c r="A3" s="28">
        <v>46287</v>
      </c>
      <c r="B3" t="s">
        <v>185</v>
      </c>
      <c r="C3" t="s">
        <v>202</v>
      </c>
      <c r="D3" t="s">
        <v>217</v>
      </c>
      <c r="E3">
        <f>IF(LEFT(D3,6)="CLIENT",IFERROR(VLOOKUP(C3,Config_Carteiras!$A:$B,2,FALSE),1),"")</f>
        <v>1</v>
      </c>
      <c r="F3" s="25">
        <v>442.29</v>
      </c>
      <c r="G3" s="28">
        <f>IF(LEFT(D3,6)="CLIENT",IF(E3=0,WORKDAY(A3-1,1,Dias_Sem_Compensacao!$A$2:$A$500),WORKDAY(A3,E3,Dias_Sem_Compensacao!$A$2:$A$500)),"")</f>
        <v>46288</v>
      </c>
      <c r="H3" s="25">
        <v>0</v>
      </c>
      <c r="I3" s="28">
        <v>46287</v>
      </c>
      <c r="J3" t="s">
        <v>220</v>
      </c>
      <c r="K3" t="s">
        <v>221</v>
      </c>
    </row>
    <row r="4" spans="1:11" hidden="1">
      <c r="A4" s="28">
        <v>46287</v>
      </c>
      <c r="B4" t="s">
        <v>185</v>
      </c>
      <c r="C4" t="s">
        <v>202</v>
      </c>
      <c r="D4" t="s">
        <v>217</v>
      </c>
      <c r="E4">
        <f>IF(LEFT(D4,6)="CLIENT",IFERROR(VLOOKUP(C4,Config_Carteiras!$A:$B,2,FALSE),1),"")</f>
        <v>1</v>
      </c>
      <c r="F4" s="25">
        <v>355.6</v>
      </c>
      <c r="G4" s="28">
        <f>IF(LEFT(D4,6)="CLIENT",IF(E4=0,WORKDAY(A4-1,1,Dias_Sem_Compensacao!$A$2:$A$500),WORKDAY(A4,E4,Dias_Sem_Compensacao!$A$2:$A$500)),"")</f>
        <v>46288</v>
      </c>
      <c r="H4" s="25">
        <v>0</v>
      </c>
      <c r="I4" s="28">
        <v>46287</v>
      </c>
      <c r="J4" t="s">
        <v>222</v>
      </c>
      <c r="K4" t="s">
        <v>223</v>
      </c>
    </row>
    <row r="5" spans="1:11" hidden="1">
      <c r="A5" s="28">
        <v>46288</v>
      </c>
      <c r="B5" t="s">
        <v>185</v>
      </c>
      <c r="C5" t="s">
        <v>202</v>
      </c>
      <c r="D5" t="s">
        <v>217</v>
      </c>
      <c r="E5">
        <f>IF(LEFT(D5,6)="CLIENT",IFERROR(VLOOKUP(C5,Config_Carteiras!$A:$B,2,FALSE),1),"")</f>
        <v>1</v>
      </c>
      <c r="F5" s="25">
        <v>1102</v>
      </c>
      <c r="G5" s="28">
        <f>IF(LEFT(D5,6)="CLIENT",IF(E5=0,WORKDAY(A5-1,1,Dias_Sem_Compensacao!$A$2:$A$500),WORKDAY(A5,E5,Dias_Sem_Compensacao!$A$2:$A$500)),"")</f>
        <v>46289</v>
      </c>
      <c r="H5" s="25">
        <v>0</v>
      </c>
      <c r="I5" s="28">
        <v>46288</v>
      </c>
      <c r="J5" t="s">
        <v>224</v>
      </c>
      <c r="K5" t="s">
        <v>225</v>
      </c>
    </row>
    <row r="6" spans="1:11" hidden="1">
      <c r="A6" s="28">
        <v>46288</v>
      </c>
      <c r="B6" t="s">
        <v>185</v>
      </c>
      <c r="C6" t="s">
        <v>202</v>
      </c>
      <c r="D6" t="s">
        <v>217</v>
      </c>
      <c r="E6">
        <f>IF(LEFT(D6,6)="CLIENT",IFERROR(VLOOKUP(C6,Config_Carteiras!$A:$B,2,FALSE),1),"")</f>
        <v>1</v>
      </c>
      <c r="F6" s="25">
        <v>1102</v>
      </c>
      <c r="G6" s="28">
        <f>IF(LEFT(D6,6)="CLIENT",IF(E6=0,WORKDAY(A6-1,1,Dias_Sem_Compensacao!$A$2:$A$500),WORKDAY(A6,E6,Dias_Sem_Compensacao!$A$2:$A$500)),"")</f>
        <v>46289</v>
      </c>
      <c r="H6" s="25">
        <v>0</v>
      </c>
      <c r="I6" s="28">
        <v>46288</v>
      </c>
      <c r="K6" t="s">
        <v>226</v>
      </c>
    </row>
    <row r="7" spans="1:11" hidden="1">
      <c r="A7" s="28">
        <v>46288</v>
      </c>
      <c r="B7" t="s">
        <v>185</v>
      </c>
      <c r="C7" t="s">
        <v>202</v>
      </c>
      <c r="D7" t="s">
        <v>217</v>
      </c>
      <c r="E7">
        <f>IF(LEFT(D7,6)="CLIENT",IFERROR(VLOOKUP(C7,Config_Carteiras!$A:$B,2,FALSE),1),"")</f>
        <v>1</v>
      </c>
      <c r="F7" s="25">
        <v>656</v>
      </c>
      <c r="G7" s="28">
        <f>IF(LEFT(D7,6)="CLIENT",IF(E7=0,WORKDAY(A7-1,1,Dias_Sem_Compensacao!$A$2:$A$500),WORKDAY(A7,E7,Dias_Sem_Compensacao!$A$2:$A$500)),"")</f>
        <v>46289</v>
      </c>
      <c r="H7" s="25">
        <v>0</v>
      </c>
      <c r="I7" s="28">
        <v>46288</v>
      </c>
      <c r="J7" t="s">
        <v>227</v>
      </c>
      <c r="K7" t="s">
        <v>228</v>
      </c>
    </row>
    <row r="8" spans="1:11" hidden="1">
      <c r="A8" s="28">
        <v>46288</v>
      </c>
      <c r="B8" t="s">
        <v>185</v>
      </c>
      <c r="C8" t="s">
        <v>202</v>
      </c>
      <c r="D8" t="s">
        <v>217</v>
      </c>
      <c r="E8">
        <f>IF(LEFT(D8,6)="CLIENT",IFERROR(VLOOKUP(C8,Config_Carteiras!$A:$B,2,FALSE),1),"")</f>
        <v>1</v>
      </c>
      <c r="F8" s="25">
        <v>420</v>
      </c>
      <c r="G8" s="28">
        <f>IF(LEFT(D8,6)="CLIENT",IF(E8=0,WORKDAY(A8-1,1,Dias_Sem_Compensacao!$A$2:$A$500),WORKDAY(A8,E8,Dias_Sem_Compensacao!$A$2:$A$500)),"")</f>
        <v>46289</v>
      </c>
      <c r="H8" s="25">
        <v>0</v>
      </c>
      <c r="I8" s="28">
        <v>46288</v>
      </c>
      <c r="J8" t="s">
        <v>229</v>
      </c>
      <c r="K8" t="s">
        <v>230</v>
      </c>
    </row>
    <row r="9" spans="1:11" hidden="1">
      <c r="A9" s="28">
        <v>46288</v>
      </c>
      <c r="B9" t="s">
        <v>185</v>
      </c>
      <c r="C9" t="s">
        <v>202</v>
      </c>
      <c r="D9" t="s">
        <v>217</v>
      </c>
      <c r="E9">
        <f>IF(LEFT(D9,6)="CLIENT",IFERROR(VLOOKUP(C9,Config_Carteiras!$A:$B,2,FALSE),1),"")</f>
        <v>1</v>
      </c>
      <c r="F9" s="25">
        <v>364.96</v>
      </c>
      <c r="G9" s="28">
        <f>IF(LEFT(D9,6)="CLIENT",IF(E9=0,WORKDAY(A9-1,1,Dias_Sem_Compensacao!$A$2:$A$500),WORKDAY(A9,E9,Dias_Sem_Compensacao!$A$2:$A$500)),"")</f>
        <v>46289</v>
      </c>
      <c r="H9" s="25">
        <v>0</v>
      </c>
      <c r="I9" s="28">
        <v>46288</v>
      </c>
      <c r="K9" t="s">
        <v>231</v>
      </c>
    </row>
    <row r="10" spans="1:11" hidden="1">
      <c r="A10" s="28">
        <v>46289</v>
      </c>
      <c r="B10" t="s">
        <v>185</v>
      </c>
      <c r="C10" t="s">
        <v>202</v>
      </c>
      <c r="D10" t="s">
        <v>217</v>
      </c>
      <c r="E10">
        <f>IF(LEFT(D10,6)="CLIENT",IFERROR(VLOOKUP(C10,Config_Carteiras!$A:$B,2,FALSE),1),"")</f>
        <v>1</v>
      </c>
      <c r="F10" s="25">
        <v>671.5</v>
      </c>
      <c r="G10" s="28">
        <f>IF(LEFT(D10,6)="CLIENT",IF(E10=0,WORKDAY(A10-1,1,Dias_Sem_Compensacao!$A$2:$A$500),WORKDAY(A10,E10,Dias_Sem_Compensacao!$A$2:$A$500)),"")</f>
        <v>46290</v>
      </c>
      <c r="H10" s="25">
        <v>0</v>
      </c>
      <c r="I10" s="28">
        <v>46289</v>
      </c>
      <c r="J10" t="s">
        <v>232</v>
      </c>
      <c r="K10" t="s">
        <v>233</v>
      </c>
    </row>
    <row r="11" spans="1:11" hidden="1">
      <c r="A11" s="28">
        <v>46289</v>
      </c>
      <c r="B11" t="s">
        <v>185</v>
      </c>
      <c r="C11" t="s">
        <v>202</v>
      </c>
      <c r="D11" t="s">
        <v>217</v>
      </c>
      <c r="E11">
        <f>IF(LEFT(D11,6)="CLIENT",IFERROR(VLOOKUP(C11,Config_Carteiras!$A:$B,2,FALSE),1),"")</f>
        <v>1</v>
      </c>
      <c r="F11" s="25">
        <v>660</v>
      </c>
      <c r="G11" s="28">
        <f>IF(LEFT(D11,6)="CLIENT",IF(E11=0,WORKDAY(A11-1,1,Dias_Sem_Compensacao!$A$2:$A$500),WORKDAY(A11,E11,Dias_Sem_Compensacao!$A$2:$A$500)),"")</f>
        <v>46290</v>
      </c>
      <c r="H11" s="25">
        <v>0</v>
      </c>
      <c r="I11" s="28">
        <v>46289</v>
      </c>
      <c r="J11" t="s">
        <v>234</v>
      </c>
      <c r="K11" t="s">
        <v>235</v>
      </c>
    </row>
    <row r="12" spans="1:11" hidden="1">
      <c r="A12" s="28">
        <v>46290</v>
      </c>
      <c r="B12" t="s">
        <v>185</v>
      </c>
      <c r="C12" t="s">
        <v>202</v>
      </c>
      <c r="D12" t="s">
        <v>217</v>
      </c>
      <c r="E12">
        <f>IF(LEFT(D12,6)="CLIENT",IFERROR(VLOOKUP(C12,Config_Carteiras!$A:$B,2,FALSE),1),"")</f>
        <v>1</v>
      </c>
      <c r="F12" s="25">
        <v>672</v>
      </c>
      <c r="G12" s="28">
        <f>IF(LEFT(D12,6)="CLIENT",IF(E12=0,WORKDAY(A12-1,1,Dias_Sem_Compensacao!$A$2:$A$500),WORKDAY(A12,E12,Dias_Sem_Compensacao!$A$2:$A$500)),"")</f>
        <v>46293</v>
      </c>
      <c r="H12" s="25">
        <v>0</v>
      </c>
      <c r="I12" s="28">
        <v>46290</v>
      </c>
      <c r="J12" t="s">
        <v>232</v>
      </c>
      <c r="K12" t="s">
        <v>236</v>
      </c>
    </row>
    <row r="13" spans="1:11" hidden="1">
      <c r="A13" s="28">
        <v>46293</v>
      </c>
      <c r="B13" t="s">
        <v>185</v>
      </c>
      <c r="C13" t="s">
        <v>202</v>
      </c>
      <c r="D13" t="s">
        <v>217</v>
      </c>
      <c r="E13">
        <f>IF(LEFT(D13,6)="CLIENT",IFERROR(VLOOKUP(C13,Config_Carteiras!$A:$B,2,FALSE),1),"")</f>
        <v>1</v>
      </c>
      <c r="F13" s="25">
        <v>351.4</v>
      </c>
      <c r="G13" s="28">
        <f>IF(LEFT(D13,6)="CLIENT",IF(E13=0,WORKDAY(A13-1,1,Dias_Sem_Compensacao!$A$2:$A$500),WORKDAY(A13,E13,Dias_Sem_Compensacao!$A$2:$A$500)),"")</f>
        <v>46294</v>
      </c>
      <c r="H13" s="25">
        <v>0</v>
      </c>
      <c r="I13" s="28">
        <v>46293</v>
      </c>
      <c r="J13" t="s">
        <v>237</v>
      </c>
      <c r="K13" t="s">
        <v>238</v>
      </c>
    </row>
    <row r="14" spans="1:11" hidden="1">
      <c r="A14" s="28">
        <v>46293</v>
      </c>
      <c r="B14" t="s">
        <v>185</v>
      </c>
      <c r="C14" t="s">
        <v>202</v>
      </c>
      <c r="D14" t="s">
        <v>217</v>
      </c>
      <c r="E14">
        <f>IF(LEFT(D14,6)="CLIENT",IFERROR(VLOOKUP(C14,Config_Carteiras!$A:$B,2,FALSE),1),"")</f>
        <v>1</v>
      </c>
      <c r="F14" s="25">
        <v>701.25</v>
      </c>
      <c r="G14" s="28">
        <f>IF(LEFT(D14,6)="CLIENT",IF(E14=0,WORKDAY(A14-1,1,Dias_Sem_Compensacao!$A$2:$A$500),WORKDAY(A14,E14,Dias_Sem_Compensacao!$A$2:$A$500)),"")</f>
        <v>46294</v>
      </c>
      <c r="H14" s="25">
        <v>0</v>
      </c>
      <c r="I14" s="28">
        <v>46293</v>
      </c>
      <c r="J14" t="s">
        <v>239</v>
      </c>
      <c r="K14" t="s">
        <v>240</v>
      </c>
    </row>
    <row r="15" spans="1:11" hidden="1">
      <c r="A15" s="28">
        <v>46293</v>
      </c>
      <c r="B15" t="s">
        <v>185</v>
      </c>
      <c r="C15" t="s">
        <v>202</v>
      </c>
      <c r="D15" t="s">
        <v>217</v>
      </c>
      <c r="E15">
        <f>IF(LEFT(D15,6)="CLIENT",IFERROR(VLOOKUP(C15,Config_Carteiras!$A:$B,2,FALSE),1),"")</f>
        <v>1</v>
      </c>
      <c r="F15" s="25">
        <v>406</v>
      </c>
      <c r="G15" s="28">
        <f>IF(LEFT(D15,6)="CLIENT",IF(E15=0,WORKDAY(A15-1,1,Dias_Sem_Compensacao!$A$2:$A$500),WORKDAY(A15,E15,Dias_Sem_Compensacao!$A$2:$A$500)),"")</f>
        <v>46294</v>
      </c>
      <c r="H15" s="25">
        <v>0</v>
      </c>
      <c r="I15" s="28">
        <v>46293</v>
      </c>
      <c r="J15" t="s">
        <v>241</v>
      </c>
      <c r="K15" t="s">
        <v>242</v>
      </c>
    </row>
    <row r="16" spans="1:11" hidden="1">
      <c r="A16" s="28">
        <v>46293</v>
      </c>
      <c r="B16" t="s">
        <v>185</v>
      </c>
      <c r="C16" t="s">
        <v>202</v>
      </c>
      <c r="D16" t="s">
        <v>217</v>
      </c>
      <c r="E16">
        <f>IF(LEFT(D16,6)="CLIENT",IFERROR(VLOOKUP(C16,Config_Carteiras!$A:$B,2,FALSE),1),"")</f>
        <v>1</v>
      </c>
      <c r="F16" s="25">
        <v>586</v>
      </c>
      <c r="G16" s="28">
        <f>IF(LEFT(D16,6)="CLIENT",IF(E16=0,WORKDAY(A16-1,1,Dias_Sem_Compensacao!$A$2:$A$500),WORKDAY(A16,E16,Dias_Sem_Compensacao!$A$2:$A$500)),"")</f>
        <v>46294</v>
      </c>
      <c r="H16" s="25">
        <v>0</v>
      </c>
      <c r="I16" s="28">
        <v>46293</v>
      </c>
      <c r="J16" t="s">
        <v>243</v>
      </c>
      <c r="K16" t="s">
        <v>244</v>
      </c>
    </row>
    <row r="17" spans="1:11" hidden="1">
      <c r="A17" s="28">
        <v>46293</v>
      </c>
      <c r="B17" t="s">
        <v>185</v>
      </c>
      <c r="C17" t="s">
        <v>202</v>
      </c>
      <c r="D17" t="s">
        <v>217</v>
      </c>
      <c r="E17">
        <f>IF(LEFT(D17,6)="CLIENT",IFERROR(VLOOKUP(C17,Config_Carteiras!$A:$B,2,FALSE),1),"")</f>
        <v>1</v>
      </c>
      <c r="F17" s="25">
        <v>1243</v>
      </c>
      <c r="G17" s="28">
        <f>IF(LEFT(D17,6)="CLIENT",IF(E17=0,WORKDAY(A17-1,1,Dias_Sem_Compensacao!$A$2:$A$500),WORKDAY(A17,E17,Dias_Sem_Compensacao!$A$2:$A$500)),"")</f>
        <v>46294</v>
      </c>
      <c r="H17" s="25">
        <v>0</v>
      </c>
      <c r="I17" s="28">
        <v>46293</v>
      </c>
      <c r="J17" t="s">
        <v>245</v>
      </c>
      <c r="K17" t="s">
        <v>246</v>
      </c>
    </row>
    <row r="18" spans="1:11" hidden="1">
      <c r="A18" s="28">
        <v>46293</v>
      </c>
      <c r="B18" t="s">
        <v>185</v>
      </c>
      <c r="C18" t="s">
        <v>202</v>
      </c>
      <c r="D18" t="s">
        <v>217</v>
      </c>
      <c r="E18">
        <f>IF(LEFT(D18,6)="CLIENT",IFERROR(VLOOKUP(C18,Config_Carteiras!$A:$B,2,FALSE),1),"")</f>
        <v>1</v>
      </c>
      <c r="F18" s="25">
        <v>3321</v>
      </c>
      <c r="G18" s="28">
        <f>IF(LEFT(D18,6)="CLIENT",IF(E18=0,WORKDAY(A18-1,1,Dias_Sem_Compensacao!$A$2:$A$500),WORKDAY(A18,E18,Dias_Sem_Compensacao!$A$2:$A$500)),"")</f>
        <v>46294</v>
      </c>
      <c r="H18" s="25">
        <v>0</v>
      </c>
      <c r="I18" s="28">
        <v>46293</v>
      </c>
      <c r="J18" t="s">
        <v>247</v>
      </c>
      <c r="K18" t="s">
        <v>248</v>
      </c>
    </row>
    <row r="19" spans="1:11" hidden="1">
      <c r="A19" s="28">
        <v>46293</v>
      </c>
      <c r="B19" t="s">
        <v>185</v>
      </c>
      <c r="C19" t="s">
        <v>202</v>
      </c>
      <c r="D19" t="s">
        <v>217</v>
      </c>
      <c r="E19">
        <f>IF(LEFT(D19,6)="CLIENT",IFERROR(VLOOKUP(C19,Config_Carteiras!$A:$B,2,FALSE),1),"")</f>
        <v>1</v>
      </c>
      <c r="F19" s="25">
        <v>326</v>
      </c>
      <c r="G19" s="28">
        <f>IF(LEFT(D19,6)="CLIENT",IF(E19=0,WORKDAY(A19-1,1,Dias_Sem_Compensacao!$A$2:$A$500),WORKDAY(A19,E19,Dias_Sem_Compensacao!$A$2:$A$500)),"")</f>
        <v>46294</v>
      </c>
      <c r="H19" s="25">
        <v>0</v>
      </c>
      <c r="I19" s="28">
        <v>46293</v>
      </c>
      <c r="J19" t="s">
        <v>249</v>
      </c>
      <c r="K19" t="s">
        <v>250</v>
      </c>
    </row>
    <row r="20" spans="1:11" hidden="1">
      <c r="A20" s="28">
        <v>46293</v>
      </c>
      <c r="B20" t="s">
        <v>185</v>
      </c>
      <c r="C20" t="s">
        <v>202</v>
      </c>
      <c r="D20" t="s">
        <v>217</v>
      </c>
      <c r="E20">
        <f>IF(LEFT(D20,6)="CLIENT",IFERROR(VLOOKUP(C20,Config_Carteiras!$A:$B,2,FALSE),1),"")</f>
        <v>1</v>
      </c>
      <c r="F20" s="25">
        <v>390.6</v>
      </c>
      <c r="G20" s="28">
        <f>IF(LEFT(D20,6)="CLIENT",IF(E20=0,WORKDAY(A20-1,1,Dias_Sem_Compensacao!$A$2:$A$500),WORKDAY(A20,E20,Dias_Sem_Compensacao!$A$2:$A$500)),"")</f>
        <v>46294</v>
      </c>
      <c r="H20" s="25">
        <v>0</v>
      </c>
      <c r="I20" s="28">
        <v>46293</v>
      </c>
      <c r="J20" t="s">
        <v>251</v>
      </c>
      <c r="K20" t="s">
        <v>252</v>
      </c>
    </row>
    <row r="21" spans="1:11" hidden="1">
      <c r="A21" s="28">
        <v>46294</v>
      </c>
      <c r="B21" t="s">
        <v>185</v>
      </c>
      <c r="C21" t="s">
        <v>202</v>
      </c>
      <c r="D21" t="s">
        <v>217</v>
      </c>
      <c r="E21">
        <f>IF(LEFT(D21,6)="CLIENT",IFERROR(VLOOKUP(C21,Config_Carteiras!$A:$B,2,FALSE),1),"")</f>
        <v>1</v>
      </c>
      <c r="F21" s="25">
        <v>385</v>
      </c>
      <c r="G21" s="28">
        <f>IF(LEFT(D21,6)="CLIENT",IF(E21=0,WORKDAY(A21-1,1,Dias_Sem_Compensacao!$A$2:$A$500),WORKDAY(A21,E21,Dias_Sem_Compensacao!$A$2:$A$500)),"")</f>
        <v>46295</v>
      </c>
      <c r="H21" s="25">
        <v>0</v>
      </c>
      <c r="I21" s="28">
        <v>46294</v>
      </c>
      <c r="J21" t="s">
        <v>218</v>
      </c>
      <c r="K21" t="s">
        <v>219</v>
      </c>
    </row>
    <row r="22" spans="1:11" hidden="1">
      <c r="A22" s="28">
        <v>46294</v>
      </c>
      <c r="B22" t="s">
        <v>185</v>
      </c>
      <c r="C22" t="s">
        <v>202</v>
      </c>
      <c r="D22" t="s">
        <v>217</v>
      </c>
      <c r="E22">
        <f>IF(LEFT(D22,6)="CLIENT",IFERROR(VLOOKUP(C22,Config_Carteiras!$A:$B,2,FALSE),1),"")</f>
        <v>1</v>
      </c>
      <c r="F22" s="25">
        <v>787</v>
      </c>
      <c r="G22" s="28">
        <f>IF(LEFT(D22,6)="CLIENT",IF(E22=0,WORKDAY(A22-1,1,Dias_Sem_Compensacao!$A$2:$A$500),WORKDAY(A22,E22,Dias_Sem_Compensacao!$A$2:$A$500)),"")</f>
        <v>46295</v>
      </c>
      <c r="H22" s="25">
        <v>0</v>
      </c>
      <c r="I22" s="28">
        <v>46294</v>
      </c>
      <c r="J22" t="s">
        <v>253</v>
      </c>
      <c r="K22" t="s">
        <v>254</v>
      </c>
    </row>
    <row r="23" spans="1:11" hidden="1">
      <c r="A23" s="28">
        <v>46294</v>
      </c>
      <c r="B23" t="s">
        <v>185</v>
      </c>
      <c r="C23" t="s">
        <v>202</v>
      </c>
      <c r="D23" t="s">
        <v>217</v>
      </c>
      <c r="E23">
        <f>IF(LEFT(D23,6)="CLIENT",IFERROR(VLOOKUP(C23,Config_Carteiras!$A:$B,2,FALSE),1),"")</f>
        <v>1</v>
      </c>
      <c r="F23" s="25">
        <v>1981</v>
      </c>
      <c r="G23" s="28">
        <f>IF(LEFT(D23,6)="CLIENT",IF(E23=0,WORKDAY(A23-1,1,Dias_Sem_Compensacao!$A$2:$A$500),WORKDAY(A23,E23,Dias_Sem_Compensacao!$A$2:$A$500)),"")</f>
        <v>46295</v>
      </c>
      <c r="H23" s="25">
        <v>0</v>
      </c>
      <c r="I23" s="28">
        <v>46294</v>
      </c>
      <c r="J23" t="s">
        <v>255</v>
      </c>
      <c r="K23" t="s">
        <v>256</v>
      </c>
    </row>
    <row r="24" spans="1:11" hidden="1">
      <c r="A24" s="28">
        <v>46294</v>
      </c>
      <c r="B24" t="s">
        <v>185</v>
      </c>
      <c r="C24" t="s">
        <v>202</v>
      </c>
      <c r="D24" t="s">
        <v>217</v>
      </c>
      <c r="E24">
        <f>IF(LEFT(D24,6)="CLIENT",IFERROR(VLOOKUP(C24,Config_Carteiras!$A:$B,2,FALSE),1),"")</f>
        <v>1</v>
      </c>
      <c r="F24" s="25">
        <v>385</v>
      </c>
      <c r="G24" s="28">
        <f>IF(LEFT(D24,6)="CLIENT",IF(E24=0,WORKDAY(A24-1,1,Dias_Sem_Compensacao!$A$2:$A$500),WORKDAY(A24,E24,Dias_Sem_Compensacao!$A$2:$A$500)),"")</f>
        <v>46295</v>
      </c>
      <c r="H24" s="25">
        <v>0</v>
      </c>
      <c r="I24" s="28">
        <v>46294</v>
      </c>
      <c r="J24" t="s">
        <v>257</v>
      </c>
      <c r="K24" t="s">
        <v>258</v>
      </c>
    </row>
    <row r="25" spans="1:11" hidden="1">
      <c r="A25" s="28">
        <v>46294</v>
      </c>
      <c r="B25" t="s">
        <v>185</v>
      </c>
      <c r="C25" t="s">
        <v>202</v>
      </c>
      <c r="D25" t="s">
        <v>217</v>
      </c>
      <c r="E25">
        <f>IF(LEFT(D25,6)="CLIENT",IFERROR(VLOOKUP(C25,Config_Carteiras!$A:$B,2,FALSE),1),"")</f>
        <v>1</v>
      </c>
      <c r="F25" s="25">
        <v>764.2</v>
      </c>
      <c r="G25" s="28">
        <f>IF(LEFT(D25,6)="CLIENT",IF(E25=0,WORKDAY(A25-1,1,Dias_Sem_Compensacao!$A$2:$A$500),WORKDAY(A25,E25,Dias_Sem_Compensacao!$A$2:$A$500)),"")</f>
        <v>46295</v>
      </c>
      <c r="H25" s="25">
        <v>0</v>
      </c>
      <c r="I25" s="28">
        <v>46294</v>
      </c>
      <c r="J25" t="s">
        <v>259</v>
      </c>
      <c r="K25" t="s">
        <v>260</v>
      </c>
    </row>
    <row r="26" spans="1:11" hidden="1">
      <c r="A26" s="28">
        <v>46294</v>
      </c>
      <c r="B26" t="s">
        <v>185</v>
      </c>
      <c r="C26" t="s">
        <v>202</v>
      </c>
      <c r="D26" t="s">
        <v>217</v>
      </c>
      <c r="E26">
        <f>IF(LEFT(D26,6)="CLIENT",IFERROR(VLOOKUP(C26,Config_Carteiras!$A:$B,2,FALSE),1),"")</f>
        <v>1</v>
      </c>
      <c r="F26" s="25">
        <v>1127</v>
      </c>
      <c r="G26" s="28">
        <f>IF(LEFT(D26,6)="CLIENT",IF(E26=0,WORKDAY(A26-1,1,Dias_Sem_Compensacao!$A$2:$A$500),WORKDAY(A26,E26,Dias_Sem_Compensacao!$A$2:$A$500)),"")</f>
        <v>46295</v>
      </c>
      <c r="H26" s="25">
        <v>0</v>
      </c>
      <c r="I26" s="28">
        <v>46294</v>
      </c>
      <c r="J26" t="s">
        <v>261</v>
      </c>
      <c r="K26" t="s">
        <v>262</v>
      </c>
    </row>
    <row r="27" spans="1:11" hidden="1">
      <c r="A27" s="28">
        <v>46294</v>
      </c>
      <c r="B27" t="s">
        <v>185</v>
      </c>
      <c r="C27" t="s">
        <v>202</v>
      </c>
      <c r="D27" t="s">
        <v>217</v>
      </c>
      <c r="E27">
        <f>IF(LEFT(D27,6)="CLIENT",IFERROR(VLOOKUP(C27,Config_Carteiras!$A:$B,2,FALSE),1),"")</f>
        <v>1</v>
      </c>
      <c r="F27" s="25">
        <v>1127</v>
      </c>
      <c r="G27" s="28">
        <f>IF(LEFT(D27,6)="CLIENT",IF(E27=0,WORKDAY(A27-1,1,Dias_Sem_Compensacao!$A$2:$A$500),WORKDAY(A27,E27,Dias_Sem_Compensacao!$A$2:$A$500)),"")</f>
        <v>46295</v>
      </c>
      <c r="H27" s="25">
        <v>0</v>
      </c>
      <c r="I27" s="28">
        <v>46294</v>
      </c>
      <c r="J27" t="s">
        <v>263</v>
      </c>
      <c r="K27" t="s">
        <v>264</v>
      </c>
    </row>
    <row r="28" spans="1:11" hidden="1">
      <c r="A28" s="28">
        <v>46294</v>
      </c>
      <c r="B28" t="s">
        <v>185</v>
      </c>
      <c r="C28" t="s">
        <v>202</v>
      </c>
      <c r="D28" t="s">
        <v>217</v>
      </c>
      <c r="E28">
        <f>IF(LEFT(D28,6)="CLIENT",IFERROR(VLOOKUP(C28,Config_Carteiras!$A:$B,2,FALSE),1),"")</f>
        <v>1</v>
      </c>
      <c r="F28" s="25">
        <v>465.75</v>
      </c>
      <c r="G28" s="28">
        <f>IF(LEFT(D28,6)="CLIENT",IF(E28=0,WORKDAY(A28-1,1,Dias_Sem_Compensacao!$A$2:$A$500),WORKDAY(A28,E28,Dias_Sem_Compensacao!$A$2:$A$500)),"")</f>
        <v>46295</v>
      </c>
      <c r="H28" s="25">
        <v>0</v>
      </c>
      <c r="I28" s="28">
        <v>46294</v>
      </c>
      <c r="J28" t="s">
        <v>265</v>
      </c>
      <c r="K28" t="s">
        <v>266</v>
      </c>
    </row>
    <row r="29" spans="1:11" hidden="1">
      <c r="A29" s="28">
        <v>46294</v>
      </c>
      <c r="B29" t="s">
        <v>185</v>
      </c>
      <c r="C29" t="s">
        <v>202</v>
      </c>
      <c r="D29" t="s">
        <v>217</v>
      </c>
      <c r="E29">
        <f>IF(LEFT(D29,6)="CLIENT",IFERROR(VLOOKUP(C29,Config_Carteiras!$A:$B,2,FALSE),1),"")</f>
        <v>1</v>
      </c>
      <c r="F29" s="25">
        <v>474.5</v>
      </c>
      <c r="G29" s="28">
        <f>IF(LEFT(D29,6)="CLIENT",IF(E29=0,WORKDAY(A29-1,1,Dias_Sem_Compensacao!$A$2:$A$500),WORKDAY(A29,E29,Dias_Sem_Compensacao!$A$2:$A$500)),"")</f>
        <v>46295</v>
      </c>
      <c r="H29" s="25">
        <v>0</v>
      </c>
      <c r="I29" s="28">
        <v>46294</v>
      </c>
      <c r="J29" t="s">
        <v>267</v>
      </c>
      <c r="K29" t="s">
        <v>268</v>
      </c>
    </row>
    <row r="30" spans="1:11" hidden="1">
      <c r="A30" s="28">
        <v>46294</v>
      </c>
      <c r="B30" t="s">
        <v>185</v>
      </c>
      <c r="C30" t="s">
        <v>202</v>
      </c>
      <c r="D30" t="s">
        <v>217</v>
      </c>
      <c r="E30">
        <f>IF(LEFT(D30,6)="CLIENT",IFERROR(VLOOKUP(C30,Config_Carteiras!$A:$B,2,FALSE),1),"")</f>
        <v>1</v>
      </c>
      <c r="F30" s="25">
        <v>659</v>
      </c>
      <c r="G30" s="28">
        <f>IF(LEFT(D30,6)="CLIENT",IF(E30=0,WORKDAY(A30-1,1,Dias_Sem_Compensacao!$A$2:$A$500),WORKDAY(A30,E30,Dias_Sem_Compensacao!$A$2:$A$500)),"")</f>
        <v>46295</v>
      </c>
      <c r="H30" s="25">
        <v>0</v>
      </c>
      <c r="I30" s="28">
        <v>46294</v>
      </c>
      <c r="J30" t="s">
        <v>269</v>
      </c>
      <c r="K30" t="s">
        <v>270</v>
      </c>
    </row>
    <row r="31" spans="1:11" hidden="1">
      <c r="A31" s="28">
        <v>46294</v>
      </c>
      <c r="B31" t="s">
        <v>185</v>
      </c>
      <c r="C31" t="s">
        <v>202</v>
      </c>
      <c r="D31" t="s">
        <v>217</v>
      </c>
      <c r="E31">
        <f>IF(LEFT(D31,6)="CLIENT",IFERROR(VLOOKUP(C31,Config_Carteiras!$A:$B,2,FALSE),1),"")</f>
        <v>1</v>
      </c>
      <c r="F31" s="25">
        <v>634</v>
      </c>
      <c r="G31" s="28">
        <f>IF(LEFT(D31,6)="CLIENT",IF(E31=0,WORKDAY(A31-1,1,Dias_Sem_Compensacao!$A$2:$A$500),WORKDAY(A31,E31,Dias_Sem_Compensacao!$A$2:$A$500)),"")</f>
        <v>46295</v>
      </c>
      <c r="H31" s="25">
        <v>0</v>
      </c>
      <c r="I31" s="28">
        <v>46294</v>
      </c>
      <c r="J31" t="s">
        <v>271</v>
      </c>
      <c r="K31" t="s">
        <v>272</v>
      </c>
    </row>
    <row r="32" spans="1:11" hidden="1">
      <c r="A32" s="28">
        <v>46294</v>
      </c>
      <c r="B32" t="s">
        <v>185</v>
      </c>
      <c r="C32" t="s">
        <v>202</v>
      </c>
      <c r="D32" t="s">
        <v>217</v>
      </c>
      <c r="E32">
        <f>IF(LEFT(D32,6)="CLIENT",IFERROR(VLOOKUP(C32,Config_Carteiras!$A:$B,2,FALSE),1),"")</f>
        <v>1</v>
      </c>
      <c r="F32" s="25">
        <v>627.29999999999995</v>
      </c>
      <c r="G32" s="28">
        <f>IF(LEFT(D32,6)="CLIENT",IF(E32=0,WORKDAY(A32-1,1,Dias_Sem_Compensacao!$A$2:$A$500),WORKDAY(A32,E32,Dias_Sem_Compensacao!$A$2:$A$500)),"")</f>
        <v>46295</v>
      </c>
      <c r="H32" s="25">
        <v>0</v>
      </c>
      <c r="I32" s="28">
        <v>46294</v>
      </c>
      <c r="J32" t="s">
        <v>273</v>
      </c>
      <c r="K32" t="s">
        <v>274</v>
      </c>
    </row>
    <row r="33" spans="1:11" hidden="1">
      <c r="A33" s="28">
        <v>46294</v>
      </c>
      <c r="B33" t="s">
        <v>185</v>
      </c>
      <c r="C33" t="s">
        <v>202</v>
      </c>
      <c r="D33" t="s">
        <v>217</v>
      </c>
      <c r="E33">
        <f>IF(LEFT(D33,6)="CLIENT",IFERROR(VLOOKUP(C33,Config_Carteiras!$A:$B,2,FALSE),1),"")</f>
        <v>1</v>
      </c>
      <c r="F33" s="25">
        <v>1542</v>
      </c>
      <c r="G33" s="28">
        <f>IF(LEFT(D33,6)="CLIENT",IF(E33=0,WORKDAY(A33-1,1,Dias_Sem_Compensacao!$A$2:$A$500),WORKDAY(A33,E33,Dias_Sem_Compensacao!$A$2:$A$500)),"")</f>
        <v>46295</v>
      </c>
      <c r="H33" s="25">
        <v>0</v>
      </c>
      <c r="I33" s="28">
        <v>46294</v>
      </c>
      <c r="K33" t="s">
        <v>275</v>
      </c>
    </row>
    <row r="34" spans="1:11" hidden="1">
      <c r="A34" s="28">
        <v>46294</v>
      </c>
      <c r="B34" t="s">
        <v>185</v>
      </c>
      <c r="C34" t="s">
        <v>202</v>
      </c>
      <c r="D34" t="s">
        <v>217</v>
      </c>
      <c r="E34">
        <f>IF(LEFT(D34,6)="CLIENT",IFERROR(VLOOKUP(C34,Config_Carteiras!$A:$B,2,FALSE),1),"")</f>
        <v>1</v>
      </c>
      <c r="F34" s="25">
        <v>1524</v>
      </c>
      <c r="G34" s="28">
        <f>IF(LEFT(D34,6)="CLIENT",IF(E34=0,WORKDAY(A34-1,1,Dias_Sem_Compensacao!$A$2:$A$500),WORKDAY(A34,E34,Dias_Sem_Compensacao!$A$2:$A$500)),"")</f>
        <v>46295</v>
      </c>
      <c r="H34" s="25">
        <v>0</v>
      </c>
      <c r="I34" s="28">
        <v>46294</v>
      </c>
      <c r="J34" t="s">
        <v>276</v>
      </c>
      <c r="K34" t="s">
        <v>277</v>
      </c>
    </row>
    <row r="35" spans="1:11" hidden="1">
      <c r="A35" s="28">
        <v>46294</v>
      </c>
      <c r="B35" t="s">
        <v>185</v>
      </c>
      <c r="C35" t="s">
        <v>202</v>
      </c>
      <c r="D35" t="s">
        <v>217</v>
      </c>
      <c r="E35">
        <f>IF(LEFT(D35,6)="CLIENT",IFERROR(VLOOKUP(C35,Config_Carteiras!$A:$B,2,FALSE),1),"")</f>
        <v>1</v>
      </c>
      <c r="F35" s="25">
        <v>1523.2</v>
      </c>
      <c r="G35" s="28">
        <f>IF(LEFT(D35,6)="CLIENT",IF(E35=0,WORKDAY(A35-1,1,Dias_Sem_Compensacao!$A$2:$A$500),WORKDAY(A35,E35,Dias_Sem_Compensacao!$A$2:$A$500)),"")</f>
        <v>46295</v>
      </c>
      <c r="H35" s="25">
        <v>0</v>
      </c>
      <c r="I35" s="28">
        <v>46294</v>
      </c>
      <c r="J35" t="s">
        <v>278</v>
      </c>
      <c r="K35" t="s">
        <v>279</v>
      </c>
    </row>
    <row r="36" spans="1:11" hidden="1">
      <c r="A36" s="28">
        <v>46294</v>
      </c>
      <c r="B36" t="s">
        <v>185</v>
      </c>
      <c r="C36" t="s">
        <v>202</v>
      </c>
      <c r="D36" t="s">
        <v>217</v>
      </c>
      <c r="E36">
        <f>IF(LEFT(D36,6)="CLIENT",IFERROR(VLOOKUP(C36,Config_Carteiras!$A:$B,2,FALSE),1),"")</f>
        <v>1</v>
      </c>
      <c r="F36" s="25">
        <v>577.04999999999995</v>
      </c>
      <c r="G36" s="28">
        <f>IF(LEFT(D36,6)="CLIENT",IF(E36=0,WORKDAY(A36-1,1,Dias_Sem_Compensacao!$A$2:$A$500),WORKDAY(A36,E36,Dias_Sem_Compensacao!$A$2:$A$500)),"")</f>
        <v>46295</v>
      </c>
      <c r="H36" s="25">
        <v>0</v>
      </c>
      <c r="I36" s="28">
        <v>46294</v>
      </c>
      <c r="J36" t="s">
        <v>280</v>
      </c>
      <c r="K36" t="s">
        <v>281</v>
      </c>
    </row>
    <row r="37" spans="1:11" hidden="1">
      <c r="A37" s="28">
        <v>46294</v>
      </c>
      <c r="B37" t="s">
        <v>185</v>
      </c>
      <c r="C37" t="s">
        <v>202</v>
      </c>
      <c r="D37" t="s">
        <v>217</v>
      </c>
      <c r="E37">
        <f>IF(LEFT(D37,6)="CLIENT",IFERROR(VLOOKUP(C37,Config_Carteiras!$A:$B,2,FALSE),1),"")</f>
        <v>1</v>
      </c>
      <c r="F37" s="25">
        <v>377.7</v>
      </c>
      <c r="G37" s="28">
        <f>IF(LEFT(D37,6)="CLIENT",IF(E37=0,WORKDAY(A37-1,1,Dias_Sem_Compensacao!$A$2:$A$500),WORKDAY(A37,E37,Dias_Sem_Compensacao!$A$2:$A$500)),"")</f>
        <v>46295</v>
      </c>
      <c r="H37" s="25">
        <v>0</v>
      </c>
      <c r="I37" s="28">
        <v>46294</v>
      </c>
      <c r="J37" t="s">
        <v>282</v>
      </c>
      <c r="K37" t="s">
        <v>283</v>
      </c>
    </row>
    <row r="38" spans="1:11" hidden="1">
      <c r="A38" s="28">
        <v>46294</v>
      </c>
      <c r="B38" t="s">
        <v>185</v>
      </c>
      <c r="C38" t="s">
        <v>202</v>
      </c>
      <c r="D38" t="s">
        <v>217</v>
      </c>
      <c r="E38">
        <f>IF(LEFT(D38,6)="CLIENT",IFERROR(VLOOKUP(C38,Config_Carteiras!$A:$B,2,FALSE),1),"")</f>
        <v>1</v>
      </c>
      <c r="F38" s="25">
        <v>1051</v>
      </c>
      <c r="G38" s="28">
        <f>IF(LEFT(D38,6)="CLIENT",IF(E38=0,WORKDAY(A38-1,1,Dias_Sem_Compensacao!$A$2:$A$500),WORKDAY(A38,E38,Dias_Sem_Compensacao!$A$2:$A$500)),"")</f>
        <v>46295</v>
      </c>
      <c r="H38" s="25">
        <v>0</v>
      </c>
      <c r="I38" s="28">
        <v>46294</v>
      </c>
      <c r="J38" t="s">
        <v>284</v>
      </c>
      <c r="K38" t="s">
        <v>285</v>
      </c>
    </row>
    <row r="39" spans="1:11" hidden="1">
      <c r="A39" s="28">
        <v>46294</v>
      </c>
      <c r="B39" t="s">
        <v>185</v>
      </c>
      <c r="C39" t="s">
        <v>202</v>
      </c>
      <c r="D39" t="s">
        <v>217</v>
      </c>
      <c r="E39">
        <f>IF(LEFT(D39,6)="CLIENT",IFERROR(VLOOKUP(C39,Config_Carteiras!$A:$B,2,FALSE),1),"")</f>
        <v>1</v>
      </c>
      <c r="F39" s="25">
        <v>789.2</v>
      </c>
      <c r="G39" s="28">
        <f>IF(LEFT(D39,6)="CLIENT",IF(E39=0,WORKDAY(A39-1,1,Dias_Sem_Compensacao!$A$2:$A$500),WORKDAY(A39,E39,Dias_Sem_Compensacao!$A$2:$A$500)),"")</f>
        <v>46295</v>
      </c>
      <c r="H39" s="25">
        <v>0</v>
      </c>
      <c r="I39" s="28">
        <v>46294</v>
      </c>
      <c r="J39" t="s">
        <v>286</v>
      </c>
      <c r="K39" t="s">
        <v>287</v>
      </c>
    </row>
    <row r="40" spans="1:11" hidden="1">
      <c r="A40" s="28">
        <v>46294</v>
      </c>
      <c r="B40" t="s">
        <v>185</v>
      </c>
      <c r="C40" t="s">
        <v>202</v>
      </c>
      <c r="D40" t="s">
        <v>217</v>
      </c>
      <c r="E40">
        <f>IF(LEFT(D40,6)="CLIENT",IFERROR(VLOOKUP(C40,Config_Carteiras!$A:$B,2,FALSE),1),"")</f>
        <v>1</v>
      </c>
      <c r="F40" s="25">
        <v>366.6</v>
      </c>
      <c r="G40" s="28">
        <f>IF(LEFT(D40,6)="CLIENT",IF(E40=0,WORKDAY(A40-1,1,Dias_Sem_Compensacao!$A$2:$A$500),WORKDAY(A40,E40,Dias_Sem_Compensacao!$A$2:$A$500)),"")</f>
        <v>46295</v>
      </c>
      <c r="H40" s="25">
        <v>0</v>
      </c>
      <c r="I40" s="28">
        <v>46294</v>
      </c>
      <c r="J40" t="s">
        <v>288</v>
      </c>
      <c r="K40" t="s">
        <v>289</v>
      </c>
    </row>
    <row r="41" spans="1:11" hidden="1">
      <c r="A41" s="28">
        <v>46294</v>
      </c>
      <c r="B41" t="s">
        <v>185</v>
      </c>
      <c r="C41" t="s">
        <v>202</v>
      </c>
      <c r="D41" t="s">
        <v>217</v>
      </c>
      <c r="E41">
        <f>IF(LEFT(D41,6)="CLIENT",IFERROR(VLOOKUP(C41,Config_Carteiras!$A:$B,2,FALSE),1),"")</f>
        <v>1</v>
      </c>
      <c r="F41" s="25">
        <v>1082</v>
      </c>
      <c r="G41" s="28">
        <f>IF(LEFT(D41,6)="CLIENT",IF(E41=0,WORKDAY(A41-1,1,Dias_Sem_Compensacao!$A$2:$A$500),WORKDAY(A41,E41,Dias_Sem_Compensacao!$A$2:$A$500)),"")</f>
        <v>46295</v>
      </c>
      <c r="H41" s="25">
        <v>0</v>
      </c>
      <c r="I41" s="28">
        <v>46294</v>
      </c>
      <c r="J41" t="s">
        <v>290</v>
      </c>
      <c r="K41" t="s">
        <v>291</v>
      </c>
    </row>
    <row r="42" spans="1:11" hidden="1">
      <c r="A42" s="28">
        <v>46294</v>
      </c>
      <c r="B42" t="s">
        <v>185</v>
      </c>
      <c r="C42" t="s">
        <v>202</v>
      </c>
      <c r="D42" t="s">
        <v>217</v>
      </c>
      <c r="E42">
        <f>IF(LEFT(D42,6)="CLIENT",IFERROR(VLOOKUP(C42,Config_Carteiras!$A:$B,2,FALSE),1),"")</f>
        <v>1</v>
      </c>
      <c r="F42" s="25">
        <v>656</v>
      </c>
      <c r="G42" s="28">
        <f>IF(LEFT(D42,6)="CLIENT",IF(E42=0,WORKDAY(A42-1,1,Dias_Sem_Compensacao!$A$2:$A$500),WORKDAY(A42,E42,Dias_Sem_Compensacao!$A$2:$A$500)),"")</f>
        <v>46295</v>
      </c>
      <c r="H42" s="25">
        <v>0</v>
      </c>
      <c r="I42" s="28">
        <v>46294</v>
      </c>
      <c r="J42" t="s">
        <v>292</v>
      </c>
      <c r="K42" t="s">
        <v>293</v>
      </c>
    </row>
    <row r="43" spans="1:11" hidden="1">
      <c r="A43" s="28">
        <v>46294</v>
      </c>
      <c r="B43" t="s">
        <v>185</v>
      </c>
      <c r="C43" t="s">
        <v>202</v>
      </c>
      <c r="D43" t="s">
        <v>217</v>
      </c>
      <c r="E43">
        <f>IF(LEFT(D43,6)="CLIENT",IFERROR(VLOOKUP(C43,Config_Carteiras!$A:$B,2,FALSE),1),"")</f>
        <v>1</v>
      </c>
      <c r="F43" s="25">
        <v>914.7</v>
      </c>
      <c r="G43" s="28">
        <f>IF(LEFT(D43,6)="CLIENT",IF(E43=0,WORKDAY(A43-1,1,Dias_Sem_Compensacao!$A$2:$A$500),WORKDAY(A43,E43,Dias_Sem_Compensacao!$A$2:$A$500)),"")</f>
        <v>46295</v>
      </c>
      <c r="H43" s="25">
        <v>0</v>
      </c>
      <c r="I43" s="28">
        <v>46294</v>
      </c>
      <c r="J43" t="s">
        <v>294</v>
      </c>
      <c r="K43" t="s">
        <v>295</v>
      </c>
    </row>
    <row r="44" spans="1:11" hidden="1">
      <c r="A44" s="28">
        <v>46294</v>
      </c>
      <c r="B44" t="s">
        <v>185</v>
      </c>
      <c r="C44" t="s">
        <v>202</v>
      </c>
      <c r="D44" t="s">
        <v>217</v>
      </c>
      <c r="E44">
        <f>IF(LEFT(D44,6)="CLIENT",IFERROR(VLOOKUP(C44,Config_Carteiras!$A:$B,2,FALSE),1),"")</f>
        <v>1</v>
      </c>
      <c r="F44" s="25">
        <v>484.2</v>
      </c>
      <c r="G44" s="28">
        <f>IF(LEFT(D44,6)="CLIENT",IF(E44=0,WORKDAY(A44-1,1,Dias_Sem_Compensacao!$A$2:$A$500),WORKDAY(A44,E44,Dias_Sem_Compensacao!$A$2:$A$500)),"")</f>
        <v>46295</v>
      </c>
      <c r="H44" s="25">
        <v>0</v>
      </c>
      <c r="I44" s="28">
        <v>46294</v>
      </c>
      <c r="J44" t="s">
        <v>296</v>
      </c>
      <c r="K44" t="s">
        <v>297</v>
      </c>
    </row>
    <row r="45" spans="1:11" hidden="1">
      <c r="A45" s="28">
        <v>46294</v>
      </c>
      <c r="B45" t="s">
        <v>185</v>
      </c>
      <c r="C45" t="s">
        <v>202</v>
      </c>
      <c r="D45" t="s">
        <v>217</v>
      </c>
      <c r="E45">
        <f>IF(LEFT(D45,6)="CLIENT",IFERROR(VLOOKUP(C45,Config_Carteiras!$A:$B,2,FALSE),1),"")</f>
        <v>1</v>
      </c>
      <c r="F45" s="25">
        <v>578</v>
      </c>
      <c r="G45" s="28">
        <f>IF(LEFT(D45,6)="CLIENT",IF(E45=0,WORKDAY(A45-1,1,Dias_Sem_Compensacao!$A$2:$A$500),WORKDAY(A45,E45,Dias_Sem_Compensacao!$A$2:$A$500)),"")</f>
        <v>46295</v>
      </c>
      <c r="H45" s="25">
        <v>0</v>
      </c>
      <c r="I45" s="28">
        <v>46294</v>
      </c>
      <c r="J45" t="s">
        <v>298</v>
      </c>
      <c r="K45" t="s">
        <v>299</v>
      </c>
    </row>
    <row r="46" spans="1:11" hidden="1">
      <c r="A46" s="28">
        <v>46294</v>
      </c>
      <c r="B46" t="s">
        <v>185</v>
      </c>
      <c r="C46" t="s">
        <v>202</v>
      </c>
      <c r="D46" t="s">
        <v>217</v>
      </c>
      <c r="E46">
        <f>IF(LEFT(D46,6)="CLIENT",IFERROR(VLOOKUP(C46,Config_Carteiras!$A:$B,2,FALSE),1),"")</f>
        <v>1</v>
      </c>
      <c r="F46" s="25">
        <v>442.29</v>
      </c>
      <c r="G46" s="28">
        <f>IF(LEFT(D46,6)="CLIENT",IF(E46=0,WORKDAY(A46-1,1,Dias_Sem_Compensacao!$A$2:$A$500),WORKDAY(A46,E46,Dias_Sem_Compensacao!$A$2:$A$500)),"")</f>
        <v>46295</v>
      </c>
      <c r="H46" s="25">
        <v>0</v>
      </c>
      <c r="I46" s="28">
        <v>46294</v>
      </c>
      <c r="J46" t="s">
        <v>220</v>
      </c>
      <c r="K46" t="s">
        <v>221</v>
      </c>
    </row>
    <row r="47" spans="1:11" hidden="1">
      <c r="A47" s="28">
        <v>46294</v>
      </c>
      <c r="B47" t="s">
        <v>185</v>
      </c>
      <c r="C47" t="s">
        <v>202</v>
      </c>
      <c r="D47" t="s">
        <v>217</v>
      </c>
      <c r="E47">
        <f>IF(LEFT(D47,6)="CLIENT",IFERROR(VLOOKUP(C47,Config_Carteiras!$A:$B,2,FALSE),1),"")</f>
        <v>1</v>
      </c>
      <c r="F47" s="25">
        <v>520.79999999999995</v>
      </c>
      <c r="G47" s="28">
        <f>IF(LEFT(D47,6)="CLIENT",IF(E47=0,WORKDAY(A47-1,1,Dias_Sem_Compensacao!$A$2:$A$500),WORKDAY(A47,E47,Dias_Sem_Compensacao!$A$2:$A$500)),"")</f>
        <v>46295</v>
      </c>
      <c r="H47" s="25">
        <v>0</v>
      </c>
      <c r="I47" s="28">
        <v>46294</v>
      </c>
      <c r="J47" t="s">
        <v>300</v>
      </c>
      <c r="K47" t="s">
        <v>301</v>
      </c>
    </row>
    <row r="48" spans="1:11" hidden="1">
      <c r="A48" s="28">
        <v>46294</v>
      </c>
      <c r="B48" t="s">
        <v>185</v>
      </c>
      <c r="C48" t="s">
        <v>202</v>
      </c>
      <c r="D48" t="s">
        <v>217</v>
      </c>
      <c r="E48">
        <f>IF(LEFT(D48,6)="CLIENT",IFERROR(VLOOKUP(C48,Config_Carteiras!$A:$B,2,FALSE),1),"")</f>
        <v>1</v>
      </c>
      <c r="F48" s="25">
        <v>2533</v>
      </c>
      <c r="G48" s="28">
        <f>IF(LEFT(D48,6)="CLIENT",IF(E48=0,WORKDAY(A48-1,1,Dias_Sem_Compensacao!$A$2:$A$500),WORKDAY(A48,E48,Dias_Sem_Compensacao!$A$2:$A$500)),"")</f>
        <v>46295</v>
      </c>
      <c r="H48" s="25">
        <v>0</v>
      </c>
      <c r="I48" s="28">
        <v>46294</v>
      </c>
      <c r="J48" t="s">
        <v>302</v>
      </c>
      <c r="K48" t="s">
        <v>303</v>
      </c>
    </row>
    <row r="49" spans="1:11" hidden="1">
      <c r="A49" s="28">
        <v>46294</v>
      </c>
      <c r="B49" t="s">
        <v>185</v>
      </c>
      <c r="C49" t="s">
        <v>202</v>
      </c>
      <c r="D49" t="s">
        <v>217</v>
      </c>
      <c r="E49">
        <f>IF(LEFT(D49,6)="CLIENT",IFERROR(VLOOKUP(C49,Config_Carteiras!$A:$B,2,FALSE),1),"")</f>
        <v>1</v>
      </c>
      <c r="F49" s="25">
        <v>358</v>
      </c>
      <c r="G49" s="28">
        <f>IF(LEFT(D49,6)="CLIENT",IF(E49=0,WORKDAY(A49-1,1,Dias_Sem_Compensacao!$A$2:$A$500),WORKDAY(A49,E49,Dias_Sem_Compensacao!$A$2:$A$500)),"")</f>
        <v>46295</v>
      </c>
      <c r="H49" s="25">
        <v>0</v>
      </c>
      <c r="I49" s="28">
        <v>46294</v>
      </c>
      <c r="J49" t="s">
        <v>304</v>
      </c>
      <c r="K49" t="s">
        <v>305</v>
      </c>
    </row>
    <row r="50" spans="1:11" hidden="1">
      <c r="A50" s="28">
        <v>46294</v>
      </c>
      <c r="B50" t="s">
        <v>185</v>
      </c>
      <c r="C50" t="s">
        <v>202</v>
      </c>
      <c r="D50" t="s">
        <v>217</v>
      </c>
      <c r="E50">
        <f>IF(LEFT(D50,6)="CLIENT",IFERROR(VLOOKUP(C50,Config_Carteiras!$A:$B,2,FALSE),1),"")</f>
        <v>1</v>
      </c>
      <c r="F50" s="25">
        <v>787</v>
      </c>
      <c r="G50" s="28">
        <f>IF(LEFT(D50,6)="CLIENT",IF(E50=0,WORKDAY(A50-1,1,Dias_Sem_Compensacao!$A$2:$A$500),WORKDAY(A50,E50,Dias_Sem_Compensacao!$A$2:$A$500)),"")</f>
        <v>46295</v>
      </c>
      <c r="H50" s="25">
        <v>0</v>
      </c>
      <c r="I50" s="28">
        <v>46294</v>
      </c>
      <c r="J50" t="s">
        <v>306</v>
      </c>
      <c r="K50" t="s">
        <v>307</v>
      </c>
    </row>
    <row r="51" spans="1:11" hidden="1">
      <c r="A51" s="28">
        <v>46294</v>
      </c>
      <c r="B51" t="s">
        <v>185</v>
      </c>
      <c r="C51" t="s">
        <v>202</v>
      </c>
      <c r="D51" t="s">
        <v>217</v>
      </c>
      <c r="E51">
        <f>IF(LEFT(D51,6)="CLIENT",IFERROR(VLOOKUP(C51,Config_Carteiras!$A:$B,2,FALSE),1),"")</f>
        <v>1</v>
      </c>
      <c r="F51" s="25">
        <v>328.2</v>
      </c>
      <c r="G51" s="28">
        <f>IF(LEFT(D51,6)="CLIENT",IF(E51=0,WORKDAY(A51-1,1,Dias_Sem_Compensacao!$A$2:$A$500),WORKDAY(A51,E51,Dias_Sem_Compensacao!$A$2:$A$500)),"")</f>
        <v>46295</v>
      </c>
      <c r="H51" s="25">
        <v>0</v>
      </c>
      <c r="I51" s="28">
        <v>46294</v>
      </c>
      <c r="J51" t="s">
        <v>308</v>
      </c>
      <c r="K51" t="s">
        <v>309</v>
      </c>
    </row>
    <row r="52" spans="1:11" hidden="1">
      <c r="A52" s="28">
        <v>46294</v>
      </c>
      <c r="B52" t="s">
        <v>185</v>
      </c>
      <c r="C52" t="s">
        <v>202</v>
      </c>
      <c r="D52" t="s">
        <v>217</v>
      </c>
      <c r="E52">
        <f>IF(LEFT(D52,6)="CLIENT",IFERROR(VLOOKUP(C52,Config_Carteiras!$A:$B,2,FALSE),1),"")</f>
        <v>1</v>
      </c>
      <c r="F52" s="25">
        <v>7161.5</v>
      </c>
      <c r="G52" s="28">
        <f>IF(LEFT(D52,6)="CLIENT",IF(E52=0,WORKDAY(A52-1,1,Dias_Sem_Compensacao!$A$2:$A$500),WORKDAY(A52,E52,Dias_Sem_Compensacao!$A$2:$A$500)),"")</f>
        <v>46295</v>
      </c>
      <c r="H52" s="25">
        <v>0</v>
      </c>
      <c r="I52" s="28">
        <v>46294</v>
      </c>
      <c r="J52" t="s">
        <v>310</v>
      </c>
      <c r="K52" t="s">
        <v>311</v>
      </c>
    </row>
    <row r="53" spans="1:11" hidden="1">
      <c r="A53" s="28">
        <v>46294</v>
      </c>
      <c r="B53" t="s">
        <v>185</v>
      </c>
      <c r="C53" t="s">
        <v>202</v>
      </c>
      <c r="D53" t="s">
        <v>217</v>
      </c>
      <c r="E53">
        <f>IF(LEFT(D53,6)="CLIENT",IFERROR(VLOOKUP(C53,Config_Carteiras!$A:$B,2,FALSE),1),"")</f>
        <v>1</v>
      </c>
      <c r="F53" s="25">
        <v>377</v>
      </c>
      <c r="G53" s="28">
        <f>IF(LEFT(D53,6)="CLIENT",IF(E53=0,WORKDAY(A53-1,1,Dias_Sem_Compensacao!$A$2:$A$500),WORKDAY(A53,E53,Dias_Sem_Compensacao!$A$2:$A$500)),"")</f>
        <v>46295</v>
      </c>
      <c r="H53" s="25">
        <v>0</v>
      </c>
      <c r="I53" s="28">
        <v>46294</v>
      </c>
      <c r="J53" t="s">
        <v>312</v>
      </c>
      <c r="K53" t="s">
        <v>313</v>
      </c>
    </row>
    <row r="54" spans="1:11" hidden="1">
      <c r="A54" s="28">
        <v>46294</v>
      </c>
      <c r="B54" t="s">
        <v>185</v>
      </c>
      <c r="C54" t="s">
        <v>202</v>
      </c>
      <c r="D54" t="s">
        <v>217</v>
      </c>
      <c r="E54">
        <f>IF(LEFT(D54,6)="CLIENT",IFERROR(VLOOKUP(C54,Config_Carteiras!$A:$B,2,FALSE),1),"")</f>
        <v>1</v>
      </c>
      <c r="F54" s="25">
        <v>516.6</v>
      </c>
      <c r="G54" s="28">
        <f>IF(LEFT(D54,6)="CLIENT",IF(E54=0,WORKDAY(A54-1,1,Dias_Sem_Compensacao!$A$2:$A$500),WORKDAY(A54,E54,Dias_Sem_Compensacao!$A$2:$A$500)),"")</f>
        <v>46295</v>
      </c>
      <c r="H54" s="25">
        <v>0</v>
      </c>
      <c r="I54" s="28">
        <v>46294</v>
      </c>
      <c r="J54" t="s">
        <v>314</v>
      </c>
      <c r="K54" t="s">
        <v>315</v>
      </c>
    </row>
    <row r="55" spans="1:11" hidden="1">
      <c r="A55" s="28">
        <v>46294</v>
      </c>
      <c r="B55" t="s">
        <v>185</v>
      </c>
      <c r="C55" t="s">
        <v>202</v>
      </c>
      <c r="D55" t="s">
        <v>217</v>
      </c>
      <c r="E55">
        <f>IF(LEFT(D55,6)="CLIENT",IFERROR(VLOOKUP(C55,Config_Carteiras!$A:$B,2,FALSE),1),"")</f>
        <v>1</v>
      </c>
      <c r="F55" s="25">
        <v>1861</v>
      </c>
      <c r="G55" s="28">
        <f>IF(LEFT(D55,6)="CLIENT",IF(E55=0,WORKDAY(A55-1,1,Dias_Sem_Compensacao!$A$2:$A$500),WORKDAY(A55,E55,Dias_Sem_Compensacao!$A$2:$A$500)),"")</f>
        <v>46295</v>
      </c>
      <c r="H55" s="25">
        <v>0</v>
      </c>
      <c r="I55" s="28">
        <v>46294</v>
      </c>
      <c r="J55" t="s">
        <v>316</v>
      </c>
      <c r="K55" t="s">
        <v>317</v>
      </c>
    </row>
    <row r="56" spans="1:11" hidden="1">
      <c r="A56" s="28">
        <v>46294</v>
      </c>
      <c r="B56" t="s">
        <v>185</v>
      </c>
      <c r="C56" t="s">
        <v>202</v>
      </c>
      <c r="D56" t="s">
        <v>217</v>
      </c>
      <c r="E56">
        <f>IF(LEFT(D56,6)="CLIENT",IFERROR(VLOOKUP(C56,Config_Carteiras!$A:$B,2,FALSE),1),"")</f>
        <v>1</v>
      </c>
      <c r="F56" s="25">
        <v>381.2</v>
      </c>
      <c r="G56" s="28">
        <f>IF(LEFT(D56,6)="CLIENT",IF(E56=0,WORKDAY(A56-1,1,Dias_Sem_Compensacao!$A$2:$A$500),WORKDAY(A56,E56,Dias_Sem_Compensacao!$A$2:$A$500)),"")</f>
        <v>46295</v>
      </c>
      <c r="H56" s="25">
        <v>0</v>
      </c>
      <c r="I56" s="28">
        <v>46294</v>
      </c>
      <c r="J56" t="s">
        <v>318</v>
      </c>
      <c r="K56" t="s">
        <v>319</v>
      </c>
    </row>
    <row r="57" spans="1:11" hidden="1">
      <c r="A57" s="28">
        <v>46294</v>
      </c>
      <c r="B57" t="s">
        <v>185</v>
      </c>
      <c r="C57" t="s">
        <v>202</v>
      </c>
      <c r="D57" t="s">
        <v>217</v>
      </c>
      <c r="E57">
        <f>IF(LEFT(D57,6)="CLIENT",IFERROR(VLOOKUP(C57,Config_Carteiras!$A:$B,2,FALSE),1),"")</f>
        <v>1</v>
      </c>
      <c r="F57" s="25">
        <v>391</v>
      </c>
      <c r="G57" s="28">
        <f>IF(LEFT(D57,6)="CLIENT",IF(E57=0,WORKDAY(A57-1,1,Dias_Sem_Compensacao!$A$2:$A$500),WORKDAY(A57,E57,Dias_Sem_Compensacao!$A$2:$A$500)),"")</f>
        <v>46295</v>
      </c>
      <c r="H57" s="25">
        <v>0</v>
      </c>
      <c r="I57" s="28">
        <v>46294</v>
      </c>
      <c r="J57" t="s">
        <v>320</v>
      </c>
      <c r="K57" t="s">
        <v>321</v>
      </c>
    </row>
    <row r="58" spans="1:11" hidden="1">
      <c r="A58" s="28">
        <v>46294</v>
      </c>
      <c r="B58" t="s">
        <v>185</v>
      </c>
      <c r="C58" t="s">
        <v>202</v>
      </c>
      <c r="D58" t="s">
        <v>217</v>
      </c>
      <c r="E58">
        <f>IF(LEFT(D58,6)="CLIENT",IFERROR(VLOOKUP(C58,Config_Carteiras!$A:$B,2,FALSE),1),"")</f>
        <v>1</v>
      </c>
      <c r="F58" s="25">
        <v>367.5</v>
      </c>
      <c r="G58" s="28">
        <f>IF(LEFT(D58,6)="CLIENT",IF(E58=0,WORKDAY(A58-1,1,Dias_Sem_Compensacao!$A$2:$A$500),WORKDAY(A58,E58,Dias_Sem_Compensacao!$A$2:$A$500)),"")</f>
        <v>46295</v>
      </c>
      <c r="H58" s="25">
        <v>0</v>
      </c>
      <c r="I58" s="28">
        <v>46294</v>
      </c>
      <c r="J58" t="s">
        <v>322</v>
      </c>
      <c r="K58" t="s">
        <v>323</v>
      </c>
    </row>
    <row r="59" spans="1:11" hidden="1">
      <c r="A59" s="28">
        <v>46294</v>
      </c>
      <c r="B59" t="s">
        <v>185</v>
      </c>
      <c r="C59" t="s">
        <v>202</v>
      </c>
      <c r="D59" t="s">
        <v>217</v>
      </c>
      <c r="E59">
        <f>IF(LEFT(D59,6)="CLIENT",IFERROR(VLOOKUP(C59,Config_Carteiras!$A:$B,2,FALSE),1),"")</f>
        <v>1</v>
      </c>
      <c r="F59" s="25">
        <v>403.05</v>
      </c>
      <c r="G59" s="28">
        <f>IF(LEFT(D59,6)="CLIENT",IF(E59=0,WORKDAY(A59-1,1,Dias_Sem_Compensacao!$A$2:$A$500),WORKDAY(A59,E59,Dias_Sem_Compensacao!$A$2:$A$500)),"")</f>
        <v>46295</v>
      </c>
      <c r="H59" s="25">
        <v>0</v>
      </c>
      <c r="I59" s="28">
        <v>46294</v>
      </c>
      <c r="J59" t="s">
        <v>324</v>
      </c>
      <c r="K59" t="s">
        <v>325</v>
      </c>
    </row>
    <row r="60" spans="1:11" hidden="1">
      <c r="A60" s="28">
        <v>46294</v>
      </c>
      <c r="B60" t="s">
        <v>185</v>
      </c>
      <c r="C60" t="s">
        <v>202</v>
      </c>
      <c r="D60" t="s">
        <v>217</v>
      </c>
      <c r="E60">
        <f>IF(LEFT(D60,6)="CLIENT",IFERROR(VLOOKUP(C60,Config_Carteiras!$A:$B,2,FALSE),1),"")</f>
        <v>1</v>
      </c>
      <c r="F60" s="25">
        <v>615</v>
      </c>
      <c r="G60" s="28">
        <f>IF(LEFT(D60,6)="CLIENT",IF(E60=0,WORKDAY(A60-1,1,Dias_Sem_Compensacao!$A$2:$A$500),WORKDAY(A60,E60,Dias_Sem_Compensacao!$A$2:$A$500)),"")</f>
        <v>46295</v>
      </c>
      <c r="H60" s="25">
        <v>0</v>
      </c>
      <c r="I60" s="28">
        <v>46294</v>
      </c>
      <c r="J60" t="s">
        <v>326</v>
      </c>
      <c r="K60" t="s">
        <v>327</v>
      </c>
    </row>
    <row r="61" spans="1:11" hidden="1">
      <c r="A61" s="28">
        <v>46294</v>
      </c>
      <c r="B61" t="s">
        <v>185</v>
      </c>
      <c r="C61" t="s">
        <v>202</v>
      </c>
      <c r="D61" t="s">
        <v>217</v>
      </c>
      <c r="E61">
        <f>IF(LEFT(D61,6)="CLIENT",IFERROR(VLOOKUP(C61,Config_Carteiras!$A:$B,2,FALSE),1),"")</f>
        <v>1</v>
      </c>
      <c r="F61" s="25">
        <v>372.2</v>
      </c>
      <c r="G61" s="28">
        <f>IF(LEFT(D61,6)="CLIENT",IF(E61=0,WORKDAY(A61-1,1,Dias_Sem_Compensacao!$A$2:$A$500),WORKDAY(A61,E61,Dias_Sem_Compensacao!$A$2:$A$500)),"")</f>
        <v>46295</v>
      </c>
      <c r="H61" s="25">
        <v>0</v>
      </c>
      <c r="I61" s="28">
        <v>46294</v>
      </c>
      <c r="J61" t="s">
        <v>328</v>
      </c>
      <c r="K61" t="s">
        <v>329</v>
      </c>
    </row>
    <row r="62" spans="1:11" hidden="1">
      <c r="A62" s="28">
        <v>46294</v>
      </c>
      <c r="B62" t="s">
        <v>185</v>
      </c>
      <c r="C62" t="s">
        <v>202</v>
      </c>
      <c r="D62" t="s">
        <v>217</v>
      </c>
      <c r="E62">
        <f>IF(LEFT(D62,6)="CLIENT",IFERROR(VLOOKUP(C62,Config_Carteiras!$A:$B,2,FALSE),1),"")</f>
        <v>1</v>
      </c>
      <c r="F62" s="25">
        <v>675</v>
      </c>
      <c r="G62" s="28">
        <f>IF(LEFT(D62,6)="CLIENT",IF(E62=0,WORKDAY(A62-1,1,Dias_Sem_Compensacao!$A$2:$A$500),WORKDAY(A62,E62,Dias_Sem_Compensacao!$A$2:$A$500)),"")</f>
        <v>46295</v>
      </c>
      <c r="H62" s="25">
        <v>0</v>
      </c>
      <c r="I62" s="28">
        <v>46294</v>
      </c>
      <c r="J62" t="s">
        <v>330</v>
      </c>
      <c r="K62" t="s">
        <v>331</v>
      </c>
    </row>
    <row r="63" spans="1:11" hidden="1">
      <c r="A63" s="28">
        <v>46294</v>
      </c>
      <c r="B63" t="s">
        <v>185</v>
      </c>
      <c r="C63" t="s">
        <v>202</v>
      </c>
      <c r="D63" t="s">
        <v>217</v>
      </c>
      <c r="E63">
        <f>IF(LEFT(D63,6)="CLIENT",IFERROR(VLOOKUP(C63,Config_Carteiras!$A:$B,2,FALSE),1),"")</f>
        <v>1</v>
      </c>
      <c r="F63" s="25">
        <v>134.9</v>
      </c>
      <c r="G63" s="28">
        <f>IF(LEFT(D63,6)="CLIENT",IF(E63=0,WORKDAY(A63-1,1,Dias_Sem_Compensacao!$A$2:$A$500),WORKDAY(A63,E63,Dias_Sem_Compensacao!$A$2:$A$500)),"")</f>
        <v>46295</v>
      </c>
      <c r="H63" s="25">
        <v>0</v>
      </c>
      <c r="I63" s="28">
        <v>46294</v>
      </c>
      <c r="J63" t="s">
        <v>332</v>
      </c>
      <c r="K63" t="s">
        <v>333</v>
      </c>
    </row>
    <row r="64" spans="1:11" hidden="1">
      <c r="A64" s="28">
        <v>46294</v>
      </c>
      <c r="B64" t="s">
        <v>185</v>
      </c>
      <c r="C64" t="s">
        <v>202</v>
      </c>
      <c r="D64" t="s">
        <v>217</v>
      </c>
      <c r="E64">
        <f>IF(LEFT(D64,6)="CLIENT",IFERROR(VLOOKUP(C64,Config_Carteiras!$A:$B,2,FALSE),1),"")</f>
        <v>1</v>
      </c>
      <c r="F64" s="25">
        <v>492.3</v>
      </c>
      <c r="G64" s="28">
        <f>IF(LEFT(D64,6)="CLIENT",IF(E64=0,WORKDAY(A64-1,1,Dias_Sem_Compensacao!$A$2:$A$500),WORKDAY(A64,E64,Dias_Sem_Compensacao!$A$2:$A$500)),"")</f>
        <v>46295</v>
      </c>
      <c r="H64" s="25">
        <v>0</v>
      </c>
      <c r="I64" s="28">
        <v>46294</v>
      </c>
      <c r="J64" t="s">
        <v>334</v>
      </c>
      <c r="K64" t="s">
        <v>335</v>
      </c>
    </row>
    <row r="65" spans="1:11" hidden="1">
      <c r="A65" s="28">
        <v>46294</v>
      </c>
      <c r="B65" t="s">
        <v>185</v>
      </c>
      <c r="C65" t="s">
        <v>202</v>
      </c>
      <c r="D65" t="s">
        <v>217</v>
      </c>
      <c r="E65">
        <f>IF(LEFT(D65,6)="CLIENT",IFERROR(VLOOKUP(C65,Config_Carteiras!$A:$B,2,FALSE),1),"")</f>
        <v>1</v>
      </c>
      <c r="F65" s="25">
        <v>870</v>
      </c>
      <c r="G65" s="28">
        <f>IF(LEFT(D65,6)="CLIENT",IF(E65=0,WORKDAY(A65-1,1,Dias_Sem_Compensacao!$A$2:$A$500),WORKDAY(A65,E65,Dias_Sem_Compensacao!$A$2:$A$500)),"")</f>
        <v>46295</v>
      </c>
      <c r="H65" s="25">
        <v>0</v>
      </c>
      <c r="I65" s="28">
        <v>46294</v>
      </c>
      <c r="J65" t="s">
        <v>336</v>
      </c>
      <c r="K65" t="s">
        <v>337</v>
      </c>
    </row>
    <row r="66" spans="1:11" hidden="1">
      <c r="A66" s="28">
        <v>46294</v>
      </c>
      <c r="B66" t="s">
        <v>185</v>
      </c>
      <c r="C66" t="s">
        <v>202</v>
      </c>
      <c r="D66" t="s">
        <v>217</v>
      </c>
      <c r="E66">
        <f>IF(LEFT(D66,6)="CLIENT",IFERROR(VLOOKUP(C66,Config_Carteiras!$A:$B,2,FALSE),1),"")</f>
        <v>1</v>
      </c>
      <c r="F66" s="25">
        <v>651</v>
      </c>
      <c r="G66" s="28">
        <f>IF(LEFT(D66,6)="CLIENT",IF(E66=0,WORKDAY(A66-1,1,Dias_Sem_Compensacao!$A$2:$A$500),WORKDAY(A66,E66,Dias_Sem_Compensacao!$A$2:$A$500)),"")</f>
        <v>46295</v>
      </c>
      <c r="H66" s="25">
        <v>0</v>
      </c>
      <c r="I66" s="28">
        <v>46294</v>
      </c>
      <c r="J66" t="s">
        <v>338</v>
      </c>
      <c r="K66" t="s">
        <v>339</v>
      </c>
    </row>
    <row r="67" spans="1:11" hidden="1">
      <c r="A67" s="28">
        <v>46294</v>
      </c>
      <c r="B67" t="s">
        <v>185</v>
      </c>
      <c r="C67" t="s">
        <v>202</v>
      </c>
      <c r="D67" t="s">
        <v>217</v>
      </c>
      <c r="E67">
        <f>IF(LEFT(D67,6)="CLIENT",IFERROR(VLOOKUP(C67,Config_Carteiras!$A:$B,2,FALSE),1),"")</f>
        <v>1</v>
      </c>
      <c r="F67" s="25">
        <v>299.2</v>
      </c>
      <c r="G67" s="28">
        <f>IF(LEFT(D67,6)="CLIENT",IF(E67=0,WORKDAY(A67-1,1,Dias_Sem_Compensacao!$A$2:$A$500),WORKDAY(A67,E67,Dias_Sem_Compensacao!$A$2:$A$500)),"")</f>
        <v>46295</v>
      </c>
      <c r="H67" s="25">
        <v>0</v>
      </c>
      <c r="I67" s="28">
        <v>46294</v>
      </c>
      <c r="J67" t="s">
        <v>340</v>
      </c>
      <c r="K67" t="s">
        <v>341</v>
      </c>
    </row>
    <row r="68" spans="1:11" hidden="1">
      <c r="A68" s="28">
        <v>46294</v>
      </c>
      <c r="B68" t="s">
        <v>185</v>
      </c>
      <c r="C68" t="s">
        <v>202</v>
      </c>
      <c r="D68" t="s">
        <v>217</v>
      </c>
      <c r="E68">
        <f>IF(LEFT(D68,6)="CLIENT",IFERROR(VLOOKUP(C68,Config_Carteiras!$A:$B,2,FALSE),1),"")</f>
        <v>1</v>
      </c>
      <c r="F68" s="25">
        <v>1512</v>
      </c>
      <c r="G68" s="28">
        <f>IF(LEFT(D68,6)="CLIENT",IF(E68=0,WORKDAY(A68-1,1,Dias_Sem_Compensacao!$A$2:$A$500),WORKDAY(A68,E68,Dias_Sem_Compensacao!$A$2:$A$500)),"")</f>
        <v>46295</v>
      </c>
      <c r="H68" s="25">
        <v>0</v>
      </c>
      <c r="I68" s="28">
        <v>46294</v>
      </c>
      <c r="J68" t="s">
        <v>342</v>
      </c>
      <c r="K68" t="s">
        <v>343</v>
      </c>
    </row>
    <row r="69" spans="1:11" hidden="1">
      <c r="A69" s="28">
        <v>46294</v>
      </c>
      <c r="B69" t="s">
        <v>185</v>
      </c>
      <c r="C69" t="s">
        <v>202</v>
      </c>
      <c r="D69" t="s">
        <v>217</v>
      </c>
      <c r="E69">
        <f>IF(LEFT(D69,6)="CLIENT",IFERROR(VLOOKUP(C69,Config_Carteiras!$A:$B,2,FALSE),1),"")</f>
        <v>1</v>
      </c>
      <c r="F69" s="25">
        <v>377.1</v>
      </c>
      <c r="G69" s="28">
        <f>IF(LEFT(D69,6)="CLIENT",IF(E69=0,WORKDAY(A69-1,1,Dias_Sem_Compensacao!$A$2:$A$500),WORKDAY(A69,E69,Dias_Sem_Compensacao!$A$2:$A$500)),"")</f>
        <v>46295</v>
      </c>
      <c r="H69" s="25">
        <v>0</v>
      </c>
      <c r="I69" s="28">
        <v>46294</v>
      </c>
      <c r="J69" t="s">
        <v>344</v>
      </c>
      <c r="K69" t="s">
        <v>345</v>
      </c>
    </row>
    <row r="70" spans="1:11" hidden="1">
      <c r="A70" s="28">
        <v>46294</v>
      </c>
      <c r="B70" t="s">
        <v>185</v>
      </c>
      <c r="C70" t="s">
        <v>202</v>
      </c>
      <c r="D70" t="s">
        <v>217</v>
      </c>
      <c r="E70">
        <f>IF(LEFT(D70,6)="CLIENT",IFERROR(VLOOKUP(C70,Config_Carteiras!$A:$B,2,FALSE),1),"")</f>
        <v>1</v>
      </c>
      <c r="F70" s="25">
        <v>455</v>
      </c>
      <c r="G70" s="28">
        <f>IF(LEFT(D70,6)="CLIENT",IF(E70=0,WORKDAY(A70-1,1,Dias_Sem_Compensacao!$A$2:$A$500),WORKDAY(A70,E70,Dias_Sem_Compensacao!$A$2:$A$500)),"")</f>
        <v>46295</v>
      </c>
      <c r="H70" s="25">
        <v>0</v>
      </c>
      <c r="I70" s="28">
        <v>46294</v>
      </c>
      <c r="J70" t="s">
        <v>346</v>
      </c>
      <c r="K70" t="s">
        <v>347</v>
      </c>
    </row>
    <row r="71" spans="1:11" hidden="1">
      <c r="A71" s="28">
        <v>46294</v>
      </c>
      <c r="B71" t="s">
        <v>185</v>
      </c>
      <c r="C71" t="s">
        <v>202</v>
      </c>
      <c r="D71" t="s">
        <v>217</v>
      </c>
      <c r="E71">
        <f>IF(LEFT(D71,6)="CLIENT",IFERROR(VLOOKUP(C71,Config_Carteiras!$A:$B,2,FALSE),1),"")</f>
        <v>1</v>
      </c>
      <c r="F71" s="25">
        <v>214.5</v>
      </c>
      <c r="G71" s="28">
        <f>IF(LEFT(D71,6)="CLIENT",IF(E71=0,WORKDAY(A71-1,1,Dias_Sem_Compensacao!$A$2:$A$500),WORKDAY(A71,E71,Dias_Sem_Compensacao!$A$2:$A$500)),"")</f>
        <v>46295</v>
      </c>
      <c r="H71" s="25">
        <v>0</v>
      </c>
      <c r="I71" s="28">
        <v>46294</v>
      </c>
      <c r="J71" t="s">
        <v>348</v>
      </c>
      <c r="K71" t="s">
        <v>349</v>
      </c>
    </row>
    <row r="72" spans="1:11" hidden="1">
      <c r="A72" s="28">
        <v>46294</v>
      </c>
      <c r="B72" t="s">
        <v>185</v>
      </c>
      <c r="C72" t="s">
        <v>202</v>
      </c>
      <c r="D72" t="s">
        <v>217</v>
      </c>
      <c r="E72">
        <f>IF(LEFT(D72,6)="CLIENT",IFERROR(VLOOKUP(C72,Config_Carteiras!$A:$B,2,FALSE),1),"")</f>
        <v>1</v>
      </c>
      <c r="F72" s="25">
        <v>1799</v>
      </c>
      <c r="G72" s="28">
        <f>IF(LEFT(D72,6)="CLIENT",IF(E72=0,WORKDAY(A72-1,1,Dias_Sem_Compensacao!$A$2:$A$500),WORKDAY(A72,E72,Dias_Sem_Compensacao!$A$2:$A$500)),"")</f>
        <v>46295</v>
      </c>
      <c r="H72" s="25">
        <v>0</v>
      </c>
      <c r="I72" s="28">
        <v>46294</v>
      </c>
      <c r="J72" t="s">
        <v>350</v>
      </c>
      <c r="K72" t="s">
        <v>351</v>
      </c>
    </row>
    <row r="73" spans="1:11" hidden="1">
      <c r="A73" s="28">
        <v>46294</v>
      </c>
      <c r="B73" t="s">
        <v>185</v>
      </c>
      <c r="C73" t="s">
        <v>202</v>
      </c>
      <c r="D73" t="s">
        <v>217</v>
      </c>
      <c r="E73">
        <f>IF(LEFT(D73,6)="CLIENT",IFERROR(VLOOKUP(C73,Config_Carteiras!$A:$B,2,FALSE),1),"")</f>
        <v>1</v>
      </c>
      <c r="F73" s="25">
        <v>1230</v>
      </c>
      <c r="G73" s="28">
        <f>IF(LEFT(D73,6)="CLIENT",IF(E73=0,WORKDAY(A73-1,1,Dias_Sem_Compensacao!$A$2:$A$500),WORKDAY(A73,E73,Dias_Sem_Compensacao!$A$2:$A$500)),"")</f>
        <v>46295</v>
      </c>
      <c r="H73" s="25">
        <v>0</v>
      </c>
      <c r="I73" s="28">
        <v>46294</v>
      </c>
      <c r="J73" t="s">
        <v>352</v>
      </c>
      <c r="K73" t="s">
        <v>353</v>
      </c>
    </row>
    <row r="74" spans="1:11" hidden="1">
      <c r="A74" s="28">
        <v>46294</v>
      </c>
      <c r="B74" t="s">
        <v>185</v>
      </c>
      <c r="C74" t="s">
        <v>202</v>
      </c>
      <c r="D74" t="s">
        <v>217</v>
      </c>
      <c r="E74">
        <f>IF(LEFT(D74,6)="CLIENT",IFERROR(VLOOKUP(C74,Config_Carteiras!$A:$B,2,FALSE),1),"")</f>
        <v>1</v>
      </c>
      <c r="F74" s="25">
        <v>360</v>
      </c>
      <c r="G74" s="28">
        <f>IF(LEFT(D74,6)="CLIENT",IF(E74=0,WORKDAY(A74-1,1,Dias_Sem_Compensacao!$A$2:$A$500),WORKDAY(A74,E74,Dias_Sem_Compensacao!$A$2:$A$500)),"")</f>
        <v>46295</v>
      </c>
      <c r="H74" s="25">
        <v>0</v>
      </c>
      <c r="I74" s="28">
        <v>46294</v>
      </c>
      <c r="J74" t="s">
        <v>354</v>
      </c>
      <c r="K74" t="s">
        <v>355</v>
      </c>
    </row>
    <row r="75" spans="1:11" hidden="1">
      <c r="A75" s="28">
        <v>46294</v>
      </c>
      <c r="B75" t="s">
        <v>185</v>
      </c>
      <c r="C75" t="s">
        <v>202</v>
      </c>
      <c r="D75" t="s">
        <v>217</v>
      </c>
      <c r="E75">
        <f>IF(LEFT(D75,6)="CLIENT",IFERROR(VLOOKUP(C75,Config_Carteiras!$A:$B,2,FALSE),1),"")</f>
        <v>1</v>
      </c>
      <c r="F75" s="25">
        <v>1264</v>
      </c>
      <c r="G75" s="28">
        <f>IF(LEFT(D75,6)="CLIENT",IF(E75=0,WORKDAY(A75-1,1,Dias_Sem_Compensacao!$A$2:$A$500),WORKDAY(A75,E75,Dias_Sem_Compensacao!$A$2:$A$500)),"")</f>
        <v>46295</v>
      </c>
      <c r="H75" s="25">
        <v>0</v>
      </c>
      <c r="I75" s="28">
        <v>46294</v>
      </c>
      <c r="J75" t="s">
        <v>356</v>
      </c>
      <c r="K75" t="s">
        <v>357</v>
      </c>
    </row>
    <row r="76" spans="1:11" hidden="1">
      <c r="A76" s="28">
        <v>46294</v>
      </c>
      <c r="B76" t="s">
        <v>185</v>
      </c>
      <c r="C76" t="s">
        <v>202</v>
      </c>
      <c r="D76" t="s">
        <v>217</v>
      </c>
      <c r="E76">
        <f>IF(LEFT(D76,6)="CLIENT",IFERROR(VLOOKUP(C76,Config_Carteiras!$A:$B,2,FALSE),1),"")</f>
        <v>1</v>
      </c>
      <c r="F76" s="25">
        <v>943</v>
      </c>
      <c r="G76" s="28">
        <f>IF(LEFT(D76,6)="CLIENT",IF(E76=0,WORKDAY(A76-1,1,Dias_Sem_Compensacao!$A$2:$A$500),WORKDAY(A76,E76,Dias_Sem_Compensacao!$A$2:$A$500)),"")</f>
        <v>46295</v>
      </c>
      <c r="H76" s="25">
        <v>0</v>
      </c>
      <c r="I76" s="28">
        <v>46294</v>
      </c>
      <c r="J76" t="s">
        <v>358</v>
      </c>
      <c r="K76" t="s">
        <v>359</v>
      </c>
    </row>
    <row r="77" spans="1:11" hidden="1">
      <c r="A77" s="28">
        <v>46294</v>
      </c>
      <c r="B77" t="s">
        <v>185</v>
      </c>
      <c r="C77" t="s">
        <v>202</v>
      </c>
      <c r="D77" t="s">
        <v>217</v>
      </c>
      <c r="E77">
        <f>IF(LEFT(D77,6)="CLIENT",IFERROR(VLOOKUP(C77,Config_Carteiras!$A:$B,2,FALSE),1),"")</f>
        <v>1</v>
      </c>
      <c r="F77" s="25">
        <v>656</v>
      </c>
      <c r="G77" s="28">
        <f>IF(LEFT(D77,6)="CLIENT",IF(E77=0,WORKDAY(A77-1,1,Dias_Sem_Compensacao!$A$2:$A$500),WORKDAY(A77,E77,Dias_Sem_Compensacao!$A$2:$A$500)),"")</f>
        <v>46295</v>
      </c>
      <c r="H77" s="25">
        <v>0</v>
      </c>
      <c r="I77" s="28">
        <v>46294</v>
      </c>
      <c r="J77" t="s">
        <v>360</v>
      </c>
      <c r="K77" t="s">
        <v>361</v>
      </c>
    </row>
    <row r="78" spans="1:11" hidden="1">
      <c r="A78" s="28">
        <v>46294</v>
      </c>
      <c r="B78" t="s">
        <v>185</v>
      </c>
      <c r="C78" t="s">
        <v>202</v>
      </c>
      <c r="D78" t="s">
        <v>217</v>
      </c>
      <c r="E78">
        <f>IF(LEFT(D78,6)="CLIENT",IFERROR(VLOOKUP(C78,Config_Carteiras!$A:$B,2,FALSE),1),"")</f>
        <v>1</v>
      </c>
      <c r="F78" s="25">
        <v>7503</v>
      </c>
      <c r="G78" s="28">
        <f>IF(LEFT(D78,6)="CLIENT",IF(E78=0,WORKDAY(A78-1,1,Dias_Sem_Compensacao!$A$2:$A$500),WORKDAY(A78,E78,Dias_Sem_Compensacao!$A$2:$A$500)),"")</f>
        <v>46295</v>
      </c>
      <c r="H78" s="25">
        <v>0</v>
      </c>
      <c r="I78" s="28">
        <v>46294</v>
      </c>
      <c r="J78" t="s">
        <v>98</v>
      </c>
      <c r="K78" t="s">
        <v>362</v>
      </c>
    </row>
    <row r="79" spans="1:11" hidden="1">
      <c r="A79" s="28">
        <v>46294</v>
      </c>
      <c r="B79" t="s">
        <v>185</v>
      </c>
      <c r="C79" t="s">
        <v>202</v>
      </c>
      <c r="D79" t="s">
        <v>217</v>
      </c>
      <c r="E79">
        <f>IF(LEFT(D79,6)="CLIENT",IFERROR(VLOOKUP(C79,Config_Carteiras!$A:$B,2,FALSE),1),"")</f>
        <v>1</v>
      </c>
      <c r="F79" s="25">
        <v>5306</v>
      </c>
      <c r="G79" s="28">
        <f>IF(LEFT(D79,6)="CLIENT",IF(E79=0,WORKDAY(A79-1,1,Dias_Sem_Compensacao!$A$2:$A$500),WORKDAY(A79,E79,Dias_Sem_Compensacao!$A$2:$A$500)),"")</f>
        <v>46295</v>
      </c>
      <c r="H79" s="25">
        <v>0</v>
      </c>
      <c r="I79" s="28">
        <v>46294</v>
      </c>
      <c r="K79" t="s">
        <v>363</v>
      </c>
    </row>
    <row r="80" spans="1:11" hidden="1">
      <c r="A80" s="28">
        <v>46294</v>
      </c>
      <c r="B80" t="s">
        <v>185</v>
      </c>
      <c r="C80" t="s">
        <v>202</v>
      </c>
      <c r="D80" t="s">
        <v>217</v>
      </c>
      <c r="E80">
        <f>IF(LEFT(D80,6)="CLIENT",IFERROR(VLOOKUP(C80,Config_Carteiras!$A:$B,2,FALSE),1),"")</f>
        <v>1</v>
      </c>
      <c r="F80" s="25">
        <v>3224</v>
      </c>
      <c r="G80" s="28">
        <f>IF(LEFT(D80,6)="CLIENT",IF(E80=0,WORKDAY(A80-1,1,Dias_Sem_Compensacao!$A$2:$A$500),WORKDAY(A80,E80,Dias_Sem_Compensacao!$A$2:$A$500)),"")</f>
        <v>46295</v>
      </c>
      <c r="H80" s="25">
        <v>0</v>
      </c>
      <c r="I80" s="28">
        <v>46294</v>
      </c>
      <c r="K80" t="s">
        <v>364</v>
      </c>
    </row>
    <row r="81" spans="1:11" hidden="1">
      <c r="A81" s="28">
        <v>46294</v>
      </c>
      <c r="B81" t="s">
        <v>185</v>
      </c>
      <c r="C81" t="s">
        <v>202</v>
      </c>
      <c r="D81" t="s">
        <v>217</v>
      </c>
      <c r="E81">
        <f>IF(LEFT(D81,6)="CLIENT",IFERROR(VLOOKUP(C81,Config_Carteiras!$A:$B,2,FALSE),1),"")</f>
        <v>1</v>
      </c>
      <c r="F81" s="25">
        <v>386</v>
      </c>
      <c r="G81" s="28">
        <f>IF(LEFT(D81,6)="CLIENT",IF(E81=0,WORKDAY(A81-1,1,Dias_Sem_Compensacao!$A$2:$A$500),WORKDAY(A81,E81,Dias_Sem_Compensacao!$A$2:$A$500)),"")</f>
        <v>46295</v>
      </c>
      <c r="H81" s="25">
        <v>0</v>
      </c>
      <c r="I81" s="28">
        <v>46294</v>
      </c>
      <c r="J81" t="s">
        <v>365</v>
      </c>
      <c r="K81" t="s">
        <v>366</v>
      </c>
    </row>
    <row r="82" spans="1:11" hidden="1">
      <c r="A82" s="28">
        <v>46294</v>
      </c>
      <c r="B82" t="s">
        <v>185</v>
      </c>
      <c r="C82" t="s">
        <v>202</v>
      </c>
      <c r="D82" t="s">
        <v>217</v>
      </c>
      <c r="E82">
        <f>IF(LEFT(D82,6)="CLIENT",IFERROR(VLOOKUP(C82,Config_Carteiras!$A:$B,2,FALSE),1),"")</f>
        <v>1</v>
      </c>
      <c r="F82" s="25">
        <v>484</v>
      </c>
      <c r="G82" s="28">
        <f>IF(LEFT(D82,6)="CLIENT",IF(E82=0,WORKDAY(A82-1,1,Dias_Sem_Compensacao!$A$2:$A$500),WORKDAY(A82,E82,Dias_Sem_Compensacao!$A$2:$A$500)),"")</f>
        <v>46295</v>
      </c>
      <c r="H82" s="25">
        <v>0</v>
      </c>
      <c r="I82" s="28">
        <v>46294</v>
      </c>
      <c r="J82" t="s">
        <v>367</v>
      </c>
      <c r="K82" t="s">
        <v>368</v>
      </c>
    </row>
    <row r="83" spans="1:11" hidden="1">
      <c r="A83" s="28">
        <v>46294</v>
      </c>
      <c r="B83" t="s">
        <v>185</v>
      </c>
      <c r="C83" t="s">
        <v>202</v>
      </c>
      <c r="D83" t="s">
        <v>217</v>
      </c>
      <c r="E83">
        <f>IF(LEFT(D83,6)="CLIENT",IFERROR(VLOOKUP(C83,Config_Carteiras!$A:$B,2,FALSE),1),"")</f>
        <v>1</v>
      </c>
      <c r="F83" s="25">
        <v>307.56</v>
      </c>
      <c r="G83" s="28">
        <f>IF(LEFT(D83,6)="CLIENT",IF(E83=0,WORKDAY(A83-1,1,Dias_Sem_Compensacao!$A$2:$A$500),WORKDAY(A83,E83,Dias_Sem_Compensacao!$A$2:$A$500)),"")</f>
        <v>46295</v>
      </c>
      <c r="H83" s="25">
        <v>0</v>
      </c>
      <c r="I83" s="28">
        <v>46294</v>
      </c>
      <c r="J83" t="s">
        <v>369</v>
      </c>
      <c r="K83" t="s">
        <v>370</v>
      </c>
    </row>
    <row r="84" spans="1:11" hidden="1">
      <c r="A84" s="28">
        <v>46294</v>
      </c>
      <c r="B84" t="s">
        <v>185</v>
      </c>
      <c r="C84" t="s">
        <v>202</v>
      </c>
      <c r="D84" t="s">
        <v>217</v>
      </c>
      <c r="E84">
        <f>IF(LEFT(D84,6)="CLIENT",IFERROR(VLOOKUP(C84,Config_Carteiras!$A:$B,2,FALSE),1),"")</f>
        <v>1</v>
      </c>
      <c r="F84" s="25">
        <v>871</v>
      </c>
      <c r="G84" s="28">
        <f>IF(LEFT(D84,6)="CLIENT",IF(E84=0,WORKDAY(A84-1,1,Dias_Sem_Compensacao!$A$2:$A$500),WORKDAY(A84,E84,Dias_Sem_Compensacao!$A$2:$A$500)),"")</f>
        <v>46295</v>
      </c>
      <c r="H84" s="25">
        <v>0</v>
      </c>
      <c r="I84" s="28">
        <v>46294</v>
      </c>
      <c r="J84" t="s">
        <v>371</v>
      </c>
      <c r="K84" t="s">
        <v>372</v>
      </c>
    </row>
    <row r="85" spans="1:11" hidden="1">
      <c r="A85" s="28">
        <v>46295</v>
      </c>
      <c r="B85" t="s">
        <v>185</v>
      </c>
      <c r="C85" t="s">
        <v>202</v>
      </c>
      <c r="D85" t="s">
        <v>217</v>
      </c>
      <c r="E85">
        <f>IF(LEFT(D85,6)="CLIENT",IFERROR(VLOOKUP(C85,Config_Carteiras!$A:$B,2,FALSE),1),"")</f>
        <v>1</v>
      </c>
      <c r="F85" s="25">
        <v>435</v>
      </c>
      <c r="G85" s="28">
        <f>IF(LEFT(D85,6)="CLIENT",IF(E85=0,WORKDAY(A85-1,1,Dias_Sem_Compensacao!$A$2:$A$500),WORKDAY(A85,E85,Dias_Sem_Compensacao!$A$2:$A$500)),"")</f>
        <v>46296</v>
      </c>
      <c r="H85" s="25">
        <v>0</v>
      </c>
      <c r="I85" s="28">
        <v>46295</v>
      </c>
      <c r="J85" t="s">
        <v>373</v>
      </c>
      <c r="K85" t="s">
        <v>374</v>
      </c>
    </row>
    <row r="86" spans="1:11" hidden="1">
      <c r="A86" s="28">
        <v>46295</v>
      </c>
      <c r="B86" t="s">
        <v>185</v>
      </c>
      <c r="C86" t="s">
        <v>202</v>
      </c>
      <c r="D86" t="s">
        <v>217</v>
      </c>
      <c r="E86">
        <f>IF(LEFT(D86,6)="CLIENT",IFERROR(VLOOKUP(C86,Config_Carteiras!$A:$B,2,FALSE),1),"")</f>
        <v>1</v>
      </c>
      <c r="F86" s="25">
        <v>378</v>
      </c>
      <c r="G86" s="28">
        <f>IF(LEFT(D86,6)="CLIENT",IF(E86=0,WORKDAY(A86-1,1,Dias_Sem_Compensacao!$A$2:$A$500),WORKDAY(A86,E86,Dias_Sem_Compensacao!$A$2:$A$500)),"")</f>
        <v>46296</v>
      </c>
      <c r="H86" s="25">
        <v>0</v>
      </c>
      <c r="I86" s="28">
        <v>46295</v>
      </c>
      <c r="J86" t="s">
        <v>375</v>
      </c>
      <c r="K86" t="s">
        <v>376</v>
      </c>
    </row>
    <row r="87" spans="1:11" hidden="1">
      <c r="A87" s="28">
        <v>46295</v>
      </c>
      <c r="B87" t="s">
        <v>185</v>
      </c>
      <c r="C87" t="s">
        <v>202</v>
      </c>
      <c r="D87" t="s">
        <v>217</v>
      </c>
      <c r="E87">
        <f>IF(LEFT(D87,6)="CLIENT",IFERROR(VLOOKUP(C87,Config_Carteiras!$A:$B,2,FALSE),1),"")</f>
        <v>1</v>
      </c>
      <c r="F87" s="25">
        <v>1370.88</v>
      </c>
      <c r="G87" s="28">
        <f>IF(LEFT(D87,6)="CLIENT",IF(E87=0,WORKDAY(A87-1,1,Dias_Sem_Compensacao!$A$2:$A$500),WORKDAY(A87,E87,Dias_Sem_Compensacao!$A$2:$A$500)),"")</f>
        <v>46296</v>
      </c>
      <c r="H87" s="25">
        <v>0</v>
      </c>
      <c r="I87" s="28">
        <v>46295</v>
      </c>
      <c r="J87" t="s">
        <v>377</v>
      </c>
      <c r="K87" t="s">
        <v>378</v>
      </c>
    </row>
    <row r="88" spans="1:11" hidden="1">
      <c r="A88" s="28">
        <v>46295</v>
      </c>
      <c r="B88" t="s">
        <v>185</v>
      </c>
      <c r="C88" t="s">
        <v>202</v>
      </c>
      <c r="D88" t="s">
        <v>217</v>
      </c>
      <c r="E88">
        <f>IF(LEFT(D88,6)="CLIENT",IFERROR(VLOOKUP(C88,Config_Carteiras!$A:$B,2,FALSE),1),"")</f>
        <v>1</v>
      </c>
      <c r="F88" s="25">
        <v>675.5</v>
      </c>
      <c r="G88" s="28">
        <f>IF(LEFT(D88,6)="CLIENT",IF(E88=0,WORKDAY(A88-1,1,Dias_Sem_Compensacao!$A$2:$A$500),WORKDAY(A88,E88,Dias_Sem_Compensacao!$A$2:$A$500)),"")</f>
        <v>46296</v>
      </c>
      <c r="H88" s="25">
        <v>0</v>
      </c>
      <c r="I88" s="28">
        <v>46295</v>
      </c>
      <c r="J88" t="s">
        <v>379</v>
      </c>
      <c r="K88" t="s">
        <v>380</v>
      </c>
    </row>
    <row r="89" spans="1:11" hidden="1">
      <c r="A89" s="28">
        <v>46295</v>
      </c>
      <c r="B89" t="s">
        <v>185</v>
      </c>
      <c r="C89" t="s">
        <v>202</v>
      </c>
      <c r="D89" t="s">
        <v>217</v>
      </c>
      <c r="E89">
        <f>IF(LEFT(D89,6)="CLIENT",IFERROR(VLOOKUP(C89,Config_Carteiras!$A:$B,2,FALSE),1),"")</f>
        <v>1</v>
      </c>
      <c r="F89" s="25">
        <v>6120</v>
      </c>
      <c r="G89" s="28">
        <f>IF(LEFT(D89,6)="CLIENT",IF(E89=0,WORKDAY(A89-1,1,Dias_Sem_Compensacao!$A$2:$A$500),WORKDAY(A89,E89,Dias_Sem_Compensacao!$A$2:$A$500)),"")</f>
        <v>46296</v>
      </c>
      <c r="H89" s="25">
        <v>0</v>
      </c>
      <c r="I89" s="28">
        <v>46295</v>
      </c>
      <c r="J89" t="s">
        <v>381</v>
      </c>
      <c r="K89" t="s">
        <v>382</v>
      </c>
    </row>
    <row r="90" spans="1:11" hidden="1">
      <c r="A90" s="28">
        <v>46295</v>
      </c>
      <c r="B90" t="s">
        <v>185</v>
      </c>
      <c r="C90" t="s">
        <v>202</v>
      </c>
      <c r="D90" t="s">
        <v>217</v>
      </c>
      <c r="E90">
        <f>IF(LEFT(D90,6)="CLIENT",IFERROR(VLOOKUP(C90,Config_Carteiras!$A:$B,2,FALSE),1),"")</f>
        <v>1</v>
      </c>
      <c r="F90" s="25">
        <v>390.56</v>
      </c>
      <c r="G90" s="28">
        <f>IF(LEFT(D90,6)="CLIENT",IF(E90=0,WORKDAY(A90-1,1,Dias_Sem_Compensacao!$A$2:$A$500),WORKDAY(A90,E90,Dias_Sem_Compensacao!$A$2:$A$500)),"")</f>
        <v>46296</v>
      </c>
      <c r="H90" s="25">
        <v>0</v>
      </c>
      <c r="I90" s="28">
        <v>46295</v>
      </c>
      <c r="J90" t="s">
        <v>383</v>
      </c>
      <c r="K90" t="s">
        <v>384</v>
      </c>
    </row>
    <row r="91" spans="1:11" hidden="1">
      <c r="A91" s="28">
        <v>46295</v>
      </c>
      <c r="B91" t="s">
        <v>185</v>
      </c>
      <c r="C91" t="s">
        <v>202</v>
      </c>
      <c r="D91" t="s">
        <v>217</v>
      </c>
      <c r="E91">
        <f>IF(LEFT(D91,6)="CLIENT",IFERROR(VLOOKUP(C91,Config_Carteiras!$A:$B,2,FALSE),1),"")</f>
        <v>1</v>
      </c>
      <c r="F91" s="25">
        <v>2211</v>
      </c>
      <c r="G91" s="28">
        <f>IF(LEFT(D91,6)="CLIENT",IF(E91=0,WORKDAY(A91-1,1,Dias_Sem_Compensacao!$A$2:$A$500),WORKDAY(A91,E91,Dias_Sem_Compensacao!$A$2:$A$500)),"")</f>
        <v>46296</v>
      </c>
      <c r="H91" s="25">
        <v>0</v>
      </c>
      <c r="I91" s="28">
        <v>46295</v>
      </c>
      <c r="J91" t="s">
        <v>385</v>
      </c>
      <c r="K91" t="s">
        <v>386</v>
      </c>
    </row>
    <row r="92" spans="1:11" hidden="1">
      <c r="A92" s="28">
        <v>46295</v>
      </c>
      <c r="B92" t="s">
        <v>185</v>
      </c>
      <c r="C92" t="s">
        <v>202</v>
      </c>
      <c r="D92" t="s">
        <v>217</v>
      </c>
      <c r="E92">
        <f>IF(LEFT(D92,6)="CLIENT",IFERROR(VLOOKUP(C92,Config_Carteiras!$A:$B,2,FALSE),1),"")</f>
        <v>1</v>
      </c>
      <c r="F92" s="25">
        <v>2321</v>
      </c>
      <c r="G92" s="28">
        <f>IF(LEFT(D92,6)="CLIENT",IF(E92=0,WORKDAY(A92-1,1,Dias_Sem_Compensacao!$A$2:$A$500),WORKDAY(A92,E92,Dias_Sem_Compensacao!$A$2:$A$500)),"")</f>
        <v>46296</v>
      </c>
      <c r="H92" s="25">
        <v>0</v>
      </c>
      <c r="I92" s="28">
        <v>46295</v>
      </c>
      <c r="J92" t="s">
        <v>387</v>
      </c>
      <c r="K92" t="s">
        <v>388</v>
      </c>
    </row>
    <row r="93" spans="1:11" hidden="1">
      <c r="A93" s="28">
        <v>46295</v>
      </c>
      <c r="B93" t="s">
        <v>185</v>
      </c>
      <c r="C93" t="s">
        <v>202</v>
      </c>
      <c r="D93" t="s">
        <v>217</v>
      </c>
      <c r="E93">
        <f>IF(LEFT(D93,6)="CLIENT",IFERROR(VLOOKUP(C93,Config_Carteiras!$A:$B,2,FALSE),1),"")</f>
        <v>1</v>
      </c>
      <c r="F93" s="25">
        <v>735.5</v>
      </c>
      <c r="G93" s="28">
        <f>IF(LEFT(D93,6)="CLIENT",IF(E93=0,WORKDAY(A93-1,1,Dias_Sem_Compensacao!$A$2:$A$500),WORKDAY(A93,E93,Dias_Sem_Compensacao!$A$2:$A$500)),"")</f>
        <v>46296</v>
      </c>
      <c r="H93" s="25">
        <v>0</v>
      </c>
      <c r="I93" s="28">
        <v>46295</v>
      </c>
      <c r="J93" t="s">
        <v>389</v>
      </c>
      <c r="K93" t="s">
        <v>390</v>
      </c>
    </row>
    <row r="94" spans="1:11" hidden="1">
      <c r="A94" s="28">
        <v>46295</v>
      </c>
      <c r="B94" t="s">
        <v>185</v>
      </c>
      <c r="C94" t="s">
        <v>202</v>
      </c>
      <c r="D94" t="s">
        <v>217</v>
      </c>
      <c r="E94">
        <f>IF(LEFT(D94,6)="CLIENT",IFERROR(VLOOKUP(C94,Config_Carteiras!$A:$B,2,FALSE),1),"")</f>
        <v>1</v>
      </c>
      <c r="F94" s="25">
        <v>658</v>
      </c>
      <c r="G94" s="28">
        <f>IF(LEFT(D94,6)="CLIENT",IF(E94=0,WORKDAY(A94-1,1,Dias_Sem_Compensacao!$A$2:$A$500),WORKDAY(A94,E94,Dias_Sem_Compensacao!$A$2:$A$500)),"")</f>
        <v>46296</v>
      </c>
      <c r="H94" s="25">
        <v>0</v>
      </c>
      <c r="I94" s="28">
        <v>46295</v>
      </c>
      <c r="K94" t="s">
        <v>391</v>
      </c>
    </row>
    <row r="95" spans="1:11" hidden="1">
      <c r="A95" s="28">
        <v>46295</v>
      </c>
      <c r="B95" t="s">
        <v>185</v>
      </c>
      <c r="C95" t="s">
        <v>202</v>
      </c>
      <c r="D95" t="s">
        <v>217</v>
      </c>
      <c r="E95">
        <f>IF(LEFT(D95,6)="CLIENT",IFERROR(VLOOKUP(C95,Config_Carteiras!$A:$B,2,FALSE),1),"")</f>
        <v>1</v>
      </c>
      <c r="F95" s="25">
        <v>429</v>
      </c>
      <c r="G95" s="28">
        <f>IF(LEFT(D95,6)="CLIENT",IF(E95=0,WORKDAY(A95-1,1,Dias_Sem_Compensacao!$A$2:$A$500),WORKDAY(A95,E95,Dias_Sem_Compensacao!$A$2:$A$500)),"")</f>
        <v>46296</v>
      </c>
      <c r="H95" s="25">
        <v>0</v>
      </c>
      <c r="I95" s="28">
        <v>46295</v>
      </c>
      <c r="J95" t="s">
        <v>392</v>
      </c>
      <c r="K95" t="s">
        <v>393</v>
      </c>
    </row>
    <row r="96" spans="1:11" hidden="1">
      <c r="A96" s="28">
        <v>46295</v>
      </c>
      <c r="B96" t="s">
        <v>185</v>
      </c>
      <c r="C96" t="s">
        <v>202</v>
      </c>
      <c r="D96" t="s">
        <v>217</v>
      </c>
      <c r="E96">
        <f>IF(LEFT(D96,6)="CLIENT",IFERROR(VLOOKUP(C96,Config_Carteiras!$A:$B,2,FALSE),1),"")</f>
        <v>1</v>
      </c>
      <c r="F96" s="25">
        <v>6090</v>
      </c>
      <c r="G96" s="28">
        <f>IF(LEFT(D96,6)="CLIENT",IF(E96=0,WORKDAY(A96-1,1,Dias_Sem_Compensacao!$A$2:$A$500),WORKDAY(A96,E96,Dias_Sem_Compensacao!$A$2:$A$500)),"")</f>
        <v>46296</v>
      </c>
      <c r="H96" s="25">
        <v>0</v>
      </c>
      <c r="I96" s="28">
        <v>46295</v>
      </c>
      <c r="J96" t="s">
        <v>394</v>
      </c>
      <c r="K96" t="s">
        <v>395</v>
      </c>
    </row>
    <row r="97" spans="1:11" hidden="1">
      <c r="A97" s="28">
        <v>46295</v>
      </c>
      <c r="B97" t="s">
        <v>185</v>
      </c>
      <c r="C97" t="s">
        <v>202</v>
      </c>
      <c r="D97" t="s">
        <v>217</v>
      </c>
      <c r="E97">
        <f>IF(LEFT(D97,6)="CLIENT",IFERROR(VLOOKUP(C97,Config_Carteiras!$A:$B,2,FALSE),1),"")</f>
        <v>1</v>
      </c>
      <c r="F97" s="25">
        <v>3656</v>
      </c>
      <c r="G97" s="28">
        <f>IF(LEFT(D97,6)="CLIENT",IF(E97=0,WORKDAY(A97-1,1,Dias_Sem_Compensacao!$A$2:$A$500),WORKDAY(A97,E97,Dias_Sem_Compensacao!$A$2:$A$500)),"")</f>
        <v>46296</v>
      </c>
      <c r="H97" s="25">
        <v>0</v>
      </c>
      <c r="I97" s="28">
        <v>46295</v>
      </c>
      <c r="K97" t="s">
        <v>396</v>
      </c>
    </row>
    <row r="98" spans="1:11" hidden="1">
      <c r="A98" s="28">
        <v>46295</v>
      </c>
      <c r="B98" t="s">
        <v>185</v>
      </c>
      <c r="C98" t="s">
        <v>202</v>
      </c>
      <c r="D98" t="s">
        <v>217</v>
      </c>
      <c r="E98">
        <f>IF(LEFT(D98,6)="CLIENT",IFERROR(VLOOKUP(C98,Config_Carteiras!$A:$B,2,FALSE),1),"")</f>
        <v>1</v>
      </c>
      <c r="F98" s="25">
        <v>1512</v>
      </c>
      <c r="G98" s="28">
        <f>IF(LEFT(D98,6)="CLIENT",IF(E98=0,WORKDAY(A98-1,1,Dias_Sem_Compensacao!$A$2:$A$500),WORKDAY(A98,E98,Dias_Sem_Compensacao!$A$2:$A$500)),"")</f>
        <v>46296</v>
      </c>
      <c r="H98" s="25">
        <v>0</v>
      </c>
      <c r="I98" s="28">
        <v>46295</v>
      </c>
      <c r="J98" t="s">
        <v>397</v>
      </c>
      <c r="K98" t="s">
        <v>398</v>
      </c>
    </row>
    <row r="99" spans="1:11" hidden="1">
      <c r="A99" s="28">
        <v>46295</v>
      </c>
      <c r="B99" t="s">
        <v>185</v>
      </c>
      <c r="C99" t="s">
        <v>202</v>
      </c>
      <c r="D99" t="s">
        <v>217</v>
      </c>
      <c r="E99">
        <f>IF(LEFT(D99,6)="CLIENT",IFERROR(VLOOKUP(C99,Config_Carteiras!$A:$B,2,FALSE),1),"")</f>
        <v>1</v>
      </c>
      <c r="F99" s="25">
        <v>257.85000000000002</v>
      </c>
      <c r="G99" s="28">
        <f>IF(LEFT(D99,6)="CLIENT",IF(E99=0,WORKDAY(A99-1,1,Dias_Sem_Compensacao!$A$2:$A$500),WORKDAY(A99,E99,Dias_Sem_Compensacao!$A$2:$A$500)),"")</f>
        <v>46296</v>
      </c>
      <c r="H99" s="25">
        <v>0</v>
      </c>
      <c r="I99" s="28">
        <v>46295</v>
      </c>
      <c r="J99" t="s">
        <v>399</v>
      </c>
      <c r="K99" t="s">
        <v>400</v>
      </c>
    </row>
    <row r="100" spans="1:11" hidden="1">
      <c r="A100" s="28">
        <v>46295</v>
      </c>
      <c r="B100" t="s">
        <v>185</v>
      </c>
      <c r="C100" t="s">
        <v>202</v>
      </c>
      <c r="D100" t="s">
        <v>217</v>
      </c>
      <c r="E100">
        <f>IF(LEFT(D100,6)="CLIENT",IFERROR(VLOOKUP(C100,Config_Carteiras!$A:$B,2,FALSE),1),"")</f>
        <v>1</v>
      </c>
      <c r="F100" s="25">
        <v>761</v>
      </c>
      <c r="G100" s="28">
        <f>IF(LEFT(D100,6)="CLIENT",IF(E100=0,WORKDAY(A100-1,1,Dias_Sem_Compensacao!$A$2:$A$500),WORKDAY(A100,E100,Dias_Sem_Compensacao!$A$2:$A$500)),"")</f>
        <v>46296</v>
      </c>
      <c r="H100" s="25">
        <v>0</v>
      </c>
      <c r="I100" s="28">
        <v>46295</v>
      </c>
      <c r="J100" t="s">
        <v>401</v>
      </c>
      <c r="K100" t="s">
        <v>402</v>
      </c>
    </row>
    <row r="101" spans="1:11" hidden="1">
      <c r="A101" s="28">
        <v>46295</v>
      </c>
      <c r="B101" t="s">
        <v>185</v>
      </c>
      <c r="C101" t="s">
        <v>202</v>
      </c>
      <c r="D101" t="s">
        <v>217</v>
      </c>
      <c r="E101">
        <f>IF(LEFT(D101,6)="CLIENT",IFERROR(VLOOKUP(C101,Config_Carteiras!$A:$B,2,FALSE),1),"")</f>
        <v>1</v>
      </c>
      <c r="F101" s="25">
        <v>1050</v>
      </c>
      <c r="G101" s="28">
        <f>IF(LEFT(D101,6)="CLIENT",IF(E101=0,WORKDAY(A101-1,1,Dias_Sem_Compensacao!$A$2:$A$500),WORKDAY(A101,E101,Dias_Sem_Compensacao!$A$2:$A$500)),"")</f>
        <v>46296</v>
      </c>
      <c r="H101" s="25">
        <v>0</v>
      </c>
      <c r="I101" s="28">
        <v>46295</v>
      </c>
      <c r="J101" t="s">
        <v>403</v>
      </c>
      <c r="K101" t="s">
        <v>404</v>
      </c>
    </row>
    <row r="102" spans="1:11" hidden="1">
      <c r="A102" s="28">
        <v>46295</v>
      </c>
      <c r="B102" t="s">
        <v>185</v>
      </c>
      <c r="C102" t="s">
        <v>202</v>
      </c>
      <c r="D102" t="s">
        <v>217</v>
      </c>
      <c r="E102">
        <f>IF(LEFT(D102,6)="CLIENT",IFERROR(VLOOKUP(C102,Config_Carteiras!$A:$B,2,FALSE),1),"")</f>
        <v>1</v>
      </c>
      <c r="F102" s="25">
        <v>1530</v>
      </c>
      <c r="G102" s="28">
        <f>IF(LEFT(D102,6)="CLIENT",IF(E102=0,WORKDAY(A102-1,1,Dias_Sem_Compensacao!$A$2:$A$500),WORKDAY(A102,E102,Dias_Sem_Compensacao!$A$2:$A$500)),"")</f>
        <v>46296</v>
      </c>
      <c r="H102" s="25">
        <v>0</v>
      </c>
      <c r="I102" s="28">
        <v>46295</v>
      </c>
      <c r="J102" t="s">
        <v>405</v>
      </c>
      <c r="K102" t="s">
        <v>406</v>
      </c>
    </row>
    <row r="103" spans="1:11" hidden="1">
      <c r="A103" s="28">
        <v>46295</v>
      </c>
      <c r="B103" t="s">
        <v>185</v>
      </c>
      <c r="C103" t="s">
        <v>202</v>
      </c>
      <c r="D103" t="s">
        <v>217</v>
      </c>
      <c r="E103">
        <f>IF(LEFT(D103,6)="CLIENT",IFERROR(VLOOKUP(C103,Config_Carteiras!$A:$B,2,FALSE),1),"")</f>
        <v>1</v>
      </c>
      <c r="F103" s="25">
        <v>1099.56</v>
      </c>
      <c r="G103" s="28">
        <f>IF(LEFT(D103,6)="CLIENT",IF(E103=0,WORKDAY(A103-1,1,Dias_Sem_Compensacao!$A$2:$A$500),WORKDAY(A103,E103,Dias_Sem_Compensacao!$A$2:$A$500)),"")</f>
        <v>46296</v>
      </c>
      <c r="H103" s="25">
        <v>0</v>
      </c>
      <c r="I103" s="28">
        <v>46295</v>
      </c>
      <c r="J103" t="s">
        <v>407</v>
      </c>
      <c r="K103" t="s">
        <v>408</v>
      </c>
    </row>
    <row r="104" spans="1:11" hidden="1">
      <c r="A104" s="28">
        <v>46295</v>
      </c>
      <c r="B104" t="s">
        <v>185</v>
      </c>
      <c r="C104" t="s">
        <v>202</v>
      </c>
      <c r="D104" t="s">
        <v>217</v>
      </c>
      <c r="E104">
        <f>IF(LEFT(D104,6)="CLIENT",IFERROR(VLOOKUP(C104,Config_Carteiras!$A:$B,2,FALSE),1),"")</f>
        <v>1</v>
      </c>
      <c r="F104" s="25">
        <v>1104</v>
      </c>
      <c r="G104" s="28">
        <f>IF(LEFT(D104,6)="CLIENT",IF(E104=0,WORKDAY(A104-1,1,Dias_Sem_Compensacao!$A$2:$A$500),WORKDAY(A104,E104,Dias_Sem_Compensacao!$A$2:$A$500)),"")</f>
        <v>46296</v>
      </c>
      <c r="H104" s="25">
        <v>0</v>
      </c>
      <c r="I104" s="28">
        <v>46295</v>
      </c>
      <c r="J104" t="s">
        <v>224</v>
      </c>
      <c r="K104" t="s">
        <v>225</v>
      </c>
    </row>
    <row r="105" spans="1:11" hidden="1">
      <c r="A105" s="28">
        <v>46295</v>
      </c>
      <c r="B105" t="s">
        <v>185</v>
      </c>
      <c r="C105" t="s">
        <v>202</v>
      </c>
      <c r="D105" t="s">
        <v>217</v>
      </c>
      <c r="E105">
        <f>IF(LEFT(D105,6)="CLIENT",IFERROR(VLOOKUP(C105,Config_Carteiras!$A:$B,2,FALSE),1),"")</f>
        <v>1</v>
      </c>
      <c r="F105" s="25">
        <v>1102</v>
      </c>
      <c r="G105" s="28">
        <f>IF(LEFT(D105,6)="CLIENT",IF(E105=0,WORKDAY(A105-1,1,Dias_Sem_Compensacao!$A$2:$A$500),WORKDAY(A105,E105,Dias_Sem_Compensacao!$A$2:$A$500)),"")</f>
        <v>46296</v>
      </c>
      <c r="H105" s="25">
        <v>0</v>
      </c>
      <c r="I105" s="28">
        <v>46295</v>
      </c>
      <c r="K105" t="s">
        <v>226</v>
      </c>
    </row>
    <row r="106" spans="1:11" hidden="1">
      <c r="A106" s="28">
        <v>46295</v>
      </c>
      <c r="B106" t="s">
        <v>185</v>
      </c>
      <c r="C106" t="s">
        <v>202</v>
      </c>
      <c r="D106" t="s">
        <v>217</v>
      </c>
      <c r="E106">
        <f>IF(LEFT(D106,6)="CLIENT",IFERROR(VLOOKUP(C106,Config_Carteiras!$A:$B,2,FALSE),1),"")</f>
        <v>1</v>
      </c>
      <c r="F106" s="25">
        <v>1574.37</v>
      </c>
      <c r="G106" s="28">
        <f>IF(LEFT(D106,6)="CLIENT",IF(E106=0,WORKDAY(A106-1,1,Dias_Sem_Compensacao!$A$2:$A$500),WORKDAY(A106,E106,Dias_Sem_Compensacao!$A$2:$A$500)),"")</f>
        <v>46296</v>
      </c>
      <c r="H106" s="25">
        <v>0</v>
      </c>
      <c r="I106" s="28">
        <v>46295</v>
      </c>
      <c r="J106" t="s">
        <v>409</v>
      </c>
      <c r="K106" t="s">
        <v>410</v>
      </c>
    </row>
    <row r="107" spans="1:11" hidden="1">
      <c r="A107" s="28">
        <v>46295</v>
      </c>
      <c r="B107" t="s">
        <v>185</v>
      </c>
      <c r="C107" t="s">
        <v>202</v>
      </c>
      <c r="D107" t="s">
        <v>217</v>
      </c>
      <c r="E107">
        <f>IF(LEFT(D107,6)="CLIENT",IFERROR(VLOOKUP(C107,Config_Carteiras!$A:$B,2,FALSE),1),"")</f>
        <v>1</v>
      </c>
      <c r="F107" s="25">
        <v>357.5</v>
      </c>
      <c r="G107" s="28">
        <f>IF(LEFT(D107,6)="CLIENT",IF(E107=0,WORKDAY(A107-1,1,Dias_Sem_Compensacao!$A$2:$A$500),WORKDAY(A107,E107,Dias_Sem_Compensacao!$A$2:$A$500)),"")</f>
        <v>46296</v>
      </c>
      <c r="H107" s="25">
        <v>0</v>
      </c>
      <c r="I107" s="28">
        <v>46295</v>
      </c>
      <c r="J107" t="s">
        <v>411</v>
      </c>
      <c r="K107" t="s">
        <v>412</v>
      </c>
    </row>
    <row r="108" spans="1:11" hidden="1">
      <c r="A108" s="28">
        <v>46295</v>
      </c>
      <c r="B108" t="s">
        <v>185</v>
      </c>
      <c r="C108" t="s">
        <v>202</v>
      </c>
      <c r="D108" t="s">
        <v>217</v>
      </c>
      <c r="E108">
        <f>IF(LEFT(D108,6)="CLIENT",IFERROR(VLOOKUP(C108,Config_Carteiras!$A:$B,2,FALSE),1),"")</f>
        <v>1</v>
      </c>
      <c r="F108" s="25">
        <v>787</v>
      </c>
      <c r="G108" s="28">
        <f>IF(LEFT(D108,6)="CLIENT",IF(E108=0,WORKDAY(A108-1,1,Dias_Sem_Compensacao!$A$2:$A$500),WORKDAY(A108,E108,Dias_Sem_Compensacao!$A$2:$A$500)),"")</f>
        <v>46296</v>
      </c>
      <c r="H108" s="25">
        <v>0</v>
      </c>
      <c r="I108" s="28">
        <v>46295</v>
      </c>
      <c r="J108" t="s">
        <v>413</v>
      </c>
      <c r="K108" t="s">
        <v>414</v>
      </c>
    </row>
    <row r="109" spans="1:11" hidden="1">
      <c r="A109" s="28">
        <v>46295</v>
      </c>
      <c r="B109" t="s">
        <v>185</v>
      </c>
      <c r="C109" t="s">
        <v>202</v>
      </c>
      <c r="D109" t="s">
        <v>217</v>
      </c>
      <c r="E109">
        <f>IF(LEFT(D109,6)="CLIENT",IFERROR(VLOOKUP(C109,Config_Carteiras!$A:$B,2,FALSE),1),"")</f>
        <v>1</v>
      </c>
      <c r="F109" s="25">
        <v>371.3</v>
      </c>
      <c r="G109" s="28">
        <f>IF(LEFT(D109,6)="CLIENT",IF(E109=0,WORKDAY(A109-1,1,Dias_Sem_Compensacao!$A$2:$A$500),WORKDAY(A109,E109,Dias_Sem_Compensacao!$A$2:$A$500)),"")</f>
        <v>46296</v>
      </c>
      <c r="H109" s="25">
        <v>0</v>
      </c>
      <c r="I109" s="28">
        <v>46295</v>
      </c>
      <c r="J109" t="s">
        <v>415</v>
      </c>
      <c r="K109" t="s">
        <v>416</v>
      </c>
    </row>
    <row r="110" spans="1:11" hidden="1">
      <c r="A110" s="28">
        <v>46295</v>
      </c>
      <c r="B110" t="s">
        <v>185</v>
      </c>
      <c r="C110" t="s">
        <v>202</v>
      </c>
      <c r="D110" t="s">
        <v>217</v>
      </c>
      <c r="E110">
        <f>IF(LEFT(D110,6)="CLIENT",IFERROR(VLOOKUP(C110,Config_Carteiras!$A:$B,2,FALSE),1),"")</f>
        <v>1</v>
      </c>
      <c r="F110" s="25">
        <v>1099.8900000000001</v>
      </c>
      <c r="G110" s="28">
        <f>IF(LEFT(D110,6)="CLIENT",IF(E110=0,WORKDAY(A110-1,1,Dias_Sem_Compensacao!$A$2:$A$500),WORKDAY(A110,E110,Dias_Sem_Compensacao!$A$2:$A$500)),"")</f>
        <v>46296</v>
      </c>
      <c r="H110" s="25">
        <v>0</v>
      </c>
      <c r="I110" s="28">
        <v>46295</v>
      </c>
      <c r="J110" t="s">
        <v>417</v>
      </c>
      <c r="K110" t="s">
        <v>418</v>
      </c>
    </row>
    <row r="111" spans="1:11" hidden="1">
      <c r="A111" s="28">
        <v>46295</v>
      </c>
      <c r="B111" t="s">
        <v>185</v>
      </c>
      <c r="C111" t="s">
        <v>202</v>
      </c>
      <c r="D111" t="s">
        <v>217</v>
      </c>
      <c r="E111">
        <f>IF(LEFT(D111,6)="CLIENT",IFERROR(VLOOKUP(C111,Config_Carteiras!$A:$B,2,FALSE),1),"")</f>
        <v>1</v>
      </c>
      <c r="F111" s="25">
        <v>2084.15</v>
      </c>
      <c r="G111" s="28">
        <f>IF(LEFT(D111,6)="CLIENT",IF(E111=0,WORKDAY(A111-1,1,Dias_Sem_Compensacao!$A$2:$A$500),WORKDAY(A111,E111,Dias_Sem_Compensacao!$A$2:$A$500)),"")</f>
        <v>46296</v>
      </c>
      <c r="H111" s="25">
        <v>0</v>
      </c>
      <c r="I111" s="28">
        <v>46295</v>
      </c>
      <c r="J111" t="s">
        <v>419</v>
      </c>
      <c r="K111" t="s">
        <v>420</v>
      </c>
    </row>
    <row r="112" spans="1:11" hidden="1">
      <c r="A112" s="28">
        <v>46295</v>
      </c>
      <c r="B112" t="s">
        <v>185</v>
      </c>
      <c r="C112" t="s">
        <v>202</v>
      </c>
      <c r="D112" t="s">
        <v>217</v>
      </c>
      <c r="E112">
        <f>IF(LEFT(D112,6)="CLIENT",IFERROR(VLOOKUP(C112,Config_Carteiras!$A:$B,2,FALSE),1),"")</f>
        <v>1</v>
      </c>
      <c r="F112" s="25">
        <v>840</v>
      </c>
      <c r="G112" s="28">
        <f>IF(LEFT(D112,6)="CLIENT",IF(E112=0,WORKDAY(A112-1,1,Dias_Sem_Compensacao!$A$2:$A$500),WORKDAY(A112,E112,Dias_Sem_Compensacao!$A$2:$A$500)),"")</f>
        <v>46296</v>
      </c>
      <c r="H112" s="25">
        <v>0</v>
      </c>
      <c r="I112" s="28">
        <v>46295</v>
      </c>
      <c r="J112" t="s">
        <v>421</v>
      </c>
      <c r="K112" t="s">
        <v>422</v>
      </c>
    </row>
    <row r="113" spans="1:11" hidden="1">
      <c r="A113" s="28">
        <v>46295</v>
      </c>
      <c r="B113" t="s">
        <v>185</v>
      </c>
      <c r="C113" t="s">
        <v>202</v>
      </c>
      <c r="D113" t="s">
        <v>217</v>
      </c>
      <c r="E113">
        <f>IF(LEFT(D113,6)="CLIENT",IFERROR(VLOOKUP(C113,Config_Carteiras!$A:$B,2,FALSE),1),"")</f>
        <v>1</v>
      </c>
      <c r="F113" s="25">
        <v>605.38</v>
      </c>
      <c r="G113" s="28">
        <f>IF(LEFT(D113,6)="CLIENT",IF(E113=0,WORKDAY(A113-1,1,Dias_Sem_Compensacao!$A$2:$A$500),WORKDAY(A113,E113,Dias_Sem_Compensacao!$A$2:$A$500)),"")</f>
        <v>46296</v>
      </c>
      <c r="H113" s="25">
        <v>0</v>
      </c>
      <c r="I113" s="28">
        <v>46295</v>
      </c>
      <c r="J113" t="s">
        <v>423</v>
      </c>
      <c r="K113" t="s">
        <v>424</v>
      </c>
    </row>
    <row r="114" spans="1:11" hidden="1">
      <c r="A114" s="28">
        <v>46295</v>
      </c>
      <c r="B114" t="s">
        <v>185</v>
      </c>
      <c r="C114" t="s">
        <v>202</v>
      </c>
      <c r="D114" t="s">
        <v>217</v>
      </c>
      <c r="E114">
        <f>IF(LEFT(D114,6)="CLIENT",IFERROR(VLOOKUP(C114,Config_Carteiras!$A:$B,2,FALSE),1),"")</f>
        <v>1</v>
      </c>
      <c r="F114" s="25">
        <v>388.12</v>
      </c>
      <c r="G114" s="28">
        <f>IF(LEFT(D114,6)="CLIENT",IF(E114=0,WORKDAY(A114-1,1,Dias_Sem_Compensacao!$A$2:$A$500),WORKDAY(A114,E114,Dias_Sem_Compensacao!$A$2:$A$500)),"")</f>
        <v>46296</v>
      </c>
      <c r="H114" s="25">
        <v>0</v>
      </c>
      <c r="I114" s="28">
        <v>46295</v>
      </c>
      <c r="J114" t="s">
        <v>425</v>
      </c>
      <c r="K114" t="s">
        <v>426</v>
      </c>
    </row>
    <row r="115" spans="1:11" hidden="1">
      <c r="A115" s="28">
        <v>46295</v>
      </c>
      <c r="B115" t="s">
        <v>185</v>
      </c>
      <c r="C115" t="s">
        <v>202</v>
      </c>
      <c r="D115" t="s">
        <v>217</v>
      </c>
      <c r="E115">
        <f>IF(LEFT(D115,6)="CLIENT",IFERROR(VLOOKUP(C115,Config_Carteiras!$A:$B,2,FALSE),1),"")</f>
        <v>1</v>
      </c>
      <c r="F115" s="25">
        <v>1247.25</v>
      </c>
      <c r="G115" s="28">
        <f>IF(LEFT(D115,6)="CLIENT",IF(E115=0,WORKDAY(A115-1,1,Dias_Sem_Compensacao!$A$2:$A$500),WORKDAY(A115,E115,Dias_Sem_Compensacao!$A$2:$A$500)),"")</f>
        <v>46296</v>
      </c>
      <c r="H115" s="25">
        <v>0</v>
      </c>
      <c r="I115" s="28">
        <v>46295</v>
      </c>
      <c r="J115" t="s">
        <v>427</v>
      </c>
      <c r="K115" t="s">
        <v>428</v>
      </c>
    </row>
    <row r="116" spans="1:11" hidden="1">
      <c r="A116" s="28">
        <v>46295</v>
      </c>
      <c r="B116" t="s">
        <v>185</v>
      </c>
      <c r="C116" t="s">
        <v>202</v>
      </c>
      <c r="D116" t="s">
        <v>217</v>
      </c>
      <c r="E116">
        <f>IF(LEFT(D116,6)="CLIENT",IFERROR(VLOOKUP(C116,Config_Carteiras!$A:$B,2,FALSE),1),"")</f>
        <v>1</v>
      </c>
      <c r="F116" s="25">
        <v>452.29</v>
      </c>
      <c r="G116" s="28">
        <f>IF(LEFT(D116,6)="CLIENT",IF(E116=0,WORKDAY(A116-1,1,Dias_Sem_Compensacao!$A$2:$A$500),WORKDAY(A116,E116,Dias_Sem_Compensacao!$A$2:$A$500)),"")</f>
        <v>46296</v>
      </c>
      <c r="H116" s="25">
        <v>0</v>
      </c>
      <c r="I116" s="28">
        <v>46295</v>
      </c>
      <c r="J116" t="s">
        <v>429</v>
      </c>
      <c r="K116" t="s">
        <v>430</v>
      </c>
    </row>
    <row r="117" spans="1:11" hidden="1">
      <c r="A117" s="28">
        <v>46295</v>
      </c>
      <c r="B117" t="s">
        <v>185</v>
      </c>
      <c r="C117" t="s">
        <v>202</v>
      </c>
      <c r="D117" t="s">
        <v>217</v>
      </c>
      <c r="E117">
        <f>IF(LEFT(D117,6)="CLIENT",IFERROR(VLOOKUP(C117,Config_Carteiras!$A:$B,2,FALSE),1),"")</f>
        <v>1</v>
      </c>
      <c r="F117" s="25">
        <v>1922</v>
      </c>
      <c r="G117" s="28">
        <f>IF(LEFT(D117,6)="CLIENT",IF(E117=0,WORKDAY(A117-1,1,Dias_Sem_Compensacao!$A$2:$A$500),WORKDAY(A117,E117,Dias_Sem_Compensacao!$A$2:$A$500)),"")</f>
        <v>46296</v>
      </c>
      <c r="H117" s="25">
        <v>0</v>
      </c>
      <c r="I117" s="28">
        <v>46295</v>
      </c>
      <c r="J117" t="s">
        <v>431</v>
      </c>
      <c r="K117" t="s">
        <v>432</v>
      </c>
    </row>
    <row r="118" spans="1:11" hidden="1">
      <c r="A118" s="28">
        <v>46295</v>
      </c>
      <c r="B118" t="s">
        <v>185</v>
      </c>
      <c r="C118" t="s">
        <v>202</v>
      </c>
      <c r="D118" t="s">
        <v>217</v>
      </c>
      <c r="E118">
        <f>IF(LEFT(D118,6)="CLIENT",IFERROR(VLOOKUP(C118,Config_Carteiras!$A:$B,2,FALSE),1),"")</f>
        <v>1</v>
      </c>
      <c r="F118" s="25">
        <v>5342</v>
      </c>
      <c r="G118" s="28">
        <f>IF(LEFT(D118,6)="CLIENT",IF(E118=0,WORKDAY(A118-1,1,Dias_Sem_Compensacao!$A$2:$A$500),WORKDAY(A118,E118,Dias_Sem_Compensacao!$A$2:$A$500)),"")</f>
        <v>46296</v>
      </c>
      <c r="H118" s="25">
        <v>0</v>
      </c>
      <c r="I118" s="28">
        <v>46295</v>
      </c>
      <c r="J118" t="s">
        <v>433</v>
      </c>
      <c r="K118" t="s">
        <v>434</v>
      </c>
    </row>
    <row r="119" spans="1:11" hidden="1">
      <c r="A119" s="28">
        <v>46295</v>
      </c>
      <c r="B119" t="s">
        <v>185</v>
      </c>
      <c r="C119" t="s">
        <v>202</v>
      </c>
      <c r="D119" t="s">
        <v>217</v>
      </c>
      <c r="E119">
        <f>IF(LEFT(D119,6)="CLIENT",IFERROR(VLOOKUP(C119,Config_Carteiras!$A:$B,2,FALSE),1),"")</f>
        <v>1</v>
      </c>
      <c r="F119" s="25">
        <v>582.5</v>
      </c>
      <c r="G119" s="28">
        <f>IF(LEFT(D119,6)="CLIENT",IF(E119=0,WORKDAY(A119-1,1,Dias_Sem_Compensacao!$A$2:$A$500),WORKDAY(A119,E119,Dias_Sem_Compensacao!$A$2:$A$500)),"")</f>
        <v>46296</v>
      </c>
      <c r="H119" s="25">
        <v>0</v>
      </c>
      <c r="I119" s="28">
        <v>46295</v>
      </c>
      <c r="J119" t="s">
        <v>435</v>
      </c>
      <c r="K119" t="s">
        <v>436</v>
      </c>
    </row>
    <row r="120" spans="1:11" hidden="1">
      <c r="A120" s="28">
        <v>46295</v>
      </c>
      <c r="B120" t="s">
        <v>185</v>
      </c>
      <c r="C120" t="s">
        <v>202</v>
      </c>
      <c r="D120" t="s">
        <v>217</v>
      </c>
      <c r="E120">
        <f>IF(LEFT(D120,6)="CLIENT",IFERROR(VLOOKUP(C120,Config_Carteiras!$A:$B,2,FALSE),1),"")</f>
        <v>1</v>
      </c>
      <c r="F120" s="25">
        <v>969</v>
      </c>
      <c r="G120" s="28">
        <f>IF(LEFT(D120,6)="CLIENT",IF(E120=0,WORKDAY(A120-1,1,Dias_Sem_Compensacao!$A$2:$A$500),WORKDAY(A120,E120,Dias_Sem_Compensacao!$A$2:$A$500)),"")</f>
        <v>46296</v>
      </c>
      <c r="H120" s="25">
        <v>0</v>
      </c>
      <c r="I120" s="28">
        <v>46295</v>
      </c>
      <c r="J120" t="s">
        <v>437</v>
      </c>
      <c r="K120" t="s">
        <v>438</v>
      </c>
    </row>
    <row r="121" spans="1:11" hidden="1">
      <c r="A121" s="28">
        <v>46295</v>
      </c>
      <c r="B121" t="s">
        <v>185</v>
      </c>
      <c r="C121" t="s">
        <v>202</v>
      </c>
      <c r="D121" t="s">
        <v>217</v>
      </c>
      <c r="E121">
        <f>IF(LEFT(D121,6)="CLIENT",IFERROR(VLOOKUP(C121,Config_Carteiras!$A:$B,2,FALSE),1),"")</f>
        <v>1</v>
      </c>
      <c r="F121" s="25">
        <v>621</v>
      </c>
      <c r="G121" s="28">
        <f>IF(LEFT(D121,6)="CLIENT",IF(E121=0,WORKDAY(A121-1,1,Dias_Sem_Compensacao!$A$2:$A$500),WORKDAY(A121,E121,Dias_Sem_Compensacao!$A$2:$A$500)),"")</f>
        <v>46296</v>
      </c>
      <c r="H121" s="25">
        <v>0</v>
      </c>
      <c r="I121" s="28">
        <v>46295</v>
      </c>
      <c r="K121" t="s">
        <v>439</v>
      </c>
    </row>
    <row r="122" spans="1:11" hidden="1">
      <c r="A122" s="28">
        <v>46295</v>
      </c>
      <c r="B122" t="s">
        <v>185</v>
      </c>
      <c r="C122" t="s">
        <v>202</v>
      </c>
      <c r="D122" t="s">
        <v>217</v>
      </c>
      <c r="E122">
        <f>IF(LEFT(D122,6)="CLIENT",IFERROR(VLOOKUP(C122,Config_Carteiras!$A:$B,2,FALSE),1),"")</f>
        <v>1</v>
      </c>
      <c r="F122" s="25">
        <v>297</v>
      </c>
      <c r="G122" s="28">
        <f>IF(LEFT(D122,6)="CLIENT",IF(E122=0,WORKDAY(A122-1,1,Dias_Sem_Compensacao!$A$2:$A$500),WORKDAY(A122,E122,Dias_Sem_Compensacao!$A$2:$A$500)),"")</f>
        <v>46296</v>
      </c>
      <c r="H122" s="25">
        <v>0</v>
      </c>
      <c r="I122" s="28">
        <v>46295</v>
      </c>
      <c r="J122" t="s">
        <v>440</v>
      </c>
      <c r="K122" t="s">
        <v>441</v>
      </c>
    </row>
    <row r="123" spans="1:11" hidden="1">
      <c r="A123" s="28">
        <v>46295</v>
      </c>
      <c r="B123" t="s">
        <v>185</v>
      </c>
      <c r="C123" t="s">
        <v>202</v>
      </c>
      <c r="D123" t="s">
        <v>217</v>
      </c>
      <c r="E123">
        <f>IF(LEFT(D123,6)="CLIENT",IFERROR(VLOOKUP(C123,Config_Carteiras!$A:$B,2,FALSE),1),"")</f>
        <v>1</v>
      </c>
      <c r="F123" s="25">
        <v>599</v>
      </c>
      <c r="G123" s="28">
        <f>IF(LEFT(D123,6)="CLIENT",IF(E123=0,WORKDAY(A123-1,1,Dias_Sem_Compensacao!$A$2:$A$500),WORKDAY(A123,E123,Dias_Sem_Compensacao!$A$2:$A$500)),"")</f>
        <v>46296</v>
      </c>
      <c r="H123" s="25">
        <v>0</v>
      </c>
      <c r="I123" s="28">
        <v>46295</v>
      </c>
      <c r="J123" t="s">
        <v>442</v>
      </c>
      <c r="K123" t="s">
        <v>443</v>
      </c>
    </row>
    <row r="124" spans="1:11" hidden="1">
      <c r="A124" s="28">
        <v>46295</v>
      </c>
      <c r="B124" t="s">
        <v>185</v>
      </c>
      <c r="C124" t="s">
        <v>202</v>
      </c>
      <c r="D124" t="s">
        <v>217</v>
      </c>
      <c r="E124">
        <f>IF(LEFT(D124,6)="CLIENT",IFERROR(VLOOKUP(C124,Config_Carteiras!$A:$B,2,FALSE),1),"")</f>
        <v>1</v>
      </c>
      <c r="F124" s="25">
        <v>442</v>
      </c>
      <c r="G124" s="28">
        <f>IF(LEFT(D124,6)="CLIENT",IF(E124=0,WORKDAY(A124-1,1,Dias_Sem_Compensacao!$A$2:$A$500),WORKDAY(A124,E124,Dias_Sem_Compensacao!$A$2:$A$500)),"")</f>
        <v>46296</v>
      </c>
      <c r="H124" s="25">
        <v>0</v>
      </c>
      <c r="I124" s="28">
        <v>46295</v>
      </c>
      <c r="K124" t="s">
        <v>444</v>
      </c>
    </row>
    <row r="125" spans="1:11" hidden="1">
      <c r="A125" s="28">
        <v>46295</v>
      </c>
      <c r="B125" t="s">
        <v>185</v>
      </c>
      <c r="C125" t="s">
        <v>202</v>
      </c>
      <c r="D125" t="s">
        <v>217</v>
      </c>
      <c r="E125">
        <f>IF(LEFT(D125,6)="CLIENT",IFERROR(VLOOKUP(C125,Config_Carteiras!$A:$B,2,FALSE),1),"")</f>
        <v>1</v>
      </c>
      <c r="F125" s="25">
        <v>2084.15</v>
      </c>
      <c r="G125" s="28">
        <f>IF(LEFT(D125,6)="CLIENT",IF(E125=0,WORKDAY(A125-1,1,Dias_Sem_Compensacao!$A$2:$A$500),WORKDAY(A125,E125,Dias_Sem_Compensacao!$A$2:$A$500)),"")</f>
        <v>46296</v>
      </c>
      <c r="H125" s="25">
        <v>0</v>
      </c>
      <c r="I125" s="28">
        <v>46295</v>
      </c>
      <c r="J125" t="s">
        <v>445</v>
      </c>
      <c r="K125" t="s">
        <v>446</v>
      </c>
    </row>
    <row r="126" spans="1:11" hidden="1">
      <c r="A126" s="28">
        <v>46295</v>
      </c>
      <c r="B126" t="s">
        <v>185</v>
      </c>
      <c r="C126" t="s">
        <v>202</v>
      </c>
      <c r="D126" t="s">
        <v>217</v>
      </c>
      <c r="E126">
        <f>IF(LEFT(D126,6)="CLIENT",IFERROR(VLOOKUP(C126,Config_Carteiras!$A:$B,2,FALSE),1),"")</f>
        <v>1</v>
      </c>
      <c r="F126" s="25">
        <v>900</v>
      </c>
      <c r="G126" s="28">
        <f>IF(LEFT(D126,6)="CLIENT",IF(E126=0,WORKDAY(A126-1,1,Dias_Sem_Compensacao!$A$2:$A$500),WORKDAY(A126,E126,Dias_Sem_Compensacao!$A$2:$A$500)),"")</f>
        <v>46296</v>
      </c>
      <c r="H126" s="25">
        <v>0</v>
      </c>
      <c r="I126" s="28">
        <v>46295</v>
      </c>
      <c r="J126" t="s">
        <v>21</v>
      </c>
      <c r="K126" t="s">
        <v>447</v>
      </c>
    </row>
    <row r="127" spans="1:11" hidden="1">
      <c r="A127" s="28">
        <v>46295</v>
      </c>
      <c r="B127" t="s">
        <v>185</v>
      </c>
      <c r="C127" t="s">
        <v>202</v>
      </c>
      <c r="D127" t="s">
        <v>217</v>
      </c>
      <c r="E127">
        <f>IF(LEFT(D127,6)="CLIENT",IFERROR(VLOOKUP(C127,Config_Carteiras!$A:$B,2,FALSE),1),"")</f>
        <v>1</v>
      </c>
      <c r="F127" s="25">
        <v>1972</v>
      </c>
      <c r="G127" s="28">
        <f>IF(LEFT(D127,6)="CLIENT",IF(E127=0,WORKDAY(A127-1,1,Dias_Sem_Compensacao!$A$2:$A$500),WORKDAY(A127,E127,Dias_Sem_Compensacao!$A$2:$A$500)),"")</f>
        <v>46296</v>
      </c>
      <c r="H127" s="25">
        <v>0</v>
      </c>
      <c r="I127" s="28">
        <v>46295</v>
      </c>
      <c r="J127" t="s">
        <v>448</v>
      </c>
      <c r="K127" t="s">
        <v>449</v>
      </c>
    </row>
    <row r="128" spans="1:11" hidden="1">
      <c r="A128" s="28">
        <v>46295</v>
      </c>
      <c r="B128" t="s">
        <v>185</v>
      </c>
      <c r="C128" t="s">
        <v>202</v>
      </c>
      <c r="D128" t="s">
        <v>217</v>
      </c>
      <c r="E128">
        <f>IF(LEFT(D128,6)="CLIENT",IFERROR(VLOOKUP(C128,Config_Carteiras!$A:$B,2,FALSE),1),"")</f>
        <v>1</v>
      </c>
      <c r="F128" s="25">
        <v>404</v>
      </c>
      <c r="G128" s="28">
        <f>IF(LEFT(D128,6)="CLIENT",IF(E128=0,WORKDAY(A128-1,1,Dias_Sem_Compensacao!$A$2:$A$500),WORKDAY(A128,E128,Dias_Sem_Compensacao!$A$2:$A$500)),"")</f>
        <v>46296</v>
      </c>
      <c r="H128" s="25">
        <v>0</v>
      </c>
      <c r="I128" s="28">
        <v>46295</v>
      </c>
      <c r="J128" t="s">
        <v>450</v>
      </c>
      <c r="K128" t="s">
        <v>451</v>
      </c>
    </row>
    <row r="129" spans="1:11" hidden="1">
      <c r="A129" s="28">
        <v>46295</v>
      </c>
      <c r="B129" t="s">
        <v>185</v>
      </c>
      <c r="C129" t="s">
        <v>202</v>
      </c>
      <c r="D129" t="s">
        <v>217</v>
      </c>
      <c r="E129">
        <f>IF(LEFT(D129,6)="CLIENT",IFERROR(VLOOKUP(C129,Config_Carteiras!$A:$B,2,FALSE),1),"")</f>
        <v>1</v>
      </c>
      <c r="F129" s="25">
        <v>465.5</v>
      </c>
      <c r="G129" s="28">
        <f>IF(LEFT(D129,6)="CLIENT",IF(E129=0,WORKDAY(A129-1,1,Dias_Sem_Compensacao!$A$2:$A$500),WORKDAY(A129,E129,Dias_Sem_Compensacao!$A$2:$A$500)),"")</f>
        <v>46296</v>
      </c>
      <c r="H129" s="25">
        <v>0</v>
      </c>
      <c r="I129" s="28">
        <v>46295</v>
      </c>
      <c r="J129" t="s">
        <v>452</v>
      </c>
      <c r="K129" t="s">
        <v>453</v>
      </c>
    </row>
    <row r="130" spans="1:11" hidden="1">
      <c r="A130" s="28">
        <v>46295</v>
      </c>
      <c r="B130" t="s">
        <v>185</v>
      </c>
      <c r="C130" t="s">
        <v>202</v>
      </c>
      <c r="D130" t="s">
        <v>217</v>
      </c>
      <c r="E130">
        <f>IF(LEFT(D130,6)="CLIENT",IFERROR(VLOOKUP(C130,Config_Carteiras!$A:$B,2,FALSE),1),"")</f>
        <v>1</v>
      </c>
      <c r="F130" s="25">
        <v>965</v>
      </c>
      <c r="G130" s="28">
        <f>IF(LEFT(D130,6)="CLIENT",IF(E130=0,WORKDAY(A130-1,1,Dias_Sem_Compensacao!$A$2:$A$500),WORKDAY(A130,E130,Dias_Sem_Compensacao!$A$2:$A$500)),"")</f>
        <v>46296</v>
      </c>
      <c r="H130" s="25">
        <v>0</v>
      </c>
      <c r="I130" s="28">
        <v>46295</v>
      </c>
      <c r="J130" t="s">
        <v>454</v>
      </c>
      <c r="K130" t="s">
        <v>455</v>
      </c>
    </row>
    <row r="131" spans="1:11" hidden="1">
      <c r="A131" s="28">
        <v>46295</v>
      </c>
      <c r="B131" t="s">
        <v>185</v>
      </c>
      <c r="C131" t="s">
        <v>202</v>
      </c>
      <c r="D131" t="s">
        <v>217</v>
      </c>
      <c r="E131">
        <f>IF(LEFT(D131,6)="CLIENT",IFERROR(VLOOKUP(C131,Config_Carteiras!$A:$B,2,FALSE),1),"")</f>
        <v>1</v>
      </c>
      <c r="F131" s="25">
        <v>3153</v>
      </c>
      <c r="G131" s="28">
        <f>IF(LEFT(D131,6)="CLIENT",IF(E131=0,WORKDAY(A131-1,1,Dias_Sem_Compensacao!$A$2:$A$500),WORKDAY(A131,E131,Dias_Sem_Compensacao!$A$2:$A$500)),"")</f>
        <v>46296</v>
      </c>
      <c r="H131" s="25">
        <v>0</v>
      </c>
      <c r="I131" s="28">
        <v>46295</v>
      </c>
      <c r="J131" t="s">
        <v>98</v>
      </c>
      <c r="K131" t="s">
        <v>456</v>
      </c>
    </row>
    <row r="132" spans="1:11" hidden="1">
      <c r="A132" s="28">
        <v>46295</v>
      </c>
      <c r="B132" t="s">
        <v>185</v>
      </c>
      <c r="C132" t="s">
        <v>202</v>
      </c>
      <c r="D132" t="s">
        <v>217</v>
      </c>
      <c r="E132">
        <f>IF(LEFT(D132,6)="CLIENT",IFERROR(VLOOKUP(C132,Config_Carteiras!$A:$B,2,FALSE),1),"")</f>
        <v>1</v>
      </c>
      <c r="F132" s="25">
        <v>970</v>
      </c>
      <c r="G132" s="28">
        <f>IF(LEFT(D132,6)="CLIENT",IF(E132=0,WORKDAY(A132-1,1,Dias_Sem_Compensacao!$A$2:$A$500),WORKDAY(A132,E132,Dias_Sem_Compensacao!$A$2:$A$500)),"")</f>
        <v>46296</v>
      </c>
      <c r="H132" s="25">
        <v>0</v>
      </c>
      <c r="I132" s="28">
        <v>46295</v>
      </c>
      <c r="K132" t="s">
        <v>457</v>
      </c>
    </row>
    <row r="133" spans="1:11" hidden="1">
      <c r="A133" s="28">
        <v>46295</v>
      </c>
      <c r="B133" t="s">
        <v>185</v>
      </c>
      <c r="C133" t="s">
        <v>202</v>
      </c>
      <c r="D133" t="s">
        <v>217</v>
      </c>
      <c r="E133">
        <f>IF(LEFT(D133,6)="CLIENT",IFERROR(VLOOKUP(C133,Config_Carteiras!$A:$B,2,FALSE),1),"")</f>
        <v>1</v>
      </c>
      <c r="F133" s="25">
        <v>1529</v>
      </c>
      <c r="G133" s="28">
        <f>IF(LEFT(D133,6)="CLIENT",IF(E133=0,WORKDAY(A133-1,1,Dias_Sem_Compensacao!$A$2:$A$500),WORKDAY(A133,E133,Dias_Sem_Compensacao!$A$2:$A$500)),"")</f>
        <v>46296</v>
      </c>
      <c r="H133" s="25">
        <v>0</v>
      </c>
      <c r="I133" s="28">
        <v>46295</v>
      </c>
      <c r="K133" t="s">
        <v>458</v>
      </c>
    </row>
    <row r="134" spans="1:11" hidden="1">
      <c r="A134" s="28">
        <v>46295</v>
      </c>
      <c r="B134" t="s">
        <v>185</v>
      </c>
      <c r="C134" t="s">
        <v>202</v>
      </c>
      <c r="D134" t="s">
        <v>217</v>
      </c>
      <c r="E134">
        <f>IF(LEFT(D134,6)="CLIENT",IFERROR(VLOOKUP(C134,Config_Carteiras!$A:$B,2,FALSE),1),"")</f>
        <v>1</v>
      </c>
      <c r="F134" s="25">
        <v>880</v>
      </c>
      <c r="G134" s="28">
        <f>IF(LEFT(D134,6)="CLIENT",IF(E134=0,WORKDAY(A134-1,1,Dias_Sem_Compensacao!$A$2:$A$500),WORKDAY(A134,E134,Dias_Sem_Compensacao!$A$2:$A$500)),"")</f>
        <v>46296</v>
      </c>
      <c r="H134" s="25">
        <v>0</v>
      </c>
      <c r="I134" s="28">
        <v>46295</v>
      </c>
      <c r="K134" t="s">
        <v>459</v>
      </c>
    </row>
    <row r="135" spans="1:11" hidden="1">
      <c r="A135" s="28">
        <v>46295</v>
      </c>
      <c r="B135" t="s">
        <v>185</v>
      </c>
      <c r="C135" t="s">
        <v>202</v>
      </c>
      <c r="D135" t="s">
        <v>217</v>
      </c>
      <c r="E135">
        <f>IF(LEFT(D135,6)="CLIENT",IFERROR(VLOOKUP(C135,Config_Carteiras!$A:$B,2,FALSE),1),"")</f>
        <v>1</v>
      </c>
      <c r="F135" s="25">
        <v>1491</v>
      </c>
      <c r="G135" s="28">
        <f>IF(LEFT(D135,6)="CLIENT",IF(E135=0,WORKDAY(A135-1,1,Dias_Sem_Compensacao!$A$2:$A$500),WORKDAY(A135,E135,Dias_Sem_Compensacao!$A$2:$A$500)),"")</f>
        <v>46296</v>
      </c>
      <c r="H135" s="25">
        <v>0</v>
      </c>
      <c r="I135" s="28">
        <v>46295</v>
      </c>
      <c r="J135" t="s">
        <v>460</v>
      </c>
      <c r="K135" t="s">
        <v>461</v>
      </c>
    </row>
    <row r="136" spans="1:11" hidden="1">
      <c r="A136" s="28">
        <v>46295</v>
      </c>
      <c r="B136" t="s">
        <v>185</v>
      </c>
      <c r="C136" t="s">
        <v>202</v>
      </c>
      <c r="D136" t="s">
        <v>217</v>
      </c>
      <c r="E136">
        <f>IF(LEFT(D136,6)="CLIENT",IFERROR(VLOOKUP(C136,Config_Carteiras!$A:$B,2,FALSE),1),"")</f>
        <v>1</v>
      </c>
      <c r="F136" s="25">
        <v>1459</v>
      </c>
      <c r="G136" s="28">
        <f>IF(LEFT(D136,6)="CLIENT",IF(E136=0,WORKDAY(A136-1,1,Dias_Sem_Compensacao!$A$2:$A$500),WORKDAY(A136,E136,Dias_Sem_Compensacao!$A$2:$A$500)),"")</f>
        <v>46296</v>
      </c>
      <c r="H136" s="25">
        <v>0</v>
      </c>
      <c r="I136" s="28">
        <v>46295</v>
      </c>
      <c r="J136" t="s">
        <v>101</v>
      </c>
      <c r="K136" t="s">
        <v>462</v>
      </c>
    </row>
    <row r="137" spans="1:11" hidden="1">
      <c r="A137" s="28">
        <v>46295</v>
      </c>
      <c r="B137" t="s">
        <v>185</v>
      </c>
      <c r="C137" t="s">
        <v>202</v>
      </c>
      <c r="D137" t="s">
        <v>217</v>
      </c>
      <c r="E137">
        <f>IF(LEFT(D137,6)="CLIENT",IFERROR(VLOOKUP(C137,Config_Carteiras!$A:$B,2,FALSE),1),"")</f>
        <v>1</v>
      </c>
      <c r="F137" s="25">
        <v>1257</v>
      </c>
      <c r="G137" s="28">
        <f>IF(LEFT(D137,6)="CLIENT",IF(E137=0,WORKDAY(A137-1,1,Dias_Sem_Compensacao!$A$2:$A$500),WORKDAY(A137,E137,Dias_Sem_Compensacao!$A$2:$A$500)),"")</f>
        <v>46296</v>
      </c>
      <c r="H137" s="25">
        <v>0</v>
      </c>
      <c r="I137" s="28">
        <v>46295</v>
      </c>
      <c r="J137" t="s">
        <v>463</v>
      </c>
      <c r="K137" t="s">
        <v>464</v>
      </c>
    </row>
    <row r="138" spans="1:11" hidden="1">
      <c r="A138" s="28">
        <v>46295</v>
      </c>
      <c r="B138" t="s">
        <v>185</v>
      </c>
      <c r="C138" t="s">
        <v>202</v>
      </c>
      <c r="D138" t="s">
        <v>217</v>
      </c>
      <c r="E138">
        <f>IF(LEFT(D138,6)="CLIENT",IFERROR(VLOOKUP(C138,Config_Carteiras!$A:$B,2,FALSE),1),"")</f>
        <v>1</v>
      </c>
      <c r="F138" s="25">
        <v>405.6</v>
      </c>
      <c r="G138" s="28">
        <f>IF(LEFT(D138,6)="CLIENT",IF(E138=0,WORKDAY(A138-1,1,Dias_Sem_Compensacao!$A$2:$A$500),WORKDAY(A138,E138,Dias_Sem_Compensacao!$A$2:$A$500)),"")</f>
        <v>46296</v>
      </c>
      <c r="H138" s="25">
        <v>0</v>
      </c>
      <c r="I138" s="28">
        <v>46295</v>
      </c>
      <c r="J138" t="s">
        <v>465</v>
      </c>
      <c r="K138" t="s">
        <v>466</v>
      </c>
    </row>
    <row r="139" spans="1:11" hidden="1">
      <c r="A139" s="28">
        <v>46295</v>
      </c>
      <c r="B139" t="s">
        <v>185</v>
      </c>
      <c r="C139" t="s">
        <v>202</v>
      </c>
      <c r="D139" t="s">
        <v>217</v>
      </c>
      <c r="E139">
        <f>IF(LEFT(D139,6)="CLIENT",IFERROR(VLOOKUP(C139,Config_Carteiras!$A:$B,2,FALSE),1),"")</f>
        <v>1</v>
      </c>
      <c r="F139" s="25">
        <v>656</v>
      </c>
      <c r="G139" s="28">
        <f>IF(LEFT(D139,6)="CLIENT",IF(E139=0,WORKDAY(A139-1,1,Dias_Sem_Compensacao!$A$2:$A$500),WORKDAY(A139,E139,Dias_Sem_Compensacao!$A$2:$A$500)),"")</f>
        <v>46296</v>
      </c>
      <c r="H139" s="25">
        <v>0</v>
      </c>
      <c r="I139" s="28">
        <v>46295</v>
      </c>
      <c r="J139" t="s">
        <v>227</v>
      </c>
      <c r="K139" t="s">
        <v>228</v>
      </c>
    </row>
    <row r="140" spans="1:11" hidden="1">
      <c r="A140" s="28">
        <v>46295</v>
      </c>
      <c r="B140" t="s">
        <v>185</v>
      </c>
      <c r="C140" t="s">
        <v>202</v>
      </c>
      <c r="D140" t="s">
        <v>217</v>
      </c>
      <c r="E140">
        <f>IF(LEFT(D140,6)="CLIENT",IFERROR(VLOOKUP(C140,Config_Carteiras!$A:$B,2,FALSE),1),"")</f>
        <v>1</v>
      </c>
      <c r="F140" s="25">
        <v>364.96</v>
      </c>
      <c r="G140" s="28">
        <f>IF(LEFT(D140,6)="CLIENT",IF(E140=0,WORKDAY(A140-1,1,Dias_Sem_Compensacao!$A$2:$A$500),WORKDAY(A140,E140,Dias_Sem_Compensacao!$A$2:$A$500)),"")</f>
        <v>46296</v>
      </c>
      <c r="H140" s="25">
        <v>0</v>
      </c>
      <c r="I140" s="28">
        <v>46295</v>
      </c>
      <c r="J140" t="s">
        <v>229</v>
      </c>
      <c r="K140" t="s">
        <v>231</v>
      </c>
    </row>
    <row r="141" spans="1:11" hidden="1">
      <c r="A141" s="28">
        <v>46295</v>
      </c>
      <c r="B141" t="s">
        <v>185</v>
      </c>
      <c r="C141" t="s">
        <v>202</v>
      </c>
      <c r="D141" t="s">
        <v>217</v>
      </c>
      <c r="E141">
        <f>IF(LEFT(D141,6)="CLIENT",IFERROR(VLOOKUP(C141,Config_Carteiras!$A:$B,2,FALSE),1),"")</f>
        <v>1</v>
      </c>
      <c r="F141" s="25">
        <v>840</v>
      </c>
      <c r="G141" s="28">
        <f>IF(LEFT(D141,6)="CLIENT",IF(E141=0,WORKDAY(A141-1,1,Dias_Sem_Compensacao!$A$2:$A$500),WORKDAY(A141,E141,Dias_Sem_Compensacao!$A$2:$A$500)),"")</f>
        <v>46296</v>
      </c>
      <c r="H141" s="25">
        <v>0</v>
      </c>
      <c r="I141" s="28">
        <v>46295</v>
      </c>
      <c r="J141" t="s">
        <v>467</v>
      </c>
      <c r="K141" t="s">
        <v>468</v>
      </c>
    </row>
    <row r="142" spans="1:11" hidden="1">
      <c r="A142" s="28">
        <v>46295</v>
      </c>
      <c r="B142" t="s">
        <v>185</v>
      </c>
      <c r="C142" t="s">
        <v>202</v>
      </c>
      <c r="D142" t="s">
        <v>217</v>
      </c>
      <c r="E142">
        <f>IF(LEFT(D142,6)="CLIENT",IFERROR(VLOOKUP(C142,Config_Carteiras!$A:$B,2,FALSE),1),"")</f>
        <v>1</v>
      </c>
      <c r="F142" s="25">
        <v>967</v>
      </c>
      <c r="G142" s="28">
        <f>IF(LEFT(D142,6)="CLIENT",IF(E142=0,WORKDAY(A142-1,1,Dias_Sem_Compensacao!$A$2:$A$500),WORKDAY(A142,E142,Dias_Sem_Compensacao!$A$2:$A$500)),"")</f>
        <v>46296</v>
      </c>
      <c r="H142" s="25">
        <v>0</v>
      </c>
      <c r="I142" s="28">
        <v>46295</v>
      </c>
      <c r="J142" t="s">
        <v>469</v>
      </c>
      <c r="K142" t="s">
        <v>470</v>
      </c>
    </row>
    <row r="143" spans="1:11" hidden="1">
      <c r="A143" s="28">
        <v>46295</v>
      </c>
      <c r="B143" t="s">
        <v>185</v>
      </c>
      <c r="C143" t="s">
        <v>202</v>
      </c>
      <c r="D143" t="s">
        <v>217</v>
      </c>
      <c r="E143">
        <f>IF(LEFT(D143,6)="CLIENT",IFERROR(VLOOKUP(C143,Config_Carteiras!$A:$B,2,FALSE),1),"")</f>
        <v>1</v>
      </c>
      <c r="F143" s="25">
        <v>992.5</v>
      </c>
      <c r="G143" s="28">
        <f>IF(LEFT(D143,6)="CLIENT",IF(E143=0,WORKDAY(A143-1,1,Dias_Sem_Compensacao!$A$2:$A$500),WORKDAY(A143,E143,Dias_Sem_Compensacao!$A$2:$A$500)),"")</f>
        <v>46296</v>
      </c>
      <c r="H143" s="25">
        <v>0</v>
      </c>
      <c r="I143" s="28">
        <v>46295</v>
      </c>
      <c r="J143" t="s">
        <v>471</v>
      </c>
      <c r="K143" t="s">
        <v>472</v>
      </c>
    </row>
    <row r="144" spans="1:11" hidden="1">
      <c r="A144" s="28">
        <v>46295</v>
      </c>
      <c r="B144" t="s">
        <v>185</v>
      </c>
      <c r="C144" t="s">
        <v>202</v>
      </c>
      <c r="D144" t="s">
        <v>217</v>
      </c>
      <c r="E144">
        <f>IF(LEFT(D144,6)="CLIENT",IFERROR(VLOOKUP(C144,Config_Carteiras!$A:$B,2,FALSE),1),"")</f>
        <v>1</v>
      </c>
      <c r="F144" s="25">
        <v>466.15</v>
      </c>
      <c r="G144" s="28">
        <f>IF(LEFT(D144,6)="CLIENT",IF(E144=0,WORKDAY(A144-1,1,Dias_Sem_Compensacao!$A$2:$A$500),WORKDAY(A144,E144,Dias_Sem_Compensacao!$A$2:$A$500)),"")</f>
        <v>46296</v>
      </c>
      <c r="H144" s="25">
        <v>0</v>
      </c>
      <c r="I144" s="28">
        <v>46295</v>
      </c>
      <c r="J144" t="s">
        <v>473</v>
      </c>
      <c r="K144" t="s">
        <v>474</v>
      </c>
    </row>
    <row r="145" spans="1:11" hidden="1">
      <c r="A145" s="28">
        <v>46295</v>
      </c>
      <c r="B145" t="s">
        <v>185</v>
      </c>
      <c r="C145" t="s">
        <v>202</v>
      </c>
      <c r="D145" t="s">
        <v>217</v>
      </c>
      <c r="E145">
        <f>IF(LEFT(D145,6)="CLIENT",IFERROR(VLOOKUP(C145,Config_Carteiras!$A:$B,2,FALSE),1),"")</f>
        <v>1</v>
      </c>
      <c r="F145" s="25">
        <v>659.74</v>
      </c>
      <c r="G145" s="28">
        <f>IF(LEFT(D145,6)="CLIENT",IF(E145=0,WORKDAY(A145-1,1,Dias_Sem_Compensacao!$A$2:$A$500),WORKDAY(A145,E145,Dias_Sem_Compensacao!$A$2:$A$500)),"")</f>
        <v>46296</v>
      </c>
      <c r="H145" s="25">
        <v>0</v>
      </c>
      <c r="I145" s="28">
        <v>46295</v>
      </c>
      <c r="J145" t="s">
        <v>475</v>
      </c>
      <c r="K145" t="s">
        <v>476</v>
      </c>
    </row>
    <row r="146" spans="1:11" hidden="1">
      <c r="A146" s="28">
        <v>46296</v>
      </c>
      <c r="B146" t="s">
        <v>185</v>
      </c>
      <c r="C146" t="s">
        <v>202</v>
      </c>
      <c r="D146" t="s">
        <v>217</v>
      </c>
      <c r="E146">
        <f>IF(LEFT(D146,6)="CLIENT",IFERROR(VLOOKUP(C146,Config_Carteiras!$A:$B,2,FALSE),1),"")</f>
        <v>1</v>
      </c>
      <c r="F146" s="25">
        <v>401</v>
      </c>
      <c r="G146" s="28">
        <f>IF(LEFT(D146,6)="CLIENT",IF(E146=0,WORKDAY(A146-1,1,Dias_Sem_Compensacao!$A$2:$A$500),WORKDAY(A146,E146,Dias_Sem_Compensacao!$A$2:$A$500)),"")</f>
        <v>46297</v>
      </c>
      <c r="H146" s="25">
        <v>0</v>
      </c>
      <c r="I146" s="28">
        <v>46296</v>
      </c>
      <c r="J146" t="s">
        <v>477</v>
      </c>
      <c r="K146" t="s">
        <v>478</v>
      </c>
    </row>
    <row r="147" spans="1:11" hidden="1">
      <c r="A147" s="28">
        <v>46296</v>
      </c>
      <c r="B147" t="s">
        <v>185</v>
      </c>
      <c r="C147" t="s">
        <v>202</v>
      </c>
      <c r="D147" t="s">
        <v>217</v>
      </c>
      <c r="E147">
        <f>IF(LEFT(D147,6)="CLIENT",IFERROR(VLOOKUP(C147,Config_Carteiras!$A:$B,2,FALSE),1),"")</f>
        <v>1</v>
      </c>
      <c r="F147" s="25">
        <v>4699.53</v>
      </c>
      <c r="G147" s="28">
        <f>IF(LEFT(D147,6)="CLIENT",IF(E147=0,WORKDAY(A147-1,1,Dias_Sem_Compensacao!$A$2:$A$500),WORKDAY(A147,E147,Dias_Sem_Compensacao!$A$2:$A$500)),"")</f>
        <v>46297</v>
      </c>
      <c r="H147" s="25">
        <v>0</v>
      </c>
      <c r="I147" s="28">
        <v>46296</v>
      </c>
      <c r="J147" t="s">
        <v>479</v>
      </c>
      <c r="K147" t="s">
        <v>480</v>
      </c>
    </row>
    <row r="148" spans="1:11" hidden="1">
      <c r="A148" s="28">
        <v>46296</v>
      </c>
      <c r="B148" t="s">
        <v>185</v>
      </c>
      <c r="C148" t="s">
        <v>202</v>
      </c>
      <c r="D148" t="s">
        <v>217</v>
      </c>
      <c r="E148">
        <f>IF(LEFT(D148,6)="CLIENT",IFERROR(VLOOKUP(C148,Config_Carteiras!$A:$B,2,FALSE),1),"")</f>
        <v>1</v>
      </c>
      <c r="F148" s="25">
        <v>645.87</v>
      </c>
      <c r="G148" s="28">
        <f>IF(LEFT(D148,6)="CLIENT",IF(E148=0,WORKDAY(A148-1,1,Dias_Sem_Compensacao!$A$2:$A$500),WORKDAY(A148,E148,Dias_Sem_Compensacao!$A$2:$A$500)),"")</f>
        <v>46297</v>
      </c>
      <c r="H148" s="25">
        <v>0</v>
      </c>
      <c r="I148" s="28">
        <v>46296</v>
      </c>
      <c r="J148" t="s">
        <v>481</v>
      </c>
      <c r="K148" t="s">
        <v>482</v>
      </c>
    </row>
    <row r="149" spans="1:11" hidden="1">
      <c r="A149" s="28">
        <v>46296</v>
      </c>
      <c r="B149" t="s">
        <v>185</v>
      </c>
      <c r="C149" t="s">
        <v>202</v>
      </c>
      <c r="D149" t="s">
        <v>217</v>
      </c>
      <c r="E149">
        <f>IF(LEFT(D149,6)="CLIENT",IFERROR(VLOOKUP(C149,Config_Carteiras!$A:$B,2,FALSE),1),"")</f>
        <v>1</v>
      </c>
      <c r="F149" s="25">
        <v>1345</v>
      </c>
      <c r="G149" s="28">
        <f>IF(LEFT(D149,6)="CLIENT",IF(E149=0,WORKDAY(A149-1,1,Dias_Sem_Compensacao!$A$2:$A$500),WORKDAY(A149,E149,Dias_Sem_Compensacao!$A$2:$A$500)),"")</f>
        <v>46297</v>
      </c>
      <c r="H149" s="25">
        <v>0</v>
      </c>
      <c r="I149" s="28">
        <v>46296</v>
      </c>
      <c r="J149" t="s">
        <v>483</v>
      </c>
      <c r="K149" t="s">
        <v>484</v>
      </c>
    </row>
    <row r="150" spans="1:11" hidden="1">
      <c r="A150" s="28">
        <v>46296</v>
      </c>
      <c r="B150" t="s">
        <v>185</v>
      </c>
      <c r="C150" t="s">
        <v>202</v>
      </c>
      <c r="D150" t="s">
        <v>217</v>
      </c>
      <c r="E150">
        <f>IF(LEFT(D150,6)="CLIENT",IFERROR(VLOOKUP(C150,Config_Carteiras!$A:$B,2,FALSE),1),"")</f>
        <v>1</v>
      </c>
      <c r="F150" s="25">
        <v>400</v>
      </c>
      <c r="G150" s="28">
        <f>IF(LEFT(D150,6)="CLIENT",IF(E150=0,WORKDAY(A150-1,1,Dias_Sem_Compensacao!$A$2:$A$500),WORKDAY(A150,E150,Dias_Sem_Compensacao!$A$2:$A$500)),"")</f>
        <v>46297</v>
      </c>
      <c r="H150" s="25">
        <v>0</v>
      </c>
      <c r="I150" s="28">
        <v>46296</v>
      </c>
      <c r="J150" t="s">
        <v>485</v>
      </c>
      <c r="K150" t="s">
        <v>486</v>
      </c>
    </row>
    <row r="151" spans="1:11" hidden="1">
      <c r="A151" s="28">
        <v>46296</v>
      </c>
      <c r="B151" t="s">
        <v>185</v>
      </c>
      <c r="C151" t="s">
        <v>202</v>
      </c>
      <c r="D151" t="s">
        <v>217</v>
      </c>
      <c r="E151">
        <f>IF(LEFT(D151,6)="CLIENT",IFERROR(VLOOKUP(C151,Config_Carteiras!$A:$B,2,FALSE),1),"")</f>
        <v>1</v>
      </c>
      <c r="F151" s="25">
        <v>418</v>
      </c>
      <c r="G151" s="28">
        <f>IF(LEFT(D151,6)="CLIENT",IF(E151=0,WORKDAY(A151-1,1,Dias_Sem_Compensacao!$A$2:$A$500),WORKDAY(A151,E151,Dias_Sem_Compensacao!$A$2:$A$500)),"")</f>
        <v>46297</v>
      </c>
      <c r="H151" s="25">
        <v>0</v>
      </c>
      <c r="I151" s="28">
        <v>46296</v>
      </c>
      <c r="J151" t="s">
        <v>487</v>
      </c>
      <c r="K151" t="s">
        <v>488</v>
      </c>
    </row>
    <row r="152" spans="1:11" hidden="1">
      <c r="A152" s="28">
        <v>46296</v>
      </c>
      <c r="B152" t="s">
        <v>185</v>
      </c>
      <c r="C152" t="s">
        <v>202</v>
      </c>
      <c r="D152" t="s">
        <v>217</v>
      </c>
      <c r="E152">
        <f>IF(LEFT(D152,6)="CLIENT",IFERROR(VLOOKUP(C152,Config_Carteiras!$A:$B,2,FALSE),1),"")</f>
        <v>1</v>
      </c>
      <c r="F152" s="25">
        <v>2511</v>
      </c>
      <c r="G152" s="28">
        <f>IF(LEFT(D152,6)="CLIENT",IF(E152=0,WORKDAY(A152-1,1,Dias_Sem_Compensacao!$A$2:$A$500),WORKDAY(A152,E152,Dias_Sem_Compensacao!$A$2:$A$500)),"")</f>
        <v>46297</v>
      </c>
      <c r="H152" s="25">
        <v>0</v>
      </c>
      <c r="I152" s="28">
        <v>46296</v>
      </c>
      <c r="J152" t="s">
        <v>489</v>
      </c>
      <c r="K152" t="s">
        <v>490</v>
      </c>
    </row>
    <row r="153" spans="1:11" hidden="1">
      <c r="A153" s="28">
        <v>46296</v>
      </c>
      <c r="B153" t="s">
        <v>185</v>
      </c>
      <c r="C153" t="s">
        <v>202</v>
      </c>
      <c r="D153" t="s">
        <v>217</v>
      </c>
      <c r="E153">
        <f>IF(LEFT(D153,6)="CLIENT",IFERROR(VLOOKUP(C153,Config_Carteiras!$A:$B,2,FALSE),1),"")</f>
        <v>1</v>
      </c>
      <c r="F153" s="25">
        <v>5008</v>
      </c>
      <c r="G153" s="28">
        <f>IF(LEFT(D153,6)="CLIENT",IF(E153=0,WORKDAY(A153-1,1,Dias_Sem_Compensacao!$A$2:$A$500),WORKDAY(A153,E153,Dias_Sem_Compensacao!$A$2:$A$500)),"")</f>
        <v>46297</v>
      </c>
      <c r="H153" s="25">
        <v>0</v>
      </c>
      <c r="I153" s="28">
        <v>46296</v>
      </c>
      <c r="J153" t="s">
        <v>491</v>
      </c>
      <c r="K153" t="s">
        <v>492</v>
      </c>
    </row>
    <row r="154" spans="1:11" hidden="1">
      <c r="A154" s="28">
        <v>46296</v>
      </c>
      <c r="B154" t="s">
        <v>185</v>
      </c>
      <c r="C154" t="s">
        <v>202</v>
      </c>
      <c r="D154" t="s">
        <v>217</v>
      </c>
      <c r="E154">
        <f>IF(LEFT(D154,6)="CLIENT",IFERROR(VLOOKUP(C154,Config_Carteiras!$A:$B,2,FALSE),1),"")</f>
        <v>1</v>
      </c>
      <c r="F154" s="25">
        <v>660</v>
      </c>
      <c r="G154" s="28">
        <f>IF(LEFT(D154,6)="CLIENT",IF(E154=0,WORKDAY(A154-1,1,Dias_Sem_Compensacao!$A$2:$A$500),WORKDAY(A154,E154,Dias_Sem_Compensacao!$A$2:$A$500)),"")</f>
        <v>46297</v>
      </c>
      <c r="H154" s="25">
        <v>0</v>
      </c>
      <c r="I154" s="28">
        <v>46296</v>
      </c>
      <c r="J154" t="s">
        <v>234</v>
      </c>
      <c r="K154" t="s">
        <v>235</v>
      </c>
    </row>
    <row r="155" spans="1:11" hidden="1">
      <c r="A155" s="28">
        <v>46296</v>
      </c>
      <c r="B155" t="s">
        <v>185</v>
      </c>
      <c r="C155" t="s">
        <v>202</v>
      </c>
      <c r="D155" t="s">
        <v>217</v>
      </c>
      <c r="E155">
        <f>IF(LEFT(D155,6)="CLIENT",IFERROR(VLOOKUP(C155,Config_Carteiras!$A:$B,2,FALSE),1),"")</f>
        <v>1</v>
      </c>
      <c r="F155" s="25">
        <v>3150</v>
      </c>
      <c r="G155" s="28">
        <f>IF(LEFT(D155,6)="CLIENT",IF(E155=0,WORKDAY(A155-1,1,Dias_Sem_Compensacao!$A$2:$A$500),WORKDAY(A155,E155,Dias_Sem_Compensacao!$A$2:$A$500)),"")</f>
        <v>46297</v>
      </c>
      <c r="H155" s="25">
        <v>0</v>
      </c>
      <c r="I155" s="28">
        <v>46296</v>
      </c>
      <c r="J155" t="s">
        <v>493</v>
      </c>
      <c r="K155" t="s">
        <v>494</v>
      </c>
    </row>
    <row r="156" spans="1:11" hidden="1">
      <c r="A156" s="28">
        <v>46296</v>
      </c>
      <c r="B156" t="s">
        <v>185</v>
      </c>
      <c r="C156" t="s">
        <v>202</v>
      </c>
      <c r="D156" t="s">
        <v>217</v>
      </c>
      <c r="E156">
        <f>IF(LEFT(D156,6)="CLIENT",IFERROR(VLOOKUP(C156,Config_Carteiras!$A:$B,2,FALSE),1),"")</f>
        <v>1</v>
      </c>
      <c r="F156" s="25">
        <v>1179.5999999999999</v>
      </c>
      <c r="G156" s="28">
        <f>IF(LEFT(D156,6)="CLIENT",IF(E156=0,WORKDAY(A156-1,1,Dias_Sem_Compensacao!$A$2:$A$500),WORKDAY(A156,E156,Dias_Sem_Compensacao!$A$2:$A$500)),"")</f>
        <v>46297</v>
      </c>
      <c r="H156" s="25">
        <v>0</v>
      </c>
      <c r="I156" s="28">
        <v>46296</v>
      </c>
      <c r="J156" t="s">
        <v>495</v>
      </c>
      <c r="K156" t="s">
        <v>496</v>
      </c>
    </row>
    <row r="157" spans="1:11" hidden="1">
      <c r="A157" s="28">
        <v>46296</v>
      </c>
      <c r="B157" t="s">
        <v>185</v>
      </c>
      <c r="C157" t="s">
        <v>202</v>
      </c>
      <c r="D157" t="s">
        <v>217</v>
      </c>
      <c r="E157">
        <f>IF(LEFT(D157,6)="CLIENT",IFERROR(VLOOKUP(C157,Config_Carteiras!$A:$B,2,FALSE),1),"")</f>
        <v>1</v>
      </c>
      <c r="F157" s="25">
        <v>408</v>
      </c>
      <c r="G157" s="28">
        <f>IF(LEFT(D157,6)="CLIENT",IF(E157=0,WORKDAY(A157-1,1,Dias_Sem_Compensacao!$A$2:$A$500),WORKDAY(A157,E157,Dias_Sem_Compensacao!$A$2:$A$500)),"")</f>
        <v>46297</v>
      </c>
      <c r="H157" s="25">
        <v>0</v>
      </c>
      <c r="I157" s="28">
        <v>46296</v>
      </c>
      <c r="J157" t="s">
        <v>497</v>
      </c>
      <c r="K157" t="s">
        <v>498</v>
      </c>
    </row>
    <row r="158" spans="1:11" hidden="1">
      <c r="A158" s="28">
        <v>46296</v>
      </c>
      <c r="B158" t="s">
        <v>185</v>
      </c>
      <c r="C158" t="s">
        <v>202</v>
      </c>
      <c r="D158" t="s">
        <v>217</v>
      </c>
      <c r="E158">
        <f>IF(LEFT(D158,6)="CLIENT",IFERROR(VLOOKUP(C158,Config_Carteiras!$A:$B,2,FALSE),1),"")</f>
        <v>1</v>
      </c>
      <c r="F158" s="25">
        <v>1430</v>
      </c>
      <c r="G158" s="28">
        <f>IF(LEFT(D158,6)="CLIENT",IF(E158=0,WORKDAY(A158-1,1,Dias_Sem_Compensacao!$A$2:$A$500),WORKDAY(A158,E158,Dias_Sem_Compensacao!$A$2:$A$500)),"")</f>
        <v>46297</v>
      </c>
      <c r="H158" s="25">
        <v>0</v>
      </c>
      <c r="I158" s="28">
        <v>46296</v>
      </c>
      <c r="J158" t="s">
        <v>499</v>
      </c>
      <c r="K158" t="s">
        <v>500</v>
      </c>
    </row>
    <row r="159" spans="1:11" hidden="1">
      <c r="A159" s="28">
        <v>46296</v>
      </c>
      <c r="B159" t="s">
        <v>185</v>
      </c>
      <c r="C159" t="s">
        <v>202</v>
      </c>
      <c r="D159" t="s">
        <v>217</v>
      </c>
      <c r="E159">
        <f>IF(LEFT(D159,6)="CLIENT",IFERROR(VLOOKUP(C159,Config_Carteiras!$A:$B,2,FALSE),1),"")</f>
        <v>1</v>
      </c>
      <c r="F159" s="25">
        <v>3575</v>
      </c>
      <c r="G159" s="28">
        <f>IF(LEFT(D159,6)="CLIENT",IF(E159=0,WORKDAY(A159-1,1,Dias_Sem_Compensacao!$A$2:$A$500),WORKDAY(A159,E159,Dias_Sem_Compensacao!$A$2:$A$500)),"")</f>
        <v>46297</v>
      </c>
      <c r="H159" s="25">
        <v>0</v>
      </c>
      <c r="I159" s="28">
        <v>46296</v>
      </c>
      <c r="J159" t="s">
        <v>501</v>
      </c>
      <c r="K159" t="s">
        <v>502</v>
      </c>
    </row>
    <row r="160" spans="1:11" hidden="1">
      <c r="A160" s="28">
        <v>46296</v>
      </c>
      <c r="B160" t="s">
        <v>185</v>
      </c>
      <c r="C160" t="s">
        <v>202</v>
      </c>
      <c r="D160" t="s">
        <v>217</v>
      </c>
      <c r="E160">
        <f>IF(LEFT(D160,6)="CLIENT",IFERROR(VLOOKUP(C160,Config_Carteiras!$A:$B,2,FALSE),1),"")</f>
        <v>1</v>
      </c>
      <c r="F160" s="25">
        <v>1307</v>
      </c>
      <c r="G160" s="28">
        <f>IF(LEFT(D160,6)="CLIENT",IF(E160=0,WORKDAY(A160-1,1,Dias_Sem_Compensacao!$A$2:$A$500),WORKDAY(A160,E160,Dias_Sem_Compensacao!$A$2:$A$500)),"")</f>
        <v>46297</v>
      </c>
      <c r="H160" s="25">
        <v>0</v>
      </c>
      <c r="I160" s="28">
        <v>46296</v>
      </c>
      <c r="J160" t="s">
        <v>503</v>
      </c>
      <c r="K160" t="s">
        <v>504</v>
      </c>
    </row>
    <row r="161" spans="1:11" hidden="1">
      <c r="A161" s="28">
        <v>46296</v>
      </c>
      <c r="B161" t="s">
        <v>185</v>
      </c>
      <c r="C161" t="s">
        <v>202</v>
      </c>
      <c r="D161" t="s">
        <v>217</v>
      </c>
      <c r="E161">
        <f>IF(LEFT(D161,6)="CLIENT",IFERROR(VLOOKUP(C161,Config_Carteiras!$A:$B,2,FALSE),1),"")</f>
        <v>1</v>
      </c>
      <c r="F161" s="25">
        <v>639.20000000000005</v>
      </c>
      <c r="G161" s="28">
        <f>IF(LEFT(D161,6)="CLIENT",IF(E161=0,WORKDAY(A161-1,1,Dias_Sem_Compensacao!$A$2:$A$500),WORKDAY(A161,E161,Dias_Sem_Compensacao!$A$2:$A$500)),"")</f>
        <v>46297</v>
      </c>
      <c r="H161" s="25">
        <v>0</v>
      </c>
      <c r="I161" s="28">
        <v>46296</v>
      </c>
      <c r="J161" t="s">
        <v>505</v>
      </c>
      <c r="K161" t="s">
        <v>506</v>
      </c>
    </row>
    <row r="162" spans="1:11" hidden="1">
      <c r="A162" s="28">
        <v>46296</v>
      </c>
      <c r="B162" t="s">
        <v>185</v>
      </c>
      <c r="C162" t="s">
        <v>202</v>
      </c>
      <c r="D162" t="s">
        <v>217</v>
      </c>
      <c r="E162">
        <f>IF(LEFT(D162,6)="CLIENT",IFERROR(VLOOKUP(C162,Config_Carteiras!$A:$B,2,FALSE),1),"")</f>
        <v>1</v>
      </c>
      <c r="F162" s="25">
        <v>1339</v>
      </c>
      <c r="G162" s="28">
        <f>IF(LEFT(D162,6)="CLIENT",IF(E162=0,WORKDAY(A162-1,1,Dias_Sem_Compensacao!$A$2:$A$500),WORKDAY(A162,E162,Dias_Sem_Compensacao!$A$2:$A$500)),"")</f>
        <v>46297</v>
      </c>
      <c r="H162" s="25">
        <v>0</v>
      </c>
      <c r="I162" s="28">
        <v>46296</v>
      </c>
      <c r="J162" t="s">
        <v>507</v>
      </c>
      <c r="K162" t="s">
        <v>508</v>
      </c>
    </row>
    <row r="163" spans="1:11" hidden="1">
      <c r="A163" s="28">
        <v>46296</v>
      </c>
      <c r="B163" t="s">
        <v>185</v>
      </c>
      <c r="C163" t="s">
        <v>202</v>
      </c>
      <c r="D163" t="s">
        <v>217</v>
      </c>
      <c r="E163">
        <f>IF(LEFT(D163,6)="CLIENT",IFERROR(VLOOKUP(C163,Config_Carteiras!$A:$B,2,FALSE),1),"")</f>
        <v>1</v>
      </c>
      <c r="F163" s="25">
        <v>990</v>
      </c>
      <c r="G163" s="28">
        <f>IF(LEFT(D163,6)="CLIENT",IF(E163=0,WORKDAY(A163-1,1,Dias_Sem_Compensacao!$A$2:$A$500),WORKDAY(A163,E163,Dias_Sem_Compensacao!$A$2:$A$500)),"")</f>
        <v>46297</v>
      </c>
      <c r="H163" s="25">
        <v>0</v>
      </c>
      <c r="I163" s="28">
        <v>46296</v>
      </c>
      <c r="J163" t="s">
        <v>509</v>
      </c>
      <c r="K163" t="s">
        <v>510</v>
      </c>
    </row>
    <row r="164" spans="1:11" hidden="1">
      <c r="A164" s="28">
        <v>46296</v>
      </c>
      <c r="B164" t="s">
        <v>185</v>
      </c>
      <c r="C164" t="s">
        <v>202</v>
      </c>
      <c r="D164" t="s">
        <v>217</v>
      </c>
      <c r="E164">
        <f>IF(LEFT(D164,6)="CLIENT",IFERROR(VLOOKUP(C164,Config_Carteiras!$A:$B,2,FALSE),1),"")</f>
        <v>1</v>
      </c>
      <c r="F164" s="25">
        <v>368</v>
      </c>
      <c r="G164" s="28">
        <f>IF(LEFT(D164,6)="CLIENT",IF(E164=0,WORKDAY(A164-1,1,Dias_Sem_Compensacao!$A$2:$A$500),WORKDAY(A164,E164,Dias_Sem_Compensacao!$A$2:$A$500)),"")</f>
        <v>46297</v>
      </c>
      <c r="H164" s="25">
        <v>0</v>
      </c>
      <c r="I164" s="28">
        <v>46296</v>
      </c>
      <c r="J164" t="s">
        <v>511</v>
      </c>
      <c r="K164" t="s">
        <v>512</v>
      </c>
    </row>
    <row r="165" spans="1:11" hidden="1">
      <c r="A165" s="28">
        <v>46296</v>
      </c>
      <c r="B165" t="s">
        <v>185</v>
      </c>
      <c r="C165" t="s">
        <v>202</v>
      </c>
      <c r="D165" t="s">
        <v>217</v>
      </c>
      <c r="E165">
        <f>IF(LEFT(D165,6)="CLIENT",IFERROR(VLOOKUP(C165,Config_Carteiras!$A:$B,2,FALSE),1),"")</f>
        <v>1</v>
      </c>
      <c r="F165" s="25">
        <v>658</v>
      </c>
      <c r="G165" s="28">
        <f>IF(LEFT(D165,6)="CLIENT",IF(E165=0,WORKDAY(A165-1,1,Dias_Sem_Compensacao!$A$2:$A$500),WORKDAY(A165,E165,Dias_Sem_Compensacao!$A$2:$A$500)),"")</f>
        <v>46297</v>
      </c>
      <c r="H165" s="25">
        <v>0</v>
      </c>
      <c r="I165" s="28">
        <v>46296</v>
      </c>
      <c r="J165" t="s">
        <v>513</v>
      </c>
      <c r="K165" t="s">
        <v>514</v>
      </c>
    </row>
    <row r="166" spans="1:11" hidden="1">
      <c r="A166" s="28">
        <v>46296</v>
      </c>
      <c r="B166" t="s">
        <v>185</v>
      </c>
      <c r="C166" t="s">
        <v>202</v>
      </c>
      <c r="D166" t="s">
        <v>217</v>
      </c>
      <c r="E166">
        <f>IF(LEFT(D166,6)="CLIENT",IFERROR(VLOOKUP(C166,Config_Carteiras!$A:$B,2,FALSE),1),"")</f>
        <v>1</v>
      </c>
      <c r="F166" s="25">
        <v>205</v>
      </c>
      <c r="G166" s="28">
        <f>IF(LEFT(D166,6)="CLIENT",IF(E166=0,WORKDAY(A166-1,1,Dias_Sem_Compensacao!$A$2:$A$500),WORKDAY(A166,E166,Dias_Sem_Compensacao!$A$2:$A$500)),"")</f>
        <v>46297</v>
      </c>
      <c r="H166" s="25">
        <v>0</v>
      </c>
      <c r="I166" s="28">
        <v>46296</v>
      </c>
      <c r="J166" t="s">
        <v>515</v>
      </c>
      <c r="K166" t="s">
        <v>516</v>
      </c>
    </row>
    <row r="167" spans="1:11" hidden="1">
      <c r="A167" s="28">
        <v>46296</v>
      </c>
      <c r="B167" t="s">
        <v>185</v>
      </c>
      <c r="C167" t="s">
        <v>202</v>
      </c>
      <c r="D167" t="s">
        <v>217</v>
      </c>
      <c r="E167">
        <f>IF(LEFT(D167,6)="CLIENT",IFERROR(VLOOKUP(C167,Config_Carteiras!$A:$B,2,FALSE),1),"")</f>
        <v>1</v>
      </c>
      <c r="F167" s="25">
        <v>1350</v>
      </c>
      <c r="G167" s="28">
        <f>IF(LEFT(D167,6)="CLIENT",IF(E167=0,WORKDAY(A167-1,1,Dias_Sem_Compensacao!$A$2:$A$500),WORKDAY(A167,E167,Dias_Sem_Compensacao!$A$2:$A$500)),"")</f>
        <v>46297</v>
      </c>
      <c r="H167" s="25">
        <v>0</v>
      </c>
      <c r="I167" s="28">
        <v>46296</v>
      </c>
      <c r="J167" t="s">
        <v>517</v>
      </c>
      <c r="K167" t="s">
        <v>518</v>
      </c>
    </row>
    <row r="168" spans="1:11" hidden="1">
      <c r="A168" s="28">
        <v>46296</v>
      </c>
      <c r="B168" t="s">
        <v>185</v>
      </c>
      <c r="C168" t="s">
        <v>202</v>
      </c>
      <c r="D168" t="s">
        <v>217</v>
      </c>
      <c r="E168">
        <f>IF(LEFT(D168,6)="CLIENT",IFERROR(VLOOKUP(C168,Config_Carteiras!$A:$B,2,FALSE),1),"")</f>
        <v>1</v>
      </c>
      <c r="F168" s="25">
        <v>3975</v>
      </c>
      <c r="G168" s="28">
        <f>IF(LEFT(D168,6)="CLIENT",IF(E168=0,WORKDAY(A168-1,1,Dias_Sem_Compensacao!$A$2:$A$500),WORKDAY(A168,E168,Dias_Sem_Compensacao!$A$2:$A$500)),"")</f>
        <v>46297</v>
      </c>
      <c r="H168" s="25">
        <v>0</v>
      </c>
      <c r="I168" s="28">
        <v>46296</v>
      </c>
      <c r="J168" t="s">
        <v>519</v>
      </c>
      <c r="K168" t="s">
        <v>520</v>
      </c>
    </row>
    <row r="169" spans="1:11" hidden="1">
      <c r="A169" s="28">
        <v>46296</v>
      </c>
      <c r="B169" t="s">
        <v>185</v>
      </c>
      <c r="C169" t="s">
        <v>202</v>
      </c>
      <c r="D169" t="s">
        <v>217</v>
      </c>
      <c r="E169">
        <f>IF(LEFT(D169,6)="CLIENT",IFERROR(VLOOKUP(C169,Config_Carteiras!$A:$B,2,FALSE),1),"")</f>
        <v>1</v>
      </c>
      <c r="F169" s="25">
        <v>1029.5899999999999</v>
      </c>
      <c r="G169" s="28">
        <f>IF(LEFT(D169,6)="CLIENT",IF(E169=0,WORKDAY(A169-1,1,Dias_Sem_Compensacao!$A$2:$A$500),WORKDAY(A169,E169,Dias_Sem_Compensacao!$A$2:$A$500)),"")</f>
        <v>46297</v>
      </c>
      <c r="H169" s="25">
        <v>0</v>
      </c>
      <c r="I169" s="28">
        <v>46296</v>
      </c>
      <c r="J169" t="s">
        <v>521</v>
      </c>
      <c r="K169" t="s">
        <v>522</v>
      </c>
    </row>
    <row r="170" spans="1:11" hidden="1">
      <c r="A170" s="28">
        <v>46296</v>
      </c>
      <c r="B170" t="s">
        <v>185</v>
      </c>
      <c r="C170" t="s">
        <v>202</v>
      </c>
      <c r="D170" t="s">
        <v>217</v>
      </c>
      <c r="E170">
        <f>IF(LEFT(D170,6)="CLIENT",IFERROR(VLOOKUP(C170,Config_Carteiras!$A:$B,2,FALSE),1),"")</f>
        <v>1</v>
      </c>
      <c r="F170" s="25">
        <v>13832</v>
      </c>
      <c r="G170" s="28">
        <f>IF(LEFT(D170,6)="CLIENT",IF(E170=0,WORKDAY(A170-1,1,Dias_Sem_Compensacao!$A$2:$A$500),WORKDAY(A170,E170,Dias_Sem_Compensacao!$A$2:$A$500)),"")</f>
        <v>46297</v>
      </c>
      <c r="H170" s="25">
        <v>0</v>
      </c>
      <c r="I170" s="28">
        <v>46296</v>
      </c>
      <c r="J170" t="s">
        <v>523</v>
      </c>
      <c r="K170" t="s">
        <v>524</v>
      </c>
    </row>
    <row r="171" spans="1:11" hidden="1">
      <c r="A171" s="28">
        <v>46296</v>
      </c>
      <c r="B171" t="s">
        <v>185</v>
      </c>
      <c r="C171" t="s">
        <v>202</v>
      </c>
      <c r="D171" t="s">
        <v>217</v>
      </c>
      <c r="E171">
        <f>IF(LEFT(D171,6)="CLIENT",IFERROR(VLOOKUP(C171,Config_Carteiras!$A:$B,2,FALSE),1),"")</f>
        <v>1</v>
      </c>
      <c r="F171" s="25">
        <v>842</v>
      </c>
      <c r="G171" s="28">
        <f>IF(LEFT(D171,6)="CLIENT",IF(E171=0,WORKDAY(A171-1,1,Dias_Sem_Compensacao!$A$2:$A$500),WORKDAY(A171,E171,Dias_Sem_Compensacao!$A$2:$A$500)),"")</f>
        <v>46297</v>
      </c>
      <c r="H171" s="25">
        <v>0</v>
      </c>
      <c r="I171" s="28">
        <v>46296</v>
      </c>
      <c r="J171" t="s">
        <v>525</v>
      </c>
      <c r="K171" t="s">
        <v>526</v>
      </c>
    </row>
    <row r="172" spans="1:11" hidden="1">
      <c r="A172" s="28">
        <v>46296</v>
      </c>
      <c r="B172" t="s">
        <v>185</v>
      </c>
      <c r="C172" t="s">
        <v>202</v>
      </c>
      <c r="D172" t="s">
        <v>217</v>
      </c>
      <c r="E172">
        <f>IF(LEFT(D172,6)="CLIENT",IFERROR(VLOOKUP(C172,Config_Carteiras!$A:$B,2,FALSE),1),"")</f>
        <v>1</v>
      </c>
      <c r="F172" s="25">
        <v>1260</v>
      </c>
      <c r="G172" s="28">
        <f>IF(LEFT(D172,6)="CLIENT",IF(E172=0,WORKDAY(A172-1,1,Dias_Sem_Compensacao!$A$2:$A$500),WORKDAY(A172,E172,Dias_Sem_Compensacao!$A$2:$A$500)),"")</f>
        <v>46297</v>
      </c>
      <c r="H172" s="25">
        <v>0</v>
      </c>
      <c r="I172" s="28">
        <v>46296</v>
      </c>
      <c r="J172" t="s">
        <v>527</v>
      </c>
      <c r="K172" t="s">
        <v>528</v>
      </c>
    </row>
    <row r="173" spans="1:11" hidden="1">
      <c r="A173" s="28">
        <v>46296</v>
      </c>
      <c r="B173" t="s">
        <v>185</v>
      </c>
      <c r="C173" t="s">
        <v>202</v>
      </c>
      <c r="D173" t="s">
        <v>217</v>
      </c>
      <c r="E173">
        <f>IF(LEFT(D173,6)="CLIENT",IFERROR(VLOOKUP(C173,Config_Carteiras!$A:$B,2,FALSE),1),"")</f>
        <v>1</v>
      </c>
      <c r="F173" s="25">
        <v>1170</v>
      </c>
      <c r="G173" s="28">
        <f>IF(LEFT(D173,6)="CLIENT",IF(E173=0,WORKDAY(A173-1,1,Dias_Sem_Compensacao!$A$2:$A$500),WORKDAY(A173,E173,Dias_Sem_Compensacao!$A$2:$A$500)),"")</f>
        <v>46297</v>
      </c>
      <c r="H173" s="25">
        <v>0</v>
      </c>
      <c r="I173" s="28">
        <v>46296</v>
      </c>
      <c r="J173" t="s">
        <v>529</v>
      </c>
      <c r="K173" t="s">
        <v>530</v>
      </c>
    </row>
    <row r="174" spans="1:11" hidden="1">
      <c r="A174" s="28">
        <v>46296</v>
      </c>
      <c r="B174" t="s">
        <v>185</v>
      </c>
      <c r="C174" t="s">
        <v>202</v>
      </c>
      <c r="D174" t="s">
        <v>217</v>
      </c>
      <c r="E174">
        <f>IF(LEFT(D174,6)="CLIENT",IFERROR(VLOOKUP(C174,Config_Carteiras!$A:$B,2,FALSE),1),"")</f>
        <v>1</v>
      </c>
      <c r="F174" s="25">
        <v>15665</v>
      </c>
      <c r="G174" s="28">
        <f>IF(LEFT(D174,6)="CLIENT",IF(E174=0,WORKDAY(A174-1,1,Dias_Sem_Compensacao!$A$2:$A$500),WORKDAY(A174,E174,Dias_Sem_Compensacao!$A$2:$A$500)),"")</f>
        <v>46297</v>
      </c>
      <c r="H174" s="25">
        <v>0</v>
      </c>
      <c r="I174" s="28">
        <v>46296</v>
      </c>
      <c r="J174" t="s">
        <v>169</v>
      </c>
      <c r="K174" t="s">
        <v>531</v>
      </c>
    </row>
    <row r="175" spans="1:11" hidden="1">
      <c r="A175" s="28">
        <v>46296</v>
      </c>
      <c r="B175" t="s">
        <v>185</v>
      </c>
      <c r="C175" t="s">
        <v>202</v>
      </c>
      <c r="D175" t="s">
        <v>217</v>
      </c>
      <c r="E175">
        <f>IF(LEFT(D175,6)="CLIENT",IFERROR(VLOOKUP(C175,Config_Carteiras!$A:$B,2,FALSE),1),"")</f>
        <v>1</v>
      </c>
      <c r="F175" s="25">
        <v>2083</v>
      </c>
      <c r="G175" s="28">
        <f>IF(LEFT(D175,6)="CLIENT",IF(E175=0,WORKDAY(A175-1,1,Dias_Sem_Compensacao!$A$2:$A$500),WORKDAY(A175,E175,Dias_Sem_Compensacao!$A$2:$A$500)),"")</f>
        <v>46297</v>
      </c>
      <c r="H175" s="25">
        <v>0</v>
      </c>
      <c r="I175" s="28">
        <v>46296</v>
      </c>
      <c r="K175" t="s">
        <v>532</v>
      </c>
    </row>
    <row r="176" spans="1:11" hidden="1">
      <c r="A176" s="28">
        <v>46296</v>
      </c>
      <c r="B176" t="s">
        <v>185</v>
      </c>
      <c r="C176" t="s">
        <v>202</v>
      </c>
      <c r="D176" t="s">
        <v>217</v>
      </c>
      <c r="E176">
        <f>IF(LEFT(D176,6)="CLIENT",IFERROR(VLOOKUP(C176,Config_Carteiras!$A:$B,2,FALSE),1),"")</f>
        <v>1</v>
      </c>
      <c r="F176" s="25">
        <v>2467</v>
      </c>
      <c r="G176" s="28">
        <f>IF(LEFT(D176,6)="CLIENT",IF(E176=0,WORKDAY(A176-1,1,Dias_Sem_Compensacao!$A$2:$A$500),WORKDAY(A176,E176,Dias_Sem_Compensacao!$A$2:$A$500)),"")</f>
        <v>46297</v>
      </c>
      <c r="H176" s="25">
        <v>0</v>
      </c>
      <c r="I176" s="28">
        <v>46296</v>
      </c>
      <c r="J176" t="s">
        <v>533</v>
      </c>
      <c r="K176" t="s">
        <v>534</v>
      </c>
    </row>
    <row r="177" spans="1:11" hidden="1">
      <c r="A177" s="28">
        <v>46296</v>
      </c>
      <c r="B177" t="s">
        <v>185</v>
      </c>
      <c r="C177" t="s">
        <v>202</v>
      </c>
      <c r="D177" t="s">
        <v>217</v>
      </c>
      <c r="E177">
        <f>IF(LEFT(D177,6)="CLIENT",IFERROR(VLOOKUP(C177,Config_Carteiras!$A:$B,2,FALSE),1),"")</f>
        <v>1</v>
      </c>
      <c r="F177" s="25">
        <v>682</v>
      </c>
      <c r="G177" s="28">
        <f>IF(LEFT(D177,6)="CLIENT",IF(E177=0,WORKDAY(A177-1,1,Dias_Sem_Compensacao!$A$2:$A$500),WORKDAY(A177,E177,Dias_Sem_Compensacao!$A$2:$A$500)),"")</f>
        <v>46297</v>
      </c>
      <c r="H177" s="25">
        <v>0</v>
      </c>
      <c r="I177" s="28">
        <v>46296</v>
      </c>
      <c r="J177" t="s">
        <v>535</v>
      </c>
      <c r="K177" t="s">
        <v>536</v>
      </c>
    </row>
    <row r="178" spans="1:11" hidden="1">
      <c r="A178" s="28">
        <v>46296</v>
      </c>
      <c r="B178" t="s">
        <v>185</v>
      </c>
      <c r="C178" t="s">
        <v>202</v>
      </c>
      <c r="D178" t="s">
        <v>217</v>
      </c>
      <c r="E178">
        <f>IF(LEFT(D178,6)="CLIENT",IFERROR(VLOOKUP(C178,Config_Carteiras!$A:$B,2,FALSE),1),"")</f>
        <v>1</v>
      </c>
      <c r="F178" s="25">
        <v>1975.99</v>
      </c>
      <c r="G178" s="28">
        <f>IF(LEFT(D178,6)="CLIENT",IF(E178=0,WORKDAY(A178-1,1,Dias_Sem_Compensacao!$A$2:$A$500),WORKDAY(A178,E178,Dias_Sem_Compensacao!$A$2:$A$500)),"")</f>
        <v>46297</v>
      </c>
      <c r="H178" s="25">
        <v>0</v>
      </c>
      <c r="I178" s="28">
        <v>46296</v>
      </c>
      <c r="J178" t="s">
        <v>537</v>
      </c>
      <c r="K178" t="s">
        <v>538</v>
      </c>
    </row>
    <row r="179" spans="1:11" hidden="1">
      <c r="A179" s="28">
        <v>46297</v>
      </c>
      <c r="B179" t="s">
        <v>185</v>
      </c>
      <c r="C179" t="s">
        <v>202</v>
      </c>
      <c r="D179" t="s">
        <v>217</v>
      </c>
      <c r="E179">
        <f>IF(LEFT(D179,6)="CLIENT",IFERROR(VLOOKUP(C179,Config_Carteiras!$A:$B,2,FALSE),1),"")</f>
        <v>1</v>
      </c>
      <c r="F179" s="25">
        <v>600</v>
      </c>
      <c r="G179" s="28">
        <f>IF(LEFT(D179,6)="CLIENT",IF(E179=0,WORKDAY(A179-1,1,Dias_Sem_Compensacao!$A$2:$A$500),WORKDAY(A179,E179,Dias_Sem_Compensacao!$A$2:$A$500)),"")</f>
        <v>46300</v>
      </c>
      <c r="H179" s="25">
        <v>0</v>
      </c>
      <c r="I179" s="28">
        <v>46297</v>
      </c>
      <c r="J179" t="s">
        <v>539</v>
      </c>
      <c r="K179" t="s">
        <v>540</v>
      </c>
    </row>
    <row r="180" spans="1:11" hidden="1">
      <c r="A180" s="28">
        <v>46297</v>
      </c>
      <c r="B180" t="s">
        <v>185</v>
      </c>
      <c r="C180" t="s">
        <v>202</v>
      </c>
      <c r="D180" t="s">
        <v>217</v>
      </c>
      <c r="E180">
        <f>IF(LEFT(D180,6)="CLIENT",IFERROR(VLOOKUP(C180,Config_Carteiras!$A:$B,2,FALSE),1),"")</f>
        <v>1</v>
      </c>
      <c r="F180" s="25">
        <v>137.4</v>
      </c>
      <c r="G180" s="28">
        <f>IF(LEFT(D180,6)="CLIENT",IF(E180=0,WORKDAY(A180-1,1,Dias_Sem_Compensacao!$A$2:$A$500),WORKDAY(A180,E180,Dias_Sem_Compensacao!$A$2:$A$500)),"")</f>
        <v>46300</v>
      </c>
      <c r="H180" s="25">
        <v>0</v>
      </c>
      <c r="I180" s="28">
        <v>46297</v>
      </c>
      <c r="J180" t="s">
        <v>541</v>
      </c>
      <c r="K180" t="s">
        <v>542</v>
      </c>
    </row>
    <row r="181" spans="1:11" hidden="1">
      <c r="A181" s="28">
        <v>46297</v>
      </c>
      <c r="B181" t="s">
        <v>185</v>
      </c>
      <c r="C181" t="s">
        <v>202</v>
      </c>
      <c r="D181" t="s">
        <v>217</v>
      </c>
      <c r="E181">
        <f>IF(LEFT(D181,6)="CLIENT",IFERROR(VLOOKUP(C181,Config_Carteiras!$A:$B,2,FALSE),1),"")</f>
        <v>1</v>
      </c>
      <c r="F181" s="25">
        <v>672</v>
      </c>
      <c r="G181" s="28">
        <f>IF(LEFT(D181,6)="CLIENT",IF(E181=0,WORKDAY(A181-1,1,Dias_Sem_Compensacao!$A$2:$A$500),WORKDAY(A181,E181,Dias_Sem_Compensacao!$A$2:$A$500)),"")</f>
        <v>46300</v>
      </c>
      <c r="H181" s="25">
        <v>0</v>
      </c>
      <c r="I181" s="28">
        <v>46297</v>
      </c>
      <c r="J181" t="s">
        <v>232</v>
      </c>
      <c r="K181" t="s">
        <v>236</v>
      </c>
    </row>
    <row r="182" spans="1:11" hidden="1">
      <c r="A182" s="28">
        <v>46297</v>
      </c>
      <c r="B182" t="s">
        <v>185</v>
      </c>
      <c r="C182" t="s">
        <v>202</v>
      </c>
      <c r="D182" t="s">
        <v>217</v>
      </c>
      <c r="E182">
        <f>IF(LEFT(D182,6)="CLIENT",IFERROR(VLOOKUP(C182,Config_Carteiras!$A:$B,2,FALSE),1),"")</f>
        <v>1</v>
      </c>
      <c r="F182" s="25">
        <v>404.8</v>
      </c>
      <c r="G182" s="28">
        <f>IF(LEFT(D182,6)="CLIENT",IF(E182=0,WORKDAY(A182-1,1,Dias_Sem_Compensacao!$A$2:$A$500),WORKDAY(A182,E182,Dias_Sem_Compensacao!$A$2:$A$500)),"")</f>
        <v>46300</v>
      </c>
      <c r="H182" s="25">
        <v>0</v>
      </c>
      <c r="I182" s="28">
        <v>46297</v>
      </c>
      <c r="J182" t="s">
        <v>543</v>
      </c>
      <c r="K182" t="s">
        <v>544</v>
      </c>
    </row>
    <row r="183" spans="1:11" hidden="1">
      <c r="A183" s="28">
        <v>46297</v>
      </c>
      <c r="B183" t="s">
        <v>185</v>
      </c>
      <c r="C183" t="s">
        <v>202</v>
      </c>
      <c r="D183" t="s">
        <v>217</v>
      </c>
      <c r="E183">
        <f>IF(LEFT(D183,6)="CLIENT",IFERROR(VLOOKUP(C183,Config_Carteiras!$A:$B,2,FALSE),1),"")</f>
        <v>1</v>
      </c>
      <c r="F183" s="25">
        <v>134.4</v>
      </c>
      <c r="G183" s="28">
        <f>IF(LEFT(D183,6)="CLIENT",IF(E183=0,WORKDAY(A183-1,1,Dias_Sem_Compensacao!$A$2:$A$500),WORKDAY(A183,E183,Dias_Sem_Compensacao!$A$2:$A$500)),"")</f>
        <v>46300</v>
      </c>
      <c r="H183" s="25">
        <v>0</v>
      </c>
      <c r="I183" s="28">
        <v>46297</v>
      </c>
      <c r="J183" t="s">
        <v>545</v>
      </c>
      <c r="K183" t="s">
        <v>546</v>
      </c>
    </row>
    <row r="184" spans="1:11" hidden="1">
      <c r="A184" s="28">
        <v>46297</v>
      </c>
      <c r="B184" t="s">
        <v>185</v>
      </c>
      <c r="C184" t="s">
        <v>202</v>
      </c>
      <c r="D184" t="s">
        <v>217</v>
      </c>
      <c r="E184">
        <f>IF(LEFT(D184,6)="CLIENT",IFERROR(VLOOKUP(C184,Config_Carteiras!$A:$B,2,FALSE),1),"")</f>
        <v>1</v>
      </c>
      <c r="F184" s="25">
        <v>284.12</v>
      </c>
      <c r="G184" s="28">
        <f>IF(LEFT(D184,6)="CLIENT",IF(E184=0,WORKDAY(A184-1,1,Dias_Sem_Compensacao!$A$2:$A$500),WORKDAY(A184,E184,Dias_Sem_Compensacao!$A$2:$A$500)),"")</f>
        <v>46300</v>
      </c>
      <c r="H184" s="25">
        <v>0</v>
      </c>
      <c r="I184" s="28">
        <v>46297</v>
      </c>
      <c r="J184" t="s">
        <v>399</v>
      </c>
      <c r="K184" t="s">
        <v>547</v>
      </c>
    </row>
    <row r="185" spans="1:11" hidden="1">
      <c r="A185" s="28">
        <v>46297</v>
      </c>
      <c r="B185" t="s">
        <v>185</v>
      </c>
      <c r="C185" t="s">
        <v>202</v>
      </c>
      <c r="D185" t="s">
        <v>217</v>
      </c>
      <c r="E185">
        <f>IF(LEFT(D185,6)="CLIENT",IFERROR(VLOOKUP(C185,Config_Carteiras!$A:$B,2,FALSE),1),"")</f>
        <v>1</v>
      </c>
      <c r="F185" s="25">
        <v>181.2</v>
      </c>
      <c r="G185" s="28">
        <f>IF(LEFT(D185,6)="CLIENT",IF(E185=0,WORKDAY(A185-1,1,Dias_Sem_Compensacao!$A$2:$A$500),WORKDAY(A185,E185,Dias_Sem_Compensacao!$A$2:$A$500)),"")</f>
        <v>46300</v>
      </c>
      <c r="H185" s="25">
        <v>0</v>
      </c>
      <c r="I185" s="28">
        <v>46297</v>
      </c>
      <c r="J185" t="s">
        <v>548</v>
      </c>
      <c r="K185" t="s">
        <v>549</v>
      </c>
    </row>
    <row r="186" spans="1:11" hidden="1">
      <c r="A186" s="28">
        <v>46297</v>
      </c>
      <c r="B186" t="s">
        <v>185</v>
      </c>
      <c r="C186" t="s">
        <v>202</v>
      </c>
      <c r="D186" t="s">
        <v>217</v>
      </c>
      <c r="E186">
        <f>IF(LEFT(D186,6)="CLIENT",IFERROR(VLOOKUP(C186,Config_Carteiras!$A:$B,2,FALSE),1),"")</f>
        <v>1</v>
      </c>
      <c r="F186" s="25">
        <v>1394</v>
      </c>
      <c r="G186" s="28">
        <f>IF(LEFT(D186,6)="CLIENT",IF(E186=0,WORKDAY(A186-1,1,Dias_Sem_Compensacao!$A$2:$A$500),WORKDAY(A186,E186,Dias_Sem_Compensacao!$A$2:$A$500)),"")</f>
        <v>46300</v>
      </c>
      <c r="H186" s="25">
        <v>0</v>
      </c>
      <c r="I186" s="28">
        <v>46297</v>
      </c>
      <c r="J186" t="s">
        <v>550</v>
      </c>
      <c r="K186" t="s">
        <v>551</v>
      </c>
    </row>
    <row r="187" spans="1:11" hidden="1">
      <c r="A187" s="28">
        <v>46297</v>
      </c>
      <c r="B187" t="s">
        <v>185</v>
      </c>
      <c r="C187" t="s">
        <v>202</v>
      </c>
      <c r="D187" t="s">
        <v>217</v>
      </c>
      <c r="E187">
        <f>IF(LEFT(D187,6)="CLIENT",IFERROR(VLOOKUP(C187,Config_Carteiras!$A:$B,2,FALSE),1),"")</f>
        <v>1</v>
      </c>
      <c r="F187" s="25">
        <v>350</v>
      </c>
      <c r="G187" s="28">
        <f>IF(LEFT(D187,6)="CLIENT",IF(E187=0,WORKDAY(A187-1,1,Dias_Sem_Compensacao!$A$2:$A$500),WORKDAY(A187,E187,Dias_Sem_Compensacao!$A$2:$A$500)),"")</f>
        <v>46300</v>
      </c>
      <c r="H187" s="25">
        <v>0</v>
      </c>
      <c r="I187" s="28">
        <v>46297</v>
      </c>
      <c r="J187" t="s">
        <v>552</v>
      </c>
      <c r="K187" t="s">
        <v>553</v>
      </c>
    </row>
    <row r="188" spans="1:11" hidden="1">
      <c r="A188" s="28">
        <v>46297</v>
      </c>
      <c r="B188" t="s">
        <v>185</v>
      </c>
      <c r="C188" t="s">
        <v>202</v>
      </c>
      <c r="D188" t="s">
        <v>217</v>
      </c>
      <c r="E188">
        <f>IF(LEFT(D188,6)="CLIENT",IFERROR(VLOOKUP(C188,Config_Carteiras!$A:$B,2,FALSE),1),"")</f>
        <v>1</v>
      </c>
      <c r="F188" s="25">
        <v>465</v>
      </c>
      <c r="G188" s="28">
        <f>IF(LEFT(D188,6)="CLIENT",IF(E188=0,WORKDAY(A188-1,1,Dias_Sem_Compensacao!$A$2:$A$500),WORKDAY(A188,E188,Dias_Sem_Compensacao!$A$2:$A$500)),"")</f>
        <v>46300</v>
      </c>
      <c r="H188" s="25">
        <v>0</v>
      </c>
      <c r="I188" s="28">
        <v>46297</v>
      </c>
      <c r="J188" t="s">
        <v>554</v>
      </c>
      <c r="K188" t="s">
        <v>555</v>
      </c>
    </row>
    <row r="189" spans="1:11" hidden="1">
      <c r="A189" s="28">
        <v>46297</v>
      </c>
      <c r="B189" t="s">
        <v>185</v>
      </c>
      <c r="C189" t="s">
        <v>202</v>
      </c>
      <c r="D189" t="s">
        <v>217</v>
      </c>
      <c r="E189">
        <f>IF(LEFT(D189,6)="CLIENT",IFERROR(VLOOKUP(C189,Config_Carteiras!$A:$B,2,FALSE),1),"")</f>
        <v>1</v>
      </c>
      <c r="F189" s="25">
        <v>1175.33</v>
      </c>
      <c r="G189" s="28">
        <f>IF(LEFT(D189,6)="CLIENT",IF(E189=0,WORKDAY(A189-1,1,Dias_Sem_Compensacao!$A$2:$A$500),WORKDAY(A189,E189,Dias_Sem_Compensacao!$A$2:$A$500)),"")</f>
        <v>46300</v>
      </c>
      <c r="H189" s="25">
        <v>0</v>
      </c>
      <c r="I189" s="28">
        <v>46297</v>
      </c>
      <c r="J189" t="s">
        <v>556</v>
      </c>
      <c r="K189" t="s">
        <v>557</v>
      </c>
    </row>
    <row r="190" spans="1:11" hidden="1">
      <c r="A190" s="28">
        <v>46297</v>
      </c>
      <c r="B190" t="s">
        <v>185</v>
      </c>
      <c r="C190" t="s">
        <v>202</v>
      </c>
      <c r="D190" t="s">
        <v>217</v>
      </c>
      <c r="E190">
        <f>IF(LEFT(D190,6)="CLIENT",IFERROR(VLOOKUP(C190,Config_Carteiras!$A:$B,2,FALSE),1),"")</f>
        <v>1</v>
      </c>
      <c r="F190" s="25">
        <v>45560.160000000003</v>
      </c>
      <c r="G190" s="28">
        <f>IF(LEFT(D190,6)="CLIENT",IF(E190=0,WORKDAY(A190-1,1,Dias_Sem_Compensacao!$A$2:$A$500),WORKDAY(A190,E190,Dias_Sem_Compensacao!$A$2:$A$500)),"")</f>
        <v>46300</v>
      </c>
      <c r="H190" s="25">
        <v>0</v>
      </c>
      <c r="I190" s="28">
        <v>46297</v>
      </c>
      <c r="J190" t="s">
        <v>134</v>
      </c>
      <c r="K190" t="s">
        <v>558</v>
      </c>
    </row>
    <row r="191" spans="1:11" hidden="1">
      <c r="A191" s="28">
        <v>46297</v>
      </c>
      <c r="B191" t="s">
        <v>185</v>
      </c>
      <c r="C191" t="s">
        <v>202</v>
      </c>
      <c r="D191" t="s">
        <v>217</v>
      </c>
      <c r="E191">
        <f>IF(LEFT(D191,6)="CLIENT",IFERROR(VLOOKUP(C191,Config_Carteiras!$A:$B,2,FALSE),1),"")</f>
        <v>1</v>
      </c>
      <c r="F191" s="25">
        <v>1818.43</v>
      </c>
      <c r="G191" s="28">
        <f>IF(LEFT(D191,6)="CLIENT",IF(E191=0,WORKDAY(A191-1,1,Dias_Sem_Compensacao!$A$2:$A$500),WORKDAY(A191,E191,Dias_Sem_Compensacao!$A$2:$A$500)),"")</f>
        <v>46300</v>
      </c>
      <c r="H191" s="25">
        <v>0</v>
      </c>
      <c r="I191" s="28">
        <v>46297</v>
      </c>
      <c r="K191" t="s">
        <v>559</v>
      </c>
    </row>
    <row r="192" spans="1:11" hidden="1">
      <c r="A192" s="28">
        <v>46297</v>
      </c>
      <c r="B192" t="s">
        <v>185</v>
      </c>
      <c r="C192" t="s">
        <v>202</v>
      </c>
      <c r="D192" t="s">
        <v>217</v>
      </c>
      <c r="E192">
        <f>IF(LEFT(D192,6)="CLIENT",IFERROR(VLOOKUP(C192,Config_Carteiras!$A:$B,2,FALSE),1),"")</f>
        <v>1</v>
      </c>
      <c r="F192" s="25">
        <v>151</v>
      </c>
      <c r="G192" s="28">
        <f>IF(LEFT(D192,6)="CLIENT",IF(E192=0,WORKDAY(A192-1,1,Dias_Sem_Compensacao!$A$2:$A$500),WORKDAY(A192,E192,Dias_Sem_Compensacao!$A$2:$A$500)),"")</f>
        <v>46300</v>
      </c>
      <c r="H192" s="25">
        <v>0</v>
      </c>
      <c r="I192" s="28">
        <v>46297</v>
      </c>
      <c r="J192" t="s">
        <v>560</v>
      </c>
      <c r="K192" t="s">
        <v>561</v>
      </c>
    </row>
    <row r="193" spans="1:11" hidden="1">
      <c r="A193" s="28">
        <v>46297</v>
      </c>
      <c r="B193" t="s">
        <v>185</v>
      </c>
      <c r="C193" t="s">
        <v>202</v>
      </c>
      <c r="D193" t="s">
        <v>217</v>
      </c>
      <c r="E193">
        <f>IF(LEFT(D193,6)="CLIENT",IFERROR(VLOOKUP(C193,Config_Carteiras!$A:$B,2,FALSE),1),"")</f>
        <v>1</v>
      </c>
      <c r="F193" s="25">
        <v>934</v>
      </c>
      <c r="G193" s="28">
        <f>IF(LEFT(D193,6)="CLIENT",IF(E193=0,WORKDAY(A193-1,1,Dias_Sem_Compensacao!$A$2:$A$500),WORKDAY(A193,E193,Dias_Sem_Compensacao!$A$2:$A$500)),"")</f>
        <v>46300</v>
      </c>
      <c r="H193" s="25">
        <v>0</v>
      </c>
      <c r="I193" s="28">
        <v>46297</v>
      </c>
      <c r="J193" t="s">
        <v>562</v>
      </c>
      <c r="K193" t="s">
        <v>563</v>
      </c>
    </row>
    <row r="194" spans="1:11" hidden="1">
      <c r="A194" s="28">
        <v>46297</v>
      </c>
      <c r="B194" t="s">
        <v>185</v>
      </c>
      <c r="C194" t="s">
        <v>202</v>
      </c>
      <c r="D194" t="s">
        <v>217</v>
      </c>
      <c r="E194">
        <f>IF(LEFT(D194,6)="CLIENT",IFERROR(VLOOKUP(C194,Config_Carteiras!$A:$B,2,FALSE),1),"")</f>
        <v>1</v>
      </c>
      <c r="F194" s="25">
        <v>399</v>
      </c>
      <c r="G194" s="28">
        <f>IF(LEFT(D194,6)="CLIENT",IF(E194=0,WORKDAY(A194-1,1,Dias_Sem_Compensacao!$A$2:$A$500),WORKDAY(A194,E194,Dias_Sem_Compensacao!$A$2:$A$500)),"")</f>
        <v>46300</v>
      </c>
      <c r="H194" s="25">
        <v>0</v>
      </c>
      <c r="I194" s="28">
        <v>46297</v>
      </c>
      <c r="J194" t="s">
        <v>564</v>
      </c>
      <c r="K194" t="s">
        <v>565</v>
      </c>
    </row>
    <row r="195" spans="1:11" hidden="1">
      <c r="A195" s="28">
        <v>46297</v>
      </c>
      <c r="B195" t="s">
        <v>185</v>
      </c>
      <c r="C195" t="s">
        <v>202</v>
      </c>
      <c r="D195" t="s">
        <v>217</v>
      </c>
      <c r="E195">
        <f>IF(LEFT(D195,6)="CLIENT",IFERROR(VLOOKUP(C195,Config_Carteiras!$A:$B,2,FALSE),1),"")</f>
        <v>1</v>
      </c>
      <c r="F195" s="25">
        <v>673.5</v>
      </c>
      <c r="G195" s="28">
        <f>IF(LEFT(D195,6)="CLIENT",IF(E195=0,WORKDAY(A195-1,1,Dias_Sem_Compensacao!$A$2:$A$500),WORKDAY(A195,E195,Dias_Sem_Compensacao!$A$2:$A$500)),"")</f>
        <v>46300</v>
      </c>
      <c r="H195" s="25">
        <v>0</v>
      </c>
      <c r="I195" s="28">
        <v>46297</v>
      </c>
      <c r="J195" t="s">
        <v>566</v>
      </c>
      <c r="K195" t="s">
        <v>567</v>
      </c>
    </row>
    <row r="196" spans="1:11" hidden="1">
      <c r="A196" s="28">
        <v>46297</v>
      </c>
      <c r="B196" t="s">
        <v>185</v>
      </c>
      <c r="C196" t="s">
        <v>202</v>
      </c>
      <c r="D196" t="s">
        <v>217</v>
      </c>
      <c r="E196">
        <f>IF(LEFT(D196,6)="CLIENT",IFERROR(VLOOKUP(C196,Config_Carteiras!$A:$B,2,FALSE),1),"")</f>
        <v>1</v>
      </c>
      <c r="F196" s="25">
        <v>440</v>
      </c>
      <c r="G196" s="28">
        <f>IF(LEFT(D196,6)="CLIENT",IF(E196=0,WORKDAY(A196-1,1,Dias_Sem_Compensacao!$A$2:$A$500),WORKDAY(A196,E196,Dias_Sem_Compensacao!$A$2:$A$500)),"")</f>
        <v>46300</v>
      </c>
      <c r="H196" s="25">
        <v>0</v>
      </c>
      <c r="I196" s="28">
        <v>46297</v>
      </c>
      <c r="J196" t="s">
        <v>568</v>
      </c>
      <c r="K196" t="s">
        <v>569</v>
      </c>
    </row>
    <row r="197" spans="1:11" hidden="1">
      <c r="A197" s="28">
        <v>46297</v>
      </c>
      <c r="B197" t="s">
        <v>185</v>
      </c>
      <c r="C197" t="s">
        <v>202</v>
      </c>
      <c r="D197" t="s">
        <v>217</v>
      </c>
      <c r="E197">
        <f>IF(LEFT(D197,6)="CLIENT",IFERROR(VLOOKUP(C197,Config_Carteiras!$A:$B,2,FALSE),1),"")</f>
        <v>1</v>
      </c>
      <c r="F197" s="25">
        <v>811.4</v>
      </c>
      <c r="G197" s="28">
        <f>IF(LEFT(D197,6)="CLIENT",IF(E197=0,WORKDAY(A197-1,1,Dias_Sem_Compensacao!$A$2:$A$500),WORKDAY(A197,E197,Dias_Sem_Compensacao!$A$2:$A$500)),"")</f>
        <v>46300</v>
      </c>
      <c r="H197" s="25">
        <v>0</v>
      </c>
      <c r="I197" s="28">
        <v>46297</v>
      </c>
      <c r="J197" t="s">
        <v>570</v>
      </c>
      <c r="K197" t="s">
        <v>571</v>
      </c>
    </row>
    <row r="198" spans="1:11" hidden="1">
      <c r="A198" s="28">
        <v>46297</v>
      </c>
      <c r="B198" t="s">
        <v>185</v>
      </c>
      <c r="C198" t="s">
        <v>202</v>
      </c>
      <c r="D198" t="s">
        <v>217</v>
      </c>
      <c r="E198">
        <f>IF(LEFT(D198,6)="CLIENT",IFERROR(VLOOKUP(C198,Config_Carteiras!$A:$B,2,FALSE),1),"")</f>
        <v>1</v>
      </c>
      <c r="F198" s="25">
        <v>1050</v>
      </c>
      <c r="G198" s="28">
        <f>IF(LEFT(D198,6)="CLIENT",IF(E198=0,WORKDAY(A198-1,1,Dias_Sem_Compensacao!$A$2:$A$500),WORKDAY(A198,E198,Dias_Sem_Compensacao!$A$2:$A$500)),"")</f>
        <v>46300</v>
      </c>
      <c r="H198" s="25">
        <v>0</v>
      </c>
      <c r="I198" s="28">
        <v>46297</v>
      </c>
      <c r="J198" t="s">
        <v>371</v>
      </c>
      <c r="K198" t="s">
        <v>572</v>
      </c>
    </row>
    <row r="199" spans="1:11" hidden="1">
      <c r="A199" s="28">
        <v>46297</v>
      </c>
      <c r="B199" t="s">
        <v>185</v>
      </c>
      <c r="C199" t="s">
        <v>202</v>
      </c>
      <c r="D199" t="s">
        <v>217</v>
      </c>
      <c r="E199">
        <f>IF(LEFT(D199,6)="CLIENT",IFERROR(VLOOKUP(C199,Config_Carteiras!$A:$B,2,FALSE),1),"")</f>
        <v>1</v>
      </c>
      <c r="F199" s="25">
        <v>2770</v>
      </c>
      <c r="G199" s="28">
        <f>IF(LEFT(D199,6)="CLIENT",IF(E199=0,WORKDAY(A199-1,1,Dias_Sem_Compensacao!$A$2:$A$500),WORKDAY(A199,E199,Dias_Sem_Compensacao!$A$2:$A$500)),"")</f>
        <v>46300</v>
      </c>
      <c r="H199" s="25">
        <v>0</v>
      </c>
      <c r="I199" s="28">
        <v>46297</v>
      </c>
      <c r="J199" t="s">
        <v>573</v>
      </c>
      <c r="K199" t="s">
        <v>574</v>
      </c>
    </row>
    <row r="200" spans="1:11" hidden="1">
      <c r="A200" s="28">
        <v>46300</v>
      </c>
      <c r="B200" t="s">
        <v>185</v>
      </c>
      <c r="C200" t="s">
        <v>202</v>
      </c>
      <c r="D200" t="s">
        <v>217</v>
      </c>
      <c r="E200">
        <f>IF(LEFT(D200,6)="CLIENT",IFERROR(VLOOKUP(C200,Config_Carteiras!$A:$B,2,FALSE),1),"")</f>
        <v>1</v>
      </c>
      <c r="F200" s="25">
        <v>666</v>
      </c>
      <c r="G200" s="28">
        <f>IF(LEFT(D200,6)="CLIENT",IF(E200=0,WORKDAY(A200-1,1,Dias_Sem_Compensacao!$A$2:$A$500),WORKDAY(A200,E200,Dias_Sem_Compensacao!$A$2:$A$500)),"")</f>
        <v>46301</v>
      </c>
      <c r="H200" s="25">
        <v>0</v>
      </c>
      <c r="I200" s="28">
        <v>46300</v>
      </c>
      <c r="J200" t="s">
        <v>253</v>
      </c>
      <c r="K200" t="s">
        <v>575</v>
      </c>
    </row>
    <row r="201" spans="1:11" hidden="1">
      <c r="A201" s="28">
        <v>46300</v>
      </c>
      <c r="B201" t="s">
        <v>185</v>
      </c>
      <c r="C201" t="s">
        <v>202</v>
      </c>
      <c r="D201" t="s">
        <v>217</v>
      </c>
      <c r="E201">
        <f>IF(LEFT(D201,6)="CLIENT",IFERROR(VLOOKUP(C201,Config_Carteiras!$A:$B,2,FALSE),1),"")</f>
        <v>1</v>
      </c>
      <c r="F201" s="25">
        <v>351.4</v>
      </c>
      <c r="G201" s="28">
        <f>IF(LEFT(D201,6)="CLIENT",IF(E201=0,WORKDAY(A201-1,1,Dias_Sem_Compensacao!$A$2:$A$500),WORKDAY(A201,E201,Dias_Sem_Compensacao!$A$2:$A$500)),"")</f>
        <v>46301</v>
      </c>
      <c r="H201" s="25">
        <v>0</v>
      </c>
      <c r="I201" s="28">
        <v>46300</v>
      </c>
      <c r="J201" t="s">
        <v>237</v>
      </c>
      <c r="K201" t="s">
        <v>238</v>
      </c>
    </row>
    <row r="202" spans="1:11" hidden="1">
      <c r="A202" s="28">
        <v>46300</v>
      </c>
      <c r="B202" t="s">
        <v>185</v>
      </c>
      <c r="C202" t="s">
        <v>202</v>
      </c>
      <c r="D202" t="s">
        <v>217</v>
      </c>
      <c r="E202">
        <f>IF(LEFT(D202,6)="CLIENT",IFERROR(VLOOKUP(C202,Config_Carteiras!$A:$B,2,FALSE),1),"")</f>
        <v>1</v>
      </c>
      <c r="F202" s="25">
        <v>658</v>
      </c>
      <c r="G202" s="28">
        <f>IF(LEFT(D202,6)="CLIENT",IF(E202=0,WORKDAY(A202-1,1,Dias_Sem_Compensacao!$A$2:$A$500),WORKDAY(A202,E202,Dias_Sem_Compensacao!$A$2:$A$500)),"")</f>
        <v>46301</v>
      </c>
      <c r="H202" s="25">
        <v>0</v>
      </c>
      <c r="I202" s="28">
        <v>46300</v>
      </c>
      <c r="J202" t="s">
        <v>576</v>
      </c>
      <c r="K202" t="s">
        <v>577</v>
      </c>
    </row>
    <row r="203" spans="1:11" hidden="1">
      <c r="A203" s="28">
        <v>46300</v>
      </c>
      <c r="B203" t="s">
        <v>185</v>
      </c>
      <c r="C203" t="s">
        <v>202</v>
      </c>
      <c r="D203" t="s">
        <v>217</v>
      </c>
      <c r="E203">
        <f>IF(LEFT(D203,6)="CLIENT",IFERROR(VLOOKUP(C203,Config_Carteiras!$A:$B,2,FALSE),1),"")</f>
        <v>1</v>
      </c>
      <c r="F203" s="25">
        <v>558</v>
      </c>
      <c r="G203" s="28">
        <f>IF(LEFT(D203,6)="CLIENT",IF(E203=0,WORKDAY(A203-1,1,Dias_Sem_Compensacao!$A$2:$A$500),WORKDAY(A203,E203,Dias_Sem_Compensacao!$A$2:$A$500)),"")</f>
        <v>46301</v>
      </c>
      <c r="H203" s="25">
        <v>0</v>
      </c>
      <c r="I203" s="28">
        <v>46300</v>
      </c>
      <c r="J203" t="s">
        <v>578</v>
      </c>
      <c r="K203" t="s">
        <v>579</v>
      </c>
    </row>
    <row r="204" spans="1:11" hidden="1">
      <c r="A204" s="28">
        <v>46300</v>
      </c>
      <c r="B204" t="s">
        <v>185</v>
      </c>
      <c r="C204" t="s">
        <v>202</v>
      </c>
      <c r="D204" t="s">
        <v>217</v>
      </c>
      <c r="E204">
        <f>IF(LEFT(D204,6)="CLIENT",IFERROR(VLOOKUP(C204,Config_Carteiras!$A:$B,2,FALSE),1),"")</f>
        <v>1</v>
      </c>
      <c r="F204" s="25">
        <v>1441.22</v>
      </c>
      <c r="G204" s="28">
        <f>IF(LEFT(D204,6)="CLIENT",IF(E204=0,WORKDAY(A204-1,1,Dias_Sem_Compensacao!$A$2:$A$500),WORKDAY(A204,E204,Dias_Sem_Compensacao!$A$2:$A$500)),"")</f>
        <v>46301</v>
      </c>
      <c r="H204" s="25">
        <v>0</v>
      </c>
      <c r="I204" s="28">
        <v>46300</v>
      </c>
      <c r="J204" t="s">
        <v>580</v>
      </c>
      <c r="K204" t="s">
        <v>581</v>
      </c>
    </row>
    <row r="205" spans="1:11" hidden="1">
      <c r="A205" s="28">
        <v>46300</v>
      </c>
      <c r="B205" t="s">
        <v>185</v>
      </c>
      <c r="C205" t="s">
        <v>202</v>
      </c>
      <c r="D205" t="s">
        <v>217</v>
      </c>
      <c r="E205">
        <f>IF(LEFT(D205,6)="CLIENT",IFERROR(VLOOKUP(C205,Config_Carteiras!$A:$B,2,FALSE),1),"")</f>
        <v>1</v>
      </c>
      <c r="F205" s="25">
        <v>469</v>
      </c>
      <c r="G205" s="28">
        <f>IF(LEFT(D205,6)="CLIENT",IF(E205=0,WORKDAY(A205-1,1,Dias_Sem_Compensacao!$A$2:$A$500),WORKDAY(A205,E205,Dias_Sem_Compensacao!$A$2:$A$500)),"")</f>
        <v>46301</v>
      </c>
      <c r="H205" s="25">
        <v>0</v>
      </c>
      <c r="I205" s="28">
        <v>46300</v>
      </c>
      <c r="J205" t="s">
        <v>582</v>
      </c>
      <c r="K205" t="s">
        <v>583</v>
      </c>
    </row>
    <row r="206" spans="1:11" hidden="1">
      <c r="A206" s="28">
        <v>46300</v>
      </c>
      <c r="B206" t="s">
        <v>185</v>
      </c>
      <c r="C206" t="s">
        <v>202</v>
      </c>
      <c r="D206" t="s">
        <v>217</v>
      </c>
      <c r="E206">
        <f>IF(LEFT(D206,6)="CLIENT",IFERROR(VLOOKUP(C206,Config_Carteiras!$A:$B,2,FALSE),1),"")</f>
        <v>1</v>
      </c>
      <c r="F206" s="25">
        <v>1500</v>
      </c>
      <c r="G206" s="28">
        <f>IF(LEFT(D206,6)="CLIENT",IF(E206=0,WORKDAY(A206-1,1,Dias_Sem_Compensacao!$A$2:$A$500),WORKDAY(A206,E206,Dias_Sem_Compensacao!$A$2:$A$500)),"")</f>
        <v>46301</v>
      </c>
      <c r="H206" s="25">
        <v>0</v>
      </c>
      <c r="I206" s="28">
        <v>46300</v>
      </c>
      <c r="J206" t="s">
        <v>584</v>
      </c>
      <c r="K206" t="s">
        <v>585</v>
      </c>
    </row>
    <row r="207" spans="1:11" hidden="1">
      <c r="A207" s="28">
        <v>46300</v>
      </c>
      <c r="B207" t="s">
        <v>185</v>
      </c>
      <c r="C207" t="s">
        <v>202</v>
      </c>
      <c r="D207" t="s">
        <v>217</v>
      </c>
      <c r="E207">
        <f>IF(LEFT(D207,6)="CLIENT",IFERROR(VLOOKUP(C207,Config_Carteiras!$A:$B,2,FALSE),1),"")</f>
        <v>1</v>
      </c>
      <c r="F207" s="25">
        <v>630</v>
      </c>
      <c r="G207" s="28">
        <f>IF(LEFT(D207,6)="CLIENT",IF(E207=0,WORKDAY(A207-1,1,Dias_Sem_Compensacao!$A$2:$A$500),WORKDAY(A207,E207,Dias_Sem_Compensacao!$A$2:$A$500)),"")</f>
        <v>46301</v>
      </c>
      <c r="H207" s="25">
        <v>0</v>
      </c>
      <c r="I207" s="28">
        <v>46300</v>
      </c>
      <c r="J207" t="s">
        <v>586</v>
      </c>
      <c r="K207" t="s">
        <v>587</v>
      </c>
    </row>
    <row r="208" spans="1:11" hidden="1">
      <c r="A208" s="28">
        <v>46300</v>
      </c>
      <c r="B208" t="s">
        <v>185</v>
      </c>
      <c r="C208" t="s">
        <v>202</v>
      </c>
      <c r="D208" t="s">
        <v>217</v>
      </c>
      <c r="E208">
        <f>IF(LEFT(D208,6)="CLIENT",IFERROR(VLOOKUP(C208,Config_Carteiras!$A:$B,2,FALSE),1),"")</f>
        <v>1</v>
      </c>
      <c r="F208" s="25">
        <v>255</v>
      </c>
      <c r="G208" s="28">
        <f>IF(LEFT(D208,6)="CLIENT",IF(E208=0,WORKDAY(A208-1,1,Dias_Sem_Compensacao!$A$2:$A$500),WORKDAY(A208,E208,Dias_Sem_Compensacao!$A$2:$A$500)),"")</f>
        <v>46301</v>
      </c>
      <c r="H208" s="25">
        <v>0</v>
      </c>
      <c r="I208" s="28">
        <v>46300</v>
      </c>
      <c r="K208" t="s">
        <v>588</v>
      </c>
    </row>
    <row r="209" spans="1:11" hidden="1">
      <c r="A209" s="28">
        <v>46300</v>
      </c>
      <c r="B209" t="s">
        <v>185</v>
      </c>
      <c r="C209" t="s">
        <v>202</v>
      </c>
      <c r="D209" t="s">
        <v>217</v>
      </c>
      <c r="E209">
        <f>IF(LEFT(D209,6)="CLIENT",IFERROR(VLOOKUP(C209,Config_Carteiras!$A:$B,2,FALSE),1),"")</f>
        <v>1</v>
      </c>
      <c r="F209" s="25">
        <v>405.2</v>
      </c>
      <c r="G209" s="28">
        <f>IF(LEFT(D209,6)="CLIENT",IF(E209=0,WORKDAY(A209-1,1,Dias_Sem_Compensacao!$A$2:$A$500),WORKDAY(A209,E209,Dias_Sem_Compensacao!$A$2:$A$500)),"")</f>
        <v>46301</v>
      </c>
      <c r="H209" s="25">
        <v>0</v>
      </c>
      <c r="I209" s="28">
        <v>46300</v>
      </c>
      <c r="J209" t="s">
        <v>241</v>
      </c>
      <c r="K209" t="s">
        <v>242</v>
      </c>
    </row>
    <row r="210" spans="1:11" hidden="1">
      <c r="A210" s="28">
        <v>46300</v>
      </c>
      <c r="B210" t="s">
        <v>185</v>
      </c>
      <c r="C210" t="s">
        <v>202</v>
      </c>
      <c r="D210" t="s">
        <v>217</v>
      </c>
      <c r="E210">
        <f>IF(LEFT(D210,6)="CLIENT",IFERROR(VLOOKUP(C210,Config_Carteiras!$A:$B,2,FALSE),1),"")</f>
        <v>1</v>
      </c>
      <c r="F210" s="25">
        <v>2378</v>
      </c>
      <c r="G210" s="28">
        <f>IF(LEFT(D210,6)="CLIENT",IF(E210=0,WORKDAY(A210-1,1,Dias_Sem_Compensacao!$A$2:$A$500),WORKDAY(A210,E210,Dias_Sem_Compensacao!$A$2:$A$500)),"")</f>
        <v>46301</v>
      </c>
      <c r="H210" s="25">
        <v>0</v>
      </c>
      <c r="I210" s="28">
        <v>46300</v>
      </c>
      <c r="J210" t="s">
        <v>589</v>
      </c>
      <c r="K210" t="s">
        <v>590</v>
      </c>
    </row>
    <row r="211" spans="1:11" hidden="1">
      <c r="A211" s="28">
        <v>46300</v>
      </c>
      <c r="B211" t="s">
        <v>185</v>
      </c>
      <c r="C211" t="s">
        <v>202</v>
      </c>
      <c r="D211" t="s">
        <v>217</v>
      </c>
      <c r="E211">
        <f>IF(LEFT(D211,6)="CLIENT",IFERROR(VLOOKUP(C211,Config_Carteiras!$A:$B,2,FALSE),1),"")</f>
        <v>1</v>
      </c>
      <c r="F211" s="25">
        <v>1243</v>
      </c>
      <c r="G211" s="28">
        <f>IF(LEFT(D211,6)="CLIENT",IF(E211=0,WORKDAY(A211-1,1,Dias_Sem_Compensacao!$A$2:$A$500),WORKDAY(A211,E211,Dias_Sem_Compensacao!$A$2:$A$500)),"")</f>
        <v>46301</v>
      </c>
      <c r="H211" s="25">
        <v>0</v>
      </c>
      <c r="I211" s="28">
        <v>46300</v>
      </c>
      <c r="J211" t="s">
        <v>245</v>
      </c>
      <c r="K211" t="s">
        <v>246</v>
      </c>
    </row>
    <row r="212" spans="1:11" hidden="1">
      <c r="A212" s="28">
        <v>46300</v>
      </c>
      <c r="B212" t="s">
        <v>185</v>
      </c>
      <c r="C212" t="s">
        <v>202</v>
      </c>
      <c r="D212" t="s">
        <v>217</v>
      </c>
      <c r="E212">
        <f>IF(LEFT(D212,6)="CLIENT",IFERROR(VLOOKUP(C212,Config_Carteiras!$A:$B,2,FALSE),1),"")</f>
        <v>1</v>
      </c>
      <c r="F212" s="25">
        <v>392</v>
      </c>
      <c r="G212" s="28">
        <f>IF(LEFT(D212,6)="CLIENT",IF(E212=0,WORKDAY(A212-1,1,Dias_Sem_Compensacao!$A$2:$A$500),WORKDAY(A212,E212,Dias_Sem_Compensacao!$A$2:$A$500)),"")</f>
        <v>46301</v>
      </c>
      <c r="H212" s="25">
        <v>0</v>
      </c>
      <c r="I212" s="28">
        <v>46300</v>
      </c>
      <c r="J212" t="s">
        <v>591</v>
      </c>
      <c r="K212" t="s">
        <v>592</v>
      </c>
    </row>
    <row r="213" spans="1:11" hidden="1">
      <c r="A213" s="28">
        <v>46300</v>
      </c>
      <c r="B213" t="s">
        <v>185</v>
      </c>
      <c r="C213" t="s">
        <v>202</v>
      </c>
      <c r="D213" t="s">
        <v>217</v>
      </c>
      <c r="E213">
        <f>IF(LEFT(D213,6)="CLIENT",IFERROR(VLOOKUP(C213,Config_Carteiras!$A:$B,2,FALSE),1),"")</f>
        <v>1</v>
      </c>
      <c r="F213" s="25">
        <v>402.7</v>
      </c>
      <c r="G213" s="28">
        <f>IF(LEFT(D213,6)="CLIENT",IF(E213=0,WORKDAY(A213-1,1,Dias_Sem_Compensacao!$A$2:$A$500),WORKDAY(A213,E213,Dias_Sem_Compensacao!$A$2:$A$500)),"")</f>
        <v>46301</v>
      </c>
      <c r="H213" s="25">
        <v>0</v>
      </c>
      <c r="I213" s="28">
        <v>46300</v>
      </c>
      <c r="J213" t="s">
        <v>593</v>
      </c>
      <c r="K213" t="s">
        <v>594</v>
      </c>
    </row>
    <row r="214" spans="1:11" hidden="1">
      <c r="A214" s="28">
        <v>46300</v>
      </c>
      <c r="B214" t="s">
        <v>185</v>
      </c>
      <c r="C214" t="s">
        <v>202</v>
      </c>
      <c r="D214" t="s">
        <v>217</v>
      </c>
      <c r="E214">
        <f>IF(LEFT(D214,6)="CLIENT",IFERROR(VLOOKUP(C214,Config_Carteiras!$A:$B,2,FALSE),1),"")</f>
        <v>1</v>
      </c>
      <c r="F214" s="25">
        <v>420</v>
      </c>
      <c r="G214" s="28">
        <f>IF(LEFT(D214,6)="CLIENT",IF(E214=0,WORKDAY(A214-1,1,Dias_Sem_Compensacao!$A$2:$A$500),WORKDAY(A214,E214,Dias_Sem_Compensacao!$A$2:$A$500)),"")</f>
        <v>46301</v>
      </c>
      <c r="H214" s="25">
        <v>0</v>
      </c>
      <c r="I214" s="28">
        <v>46300</v>
      </c>
      <c r="J214" t="s">
        <v>595</v>
      </c>
      <c r="K214" t="s">
        <v>596</v>
      </c>
    </row>
    <row r="215" spans="1:11" hidden="1">
      <c r="A215" s="28">
        <v>46300</v>
      </c>
      <c r="B215" t="s">
        <v>185</v>
      </c>
      <c r="C215" t="s">
        <v>202</v>
      </c>
      <c r="D215" t="s">
        <v>217</v>
      </c>
      <c r="E215">
        <f>IF(LEFT(D215,6)="CLIENT",IFERROR(VLOOKUP(C215,Config_Carteiras!$A:$B,2,FALSE),1),"")</f>
        <v>1</v>
      </c>
      <c r="F215" s="25">
        <v>676</v>
      </c>
      <c r="G215" s="28">
        <f>IF(LEFT(D215,6)="CLIENT",IF(E215=0,WORKDAY(A215-1,1,Dias_Sem_Compensacao!$A$2:$A$500),WORKDAY(A215,E215,Dias_Sem_Compensacao!$A$2:$A$500)),"")</f>
        <v>46301</v>
      </c>
      <c r="H215" s="25">
        <v>0</v>
      </c>
      <c r="I215" s="28">
        <v>46300</v>
      </c>
      <c r="J215" t="s">
        <v>597</v>
      </c>
      <c r="K215" t="s">
        <v>598</v>
      </c>
    </row>
    <row r="216" spans="1:11" hidden="1">
      <c r="A216" s="28">
        <v>46300</v>
      </c>
      <c r="B216" t="s">
        <v>185</v>
      </c>
      <c r="C216" t="s">
        <v>202</v>
      </c>
      <c r="D216" t="s">
        <v>217</v>
      </c>
      <c r="E216">
        <f>IF(LEFT(D216,6)="CLIENT",IFERROR(VLOOKUP(C216,Config_Carteiras!$A:$B,2,FALSE),1),"")</f>
        <v>1</v>
      </c>
      <c r="F216" s="25">
        <v>1352</v>
      </c>
      <c r="G216" s="28">
        <f>IF(LEFT(D216,6)="CLIENT",IF(E216=0,WORKDAY(A216-1,1,Dias_Sem_Compensacao!$A$2:$A$500),WORKDAY(A216,E216,Dias_Sem_Compensacao!$A$2:$A$500)),"")</f>
        <v>46301</v>
      </c>
      <c r="H216" s="25">
        <v>0</v>
      </c>
      <c r="I216" s="28">
        <v>46300</v>
      </c>
      <c r="J216" t="s">
        <v>599</v>
      </c>
      <c r="K216" t="s">
        <v>600</v>
      </c>
    </row>
    <row r="217" spans="1:11" hidden="1">
      <c r="A217" s="28">
        <v>46300</v>
      </c>
      <c r="B217" t="s">
        <v>185</v>
      </c>
      <c r="C217" t="s">
        <v>202</v>
      </c>
      <c r="D217" t="s">
        <v>217</v>
      </c>
      <c r="E217">
        <f>IF(LEFT(D217,6)="CLIENT",IFERROR(VLOOKUP(C217,Config_Carteiras!$A:$B,2,FALSE),1),"")</f>
        <v>1</v>
      </c>
      <c r="F217" s="25">
        <v>719</v>
      </c>
      <c r="G217" s="28">
        <f>IF(LEFT(D217,6)="CLIENT",IF(E217=0,WORKDAY(A217-1,1,Dias_Sem_Compensacao!$A$2:$A$500),WORKDAY(A217,E217,Dias_Sem_Compensacao!$A$2:$A$500)),"")</f>
        <v>46301</v>
      </c>
      <c r="H217" s="25">
        <v>0</v>
      </c>
      <c r="I217" s="28">
        <v>46300</v>
      </c>
      <c r="J217" t="s">
        <v>601</v>
      </c>
      <c r="K217" t="s">
        <v>602</v>
      </c>
    </row>
    <row r="218" spans="1:11" hidden="1">
      <c r="A218" s="28">
        <v>46300</v>
      </c>
      <c r="B218" t="s">
        <v>185</v>
      </c>
      <c r="C218" t="s">
        <v>202</v>
      </c>
      <c r="D218" t="s">
        <v>217</v>
      </c>
      <c r="E218">
        <f>IF(LEFT(D218,6)="CLIENT",IFERROR(VLOOKUP(C218,Config_Carteiras!$A:$B,2,FALSE),1),"")</f>
        <v>1</v>
      </c>
      <c r="F218" s="25">
        <v>870.4</v>
      </c>
      <c r="G218" s="28">
        <f>IF(LEFT(D218,6)="CLIENT",IF(E218=0,WORKDAY(A218-1,1,Dias_Sem_Compensacao!$A$2:$A$500),WORKDAY(A218,E218,Dias_Sem_Compensacao!$A$2:$A$500)),"")</f>
        <v>46301</v>
      </c>
      <c r="H218" s="25">
        <v>0</v>
      </c>
      <c r="I218" s="28">
        <v>46300</v>
      </c>
      <c r="J218" t="s">
        <v>603</v>
      </c>
      <c r="K218" t="s">
        <v>604</v>
      </c>
    </row>
    <row r="219" spans="1:11" hidden="1">
      <c r="A219" s="28">
        <v>46300</v>
      </c>
      <c r="B219" t="s">
        <v>185</v>
      </c>
      <c r="C219" t="s">
        <v>202</v>
      </c>
      <c r="D219" t="s">
        <v>217</v>
      </c>
      <c r="E219">
        <f>IF(LEFT(D219,6)="CLIENT",IFERROR(VLOOKUP(C219,Config_Carteiras!$A:$B,2,FALSE),1),"")</f>
        <v>1</v>
      </c>
      <c r="F219" s="25">
        <v>457</v>
      </c>
      <c r="G219" s="28">
        <f>IF(LEFT(D219,6)="CLIENT",IF(E219=0,WORKDAY(A219-1,1,Dias_Sem_Compensacao!$A$2:$A$500),WORKDAY(A219,E219,Dias_Sem_Compensacao!$A$2:$A$500)),"")</f>
        <v>46301</v>
      </c>
      <c r="H219" s="25">
        <v>0</v>
      </c>
      <c r="I219" s="28">
        <v>46300</v>
      </c>
      <c r="J219" t="s">
        <v>605</v>
      </c>
      <c r="K219" t="s">
        <v>606</v>
      </c>
    </row>
    <row r="220" spans="1:11" hidden="1">
      <c r="A220" s="28">
        <v>46300</v>
      </c>
      <c r="B220" t="s">
        <v>185</v>
      </c>
      <c r="C220" t="s">
        <v>202</v>
      </c>
      <c r="D220" t="s">
        <v>217</v>
      </c>
      <c r="E220">
        <f>IF(LEFT(D220,6)="CLIENT",IFERROR(VLOOKUP(C220,Config_Carteiras!$A:$B,2,FALSE),1),"")</f>
        <v>1</v>
      </c>
      <c r="F220" s="25">
        <v>1192</v>
      </c>
      <c r="G220" s="28">
        <f>IF(LEFT(D220,6)="CLIENT",IF(E220=0,WORKDAY(A220-1,1,Dias_Sem_Compensacao!$A$2:$A$500),WORKDAY(A220,E220,Dias_Sem_Compensacao!$A$2:$A$500)),"")</f>
        <v>46301</v>
      </c>
      <c r="H220" s="25">
        <v>0</v>
      </c>
      <c r="I220" s="28">
        <v>46300</v>
      </c>
      <c r="J220" t="s">
        <v>607</v>
      </c>
      <c r="K220" t="s">
        <v>608</v>
      </c>
    </row>
    <row r="221" spans="1:11" hidden="1">
      <c r="A221" s="28">
        <v>46300</v>
      </c>
      <c r="B221" t="s">
        <v>185</v>
      </c>
      <c r="C221" t="s">
        <v>202</v>
      </c>
      <c r="D221" t="s">
        <v>217</v>
      </c>
      <c r="E221">
        <f>IF(LEFT(D221,6)="CLIENT",IFERROR(VLOOKUP(C221,Config_Carteiras!$A:$B,2,FALSE),1),"")</f>
        <v>1</v>
      </c>
      <c r="F221" s="25">
        <v>1075</v>
      </c>
      <c r="G221" s="28">
        <f>IF(LEFT(D221,6)="CLIENT",IF(E221=0,WORKDAY(A221-1,1,Dias_Sem_Compensacao!$A$2:$A$500),WORKDAY(A221,E221,Dias_Sem_Compensacao!$A$2:$A$500)),"")</f>
        <v>46301</v>
      </c>
      <c r="H221" s="25">
        <v>0</v>
      </c>
      <c r="I221" s="28">
        <v>46300</v>
      </c>
      <c r="J221" t="s">
        <v>609</v>
      </c>
      <c r="K221" t="s">
        <v>610</v>
      </c>
    </row>
    <row r="222" spans="1:11" hidden="1">
      <c r="A222" s="28">
        <v>46300</v>
      </c>
      <c r="B222" t="s">
        <v>185</v>
      </c>
      <c r="C222" t="s">
        <v>202</v>
      </c>
      <c r="D222" t="s">
        <v>217</v>
      </c>
      <c r="E222">
        <f>IF(LEFT(D222,6)="CLIENT",IFERROR(VLOOKUP(C222,Config_Carteiras!$A:$B,2,FALSE),1),"")</f>
        <v>1</v>
      </c>
      <c r="F222" s="25">
        <v>467</v>
      </c>
      <c r="G222" s="28">
        <f>IF(LEFT(D222,6)="CLIENT",IF(E222=0,WORKDAY(A222-1,1,Dias_Sem_Compensacao!$A$2:$A$500),WORKDAY(A222,E222,Dias_Sem_Compensacao!$A$2:$A$500)),"")</f>
        <v>46301</v>
      </c>
      <c r="H222" s="25">
        <v>0</v>
      </c>
      <c r="I222" s="28">
        <v>46300</v>
      </c>
      <c r="J222" t="s">
        <v>611</v>
      </c>
      <c r="K222" t="s">
        <v>612</v>
      </c>
    </row>
    <row r="223" spans="1:11" hidden="1">
      <c r="A223" s="28">
        <v>46300</v>
      </c>
      <c r="B223" t="s">
        <v>185</v>
      </c>
      <c r="C223" t="s">
        <v>202</v>
      </c>
      <c r="D223" t="s">
        <v>217</v>
      </c>
      <c r="E223">
        <f>IF(LEFT(D223,6)="CLIENT",IFERROR(VLOOKUP(C223,Config_Carteiras!$A:$B,2,FALSE),1),"")</f>
        <v>1</v>
      </c>
      <c r="F223" s="25">
        <v>625</v>
      </c>
      <c r="G223" s="28">
        <f>IF(LEFT(D223,6)="CLIENT",IF(E223=0,WORKDAY(A223-1,1,Dias_Sem_Compensacao!$A$2:$A$500),WORKDAY(A223,E223,Dias_Sem_Compensacao!$A$2:$A$500)),"")</f>
        <v>46301</v>
      </c>
      <c r="H223" s="25">
        <v>0</v>
      </c>
      <c r="I223" s="28">
        <v>46300</v>
      </c>
      <c r="J223" t="s">
        <v>613</v>
      </c>
      <c r="K223" t="s">
        <v>614</v>
      </c>
    </row>
    <row r="224" spans="1:11" hidden="1">
      <c r="A224" s="28">
        <v>46300</v>
      </c>
      <c r="B224" t="s">
        <v>185</v>
      </c>
      <c r="C224" t="s">
        <v>202</v>
      </c>
      <c r="D224" t="s">
        <v>217</v>
      </c>
      <c r="E224">
        <f>IF(LEFT(D224,6)="CLIENT",IFERROR(VLOOKUP(C224,Config_Carteiras!$A:$B,2,FALSE),1),"")</f>
        <v>1</v>
      </c>
      <c r="F224" s="25">
        <v>3319.5</v>
      </c>
      <c r="G224" s="28">
        <f>IF(LEFT(D224,6)="CLIENT",IF(E224=0,WORKDAY(A224-1,1,Dias_Sem_Compensacao!$A$2:$A$500),WORKDAY(A224,E224,Dias_Sem_Compensacao!$A$2:$A$500)),"")</f>
        <v>46301</v>
      </c>
      <c r="H224" s="25">
        <v>0</v>
      </c>
      <c r="I224" s="28">
        <v>46300</v>
      </c>
      <c r="J224" t="s">
        <v>247</v>
      </c>
      <c r="K224" t="s">
        <v>248</v>
      </c>
    </row>
    <row r="225" spans="1:11" hidden="1">
      <c r="A225" s="28">
        <v>46300</v>
      </c>
      <c r="B225" t="s">
        <v>185</v>
      </c>
      <c r="C225" t="s">
        <v>202</v>
      </c>
      <c r="D225" t="s">
        <v>217</v>
      </c>
      <c r="E225">
        <f>IF(LEFT(D225,6)="CLIENT",IFERROR(VLOOKUP(C225,Config_Carteiras!$A:$B,2,FALSE),1),"")</f>
        <v>1</v>
      </c>
      <c r="F225" s="25">
        <v>667.58</v>
      </c>
      <c r="G225" s="28">
        <f>IF(LEFT(D225,6)="CLIENT",IF(E225=0,WORKDAY(A225-1,1,Dias_Sem_Compensacao!$A$2:$A$500),WORKDAY(A225,E225,Dias_Sem_Compensacao!$A$2:$A$500)),"")</f>
        <v>46301</v>
      </c>
      <c r="H225" s="25">
        <v>0</v>
      </c>
      <c r="I225" s="28">
        <v>46300</v>
      </c>
      <c r="J225" t="s">
        <v>615</v>
      </c>
      <c r="K225" t="s">
        <v>616</v>
      </c>
    </row>
    <row r="226" spans="1:11" hidden="1">
      <c r="A226" s="28">
        <v>46300</v>
      </c>
      <c r="B226" t="s">
        <v>185</v>
      </c>
      <c r="C226" t="s">
        <v>202</v>
      </c>
      <c r="D226" t="s">
        <v>217</v>
      </c>
      <c r="E226">
        <f>IF(LEFT(D226,6)="CLIENT",IFERROR(VLOOKUP(C226,Config_Carteiras!$A:$B,2,FALSE),1),"")</f>
        <v>1</v>
      </c>
      <c r="F226" s="25">
        <v>1265</v>
      </c>
      <c r="G226" s="28">
        <f>IF(LEFT(D226,6)="CLIENT",IF(E226=0,WORKDAY(A226-1,1,Dias_Sem_Compensacao!$A$2:$A$500),WORKDAY(A226,E226,Dias_Sem_Compensacao!$A$2:$A$500)),"")</f>
        <v>46301</v>
      </c>
      <c r="H226" s="25">
        <v>0</v>
      </c>
      <c r="I226" s="28">
        <v>46300</v>
      </c>
      <c r="J226" t="s">
        <v>617</v>
      </c>
      <c r="K226" t="s">
        <v>618</v>
      </c>
    </row>
    <row r="227" spans="1:11" hidden="1">
      <c r="A227" s="28">
        <v>46300</v>
      </c>
      <c r="B227" t="s">
        <v>185</v>
      </c>
      <c r="C227" t="s">
        <v>202</v>
      </c>
      <c r="D227" t="s">
        <v>217</v>
      </c>
      <c r="E227">
        <f>IF(LEFT(D227,6)="CLIENT",IFERROR(VLOOKUP(C227,Config_Carteiras!$A:$B,2,FALSE),1),"")</f>
        <v>1</v>
      </c>
      <c r="F227" s="25">
        <v>3753</v>
      </c>
      <c r="G227" s="28">
        <f>IF(LEFT(D227,6)="CLIENT",IF(E227=0,WORKDAY(A227-1,1,Dias_Sem_Compensacao!$A$2:$A$500),WORKDAY(A227,E227,Dias_Sem_Compensacao!$A$2:$A$500)),"")</f>
        <v>46301</v>
      </c>
      <c r="H227" s="25">
        <v>0</v>
      </c>
      <c r="I227" s="28">
        <v>46300</v>
      </c>
      <c r="J227" t="s">
        <v>619</v>
      </c>
      <c r="K227" t="s">
        <v>620</v>
      </c>
    </row>
    <row r="228" spans="1:11" hidden="1">
      <c r="A228" s="28">
        <v>46300</v>
      </c>
      <c r="B228" t="s">
        <v>185</v>
      </c>
      <c r="C228" t="s">
        <v>202</v>
      </c>
      <c r="D228" t="s">
        <v>217</v>
      </c>
      <c r="E228">
        <f>IF(LEFT(D228,6)="CLIENT",IFERROR(VLOOKUP(C228,Config_Carteiras!$A:$B,2,FALSE),1),"")</f>
        <v>1</v>
      </c>
      <c r="F228" s="25">
        <v>891</v>
      </c>
      <c r="G228" s="28">
        <f>IF(LEFT(D228,6)="CLIENT",IF(E228=0,WORKDAY(A228-1,1,Dias_Sem_Compensacao!$A$2:$A$500),WORKDAY(A228,E228,Dias_Sem_Compensacao!$A$2:$A$500)),"")</f>
        <v>46301</v>
      </c>
      <c r="H228" s="25">
        <v>0</v>
      </c>
      <c r="I228" s="28">
        <v>46300</v>
      </c>
      <c r="J228" t="s">
        <v>621</v>
      </c>
      <c r="K228" t="s">
        <v>622</v>
      </c>
    </row>
    <row r="229" spans="1:11" hidden="1">
      <c r="A229" s="28">
        <v>46300</v>
      </c>
      <c r="B229" t="s">
        <v>185</v>
      </c>
      <c r="C229" t="s">
        <v>202</v>
      </c>
      <c r="D229" t="s">
        <v>217</v>
      </c>
      <c r="E229">
        <f>IF(LEFT(D229,6)="CLIENT",IFERROR(VLOOKUP(C229,Config_Carteiras!$A:$B,2,FALSE),1),"")</f>
        <v>1</v>
      </c>
      <c r="F229" s="25">
        <v>352</v>
      </c>
      <c r="G229" s="28">
        <f>IF(LEFT(D229,6)="CLIENT",IF(E229=0,WORKDAY(A229-1,1,Dias_Sem_Compensacao!$A$2:$A$500),WORKDAY(A229,E229,Dias_Sem_Compensacao!$A$2:$A$500)),"")</f>
        <v>46301</v>
      </c>
      <c r="H229" s="25">
        <v>0</v>
      </c>
      <c r="I229" s="28">
        <v>46300</v>
      </c>
      <c r="J229" t="s">
        <v>623</v>
      </c>
      <c r="K229" t="s">
        <v>624</v>
      </c>
    </row>
    <row r="230" spans="1:11" hidden="1">
      <c r="A230" s="28">
        <v>46300</v>
      </c>
      <c r="B230" t="s">
        <v>185</v>
      </c>
      <c r="C230" t="s">
        <v>202</v>
      </c>
      <c r="D230" t="s">
        <v>217</v>
      </c>
      <c r="E230">
        <f>IF(LEFT(D230,6)="CLIENT",IFERROR(VLOOKUP(C230,Config_Carteiras!$A:$B,2,FALSE),1),"")</f>
        <v>1</v>
      </c>
      <c r="F230" s="25">
        <v>390.6</v>
      </c>
      <c r="G230" s="28">
        <f>IF(LEFT(D230,6)="CLIENT",IF(E230=0,WORKDAY(A230-1,1,Dias_Sem_Compensacao!$A$2:$A$500),WORKDAY(A230,E230,Dias_Sem_Compensacao!$A$2:$A$500)),"")</f>
        <v>46301</v>
      </c>
      <c r="H230" s="25">
        <v>0</v>
      </c>
      <c r="I230" s="28">
        <v>46300</v>
      </c>
      <c r="J230" t="s">
        <v>251</v>
      </c>
      <c r="K230" t="s">
        <v>252</v>
      </c>
    </row>
    <row r="231" spans="1:11" hidden="1">
      <c r="A231" s="28">
        <v>46300</v>
      </c>
      <c r="B231" t="s">
        <v>185</v>
      </c>
      <c r="C231" t="s">
        <v>202</v>
      </c>
      <c r="D231" t="s">
        <v>217</v>
      </c>
      <c r="E231">
        <f>IF(LEFT(D231,6)="CLIENT",IFERROR(VLOOKUP(C231,Config_Carteiras!$A:$B,2,FALSE),1),"")</f>
        <v>1</v>
      </c>
      <c r="F231" s="25">
        <v>360</v>
      </c>
      <c r="G231" s="28">
        <f>IF(LEFT(D231,6)="CLIENT",IF(E231=0,WORKDAY(A231-1,1,Dias_Sem_Compensacao!$A$2:$A$500),WORKDAY(A231,E231,Dias_Sem_Compensacao!$A$2:$A$500)),"")</f>
        <v>46301</v>
      </c>
      <c r="H231" s="25">
        <v>0</v>
      </c>
      <c r="I231" s="28">
        <v>46300</v>
      </c>
      <c r="J231" t="s">
        <v>354</v>
      </c>
      <c r="K231" t="s">
        <v>625</v>
      </c>
    </row>
    <row r="232" spans="1:11" hidden="1">
      <c r="A232" s="28">
        <v>46300</v>
      </c>
      <c r="B232" t="s">
        <v>185</v>
      </c>
      <c r="C232" t="s">
        <v>202</v>
      </c>
      <c r="D232" t="s">
        <v>217</v>
      </c>
      <c r="E232">
        <f>IF(LEFT(D232,6)="CLIENT",IFERROR(VLOOKUP(C232,Config_Carteiras!$A:$B,2,FALSE),1),"")</f>
        <v>1</v>
      </c>
      <c r="F232" s="25">
        <v>480</v>
      </c>
      <c r="G232" s="28">
        <f>IF(LEFT(D232,6)="CLIENT",IF(E232=0,WORKDAY(A232-1,1,Dias_Sem_Compensacao!$A$2:$A$500),WORKDAY(A232,E232,Dias_Sem_Compensacao!$A$2:$A$500)),"")</f>
        <v>46301</v>
      </c>
      <c r="H232" s="25">
        <v>0</v>
      </c>
      <c r="I232" s="28">
        <v>46300</v>
      </c>
      <c r="K232" t="s">
        <v>626</v>
      </c>
    </row>
    <row r="233" spans="1:11" hidden="1">
      <c r="A233" s="28">
        <v>46300</v>
      </c>
      <c r="B233" t="s">
        <v>185</v>
      </c>
      <c r="C233" t="s">
        <v>202</v>
      </c>
      <c r="D233" t="s">
        <v>217</v>
      </c>
      <c r="E233">
        <f>IF(LEFT(D233,6)="CLIENT",IFERROR(VLOOKUP(C233,Config_Carteiras!$A:$B,2,FALSE),1),"")</f>
        <v>1</v>
      </c>
      <c r="F233" s="25">
        <v>5427.09</v>
      </c>
      <c r="G233" s="28">
        <f>IF(LEFT(D233,6)="CLIENT",IF(E233=0,WORKDAY(A233-1,1,Dias_Sem_Compensacao!$A$2:$A$500),WORKDAY(A233,E233,Dias_Sem_Compensacao!$A$2:$A$500)),"")</f>
        <v>46301</v>
      </c>
      <c r="H233" s="25">
        <v>0</v>
      </c>
      <c r="I233" s="28">
        <v>46300</v>
      </c>
      <c r="J233" t="s">
        <v>98</v>
      </c>
      <c r="K233" t="s">
        <v>627</v>
      </c>
    </row>
    <row r="234" spans="1:11" hidden="1">
      <c r="A234" s="28">
        <v>46300</v>
      </c>
      <c r="B234" t="s">
        <v>185</v>
      </c>
      <c r="C234" t="s">
        <v>202</v>
      </c>
      <c r="D234" t="s">
        <v>217</v>
      </c>
      <c r="E234">
        <f>IF(LEFT(D234,6)="CLIENT",IFERROR(VLOOKUP(C234,Config_Carteiras!$A:$B,2,FALSE),1),"")</f>
        <v>1</v>
      </c>
      <c r="F234" s="25">
        <v>493</v>
      </c>
      <c r="G234" s="28">
        <f>IF(LEFT(D234,6)="CLIENT",IF(E234=0,WORKDAY(A234-1,1,Dias_Sem_Compensacao!$A$2:$A$500),WORKDAY(A234,E234,Dias_Sem_Compensacao!$A$2:$A$500)),"")</f>
        <v>46301</v>
      </c>
      <c r="H234" s="25">
        <v>0</v>
      </c>
      <c r="I234" s="28">
        <v>46300</v>
      </c>
      <c r="J234" t="s">
        <v>628</v>
      </c>
      <c r="K234" t="s">
        <v>629</v>
      </c>
    </row>
    <row r="235" spans="1:11" hidden="1">
      <c r="A235" s="28">
        <v>46300</v>
      </c>
      <c r="B235" t="s">
        <v>185</v>
      </c>
      <c r="C235" t="s">
        <v>202</v>
      </c>
      <c r="D235" t="s">
        <v>217</v>
      </c>
      <c r="E235">
        <f>IF(LEFT(D235,6)="CLIENT",IFERROR(VLOOKUP(C235,Config_Carteiras!$A:$B,2,FALSE),1),"")</f>
        <v>1</v>
      </c>
      <c r="F235" s="25">
        <v>225.5</v>
      </c>
      <c r="G235" s="28">
        <f>IF(LEFT(D235,6)="CLIENT",IF(E235=0,WORKDAY(A235-1,1,Dias_Sem_Compensacao!$A$2:$A$500),WORKDAY(A235,E235,Dias_Sem_Compensacao!$A$2:$A$500)),"")</f>
        <v>46301</v>
      </c>
      <c r="H235" s="25">
        <v>0</v>
      </c>
      <c r="I235" s="28">
        <v>46300</v>
      </c>
      <c r="J235" t="s">
        <v>630</v>
      </c>
      <c r="K235" t="s">
        <v>631</v>
      </c>
    </row>
    <row r="236" spans="1:11" hidden="1">
      <c r="A236" s="28">
        <v>46300</v>
      </c>
      <c r="B236" t="s">
        <v>185</v>
      </c>
      <c r="C236" t="s">
        <v>202</v>
      </c>
      <c r="D236" t="s">
        <v>217</v>
      </c>
      <c r="E236">
        <f>IF(LEFT(D236,6)="CLIENT",IFERROR(VLOOKUP(C236,Config_Carteiras!$A:$B,2,FALSE),1),"")</f>
        <v>1</v>
      </c>
      <c r="F236" s="25">
        <v>418.64</v>
      </c>
      <c r="G236" s="28">
        <f>IF(LEFT(D236,6)="CLIENT",IF(E236=0,WORKDAY(A236-1,1,Dias_Sem_Compensacao!$A$2:$A$500),WORKDAY(A236,E236,Dias_Sem_Compensacao!$A$2:$A$500)),"")</f>
        <v>46301</v>
      </c>
      <c r="H236" s="25">
        <v>0</v>
      </c>
      <c r="I236" s="28">
        <v>46300</v>
      </c>
      <c r="J236" t="s">
        <v>632</v>
      </c>
      <c r="K236" t="s">
        <v>633</v>
      </c>
    </row>
    <row r="237" spans="1:11" hidden="1">
      <c r="A237" s="28">
        <v>46300</v>
      </c>
      <c r="B237" t="s">
        <v>185</v>
      </c>
      <c r="C237" t="s">
        <v>202</v>
      </c>
      <c r="D237" t="s">
        <v>217</v>
      </c>
      <c r="E237">
        <f>IF(LEFT(D237,6)="CLIENT",IFERROR(VLOOKUP(C237,Config_Carteiras!$A:$B,2,FALSE),1),"")</f>
        <v>1</v>
      </c>
      <c r="F237" s="25">
        <v>2375.6</v>
      </c>
      <c r="G237" s="28">
        <f>IF(LEFT(D237,6)="CLIENT",IF(E237=0,WORKDAY(A237-1,1,Dias_Sem_Compensacao!$A$2:$A$500),WORKDAY(A237,E237,Dias_Sem_Compensacao!$A$2:$A$500)),"")</f>
        <v>46301</v>
      </c>
      <c r="H237" s="25">
        <v>0</v>
      </c>
      <c r="I237" s="28">
        <v>46300</v>
      </c>
      <c r="J237" t="s">
        <v>634</v>
      </c>
      <c r="K237" t="s">
        <v>635</v>
      </c>
    </row>
    <row r="238" spans="1:11" hidden="1">
      <c r="A238" s="28">
        <v>46300</v>
      </c>
      <c r="B238" t="s">
        <v>185</v>
      </c>
      <c r="C238" t="s">
        <v>202</v>
      </c>
      <c r="D238" t="s">
        <v>217</v>
      </c>
      <c r="E238">
        <f>IF(LEFT(D238,6)="CLIENT",IFERROR(VLOOKUP(C238,Config_Carteiras!$A:$B,2,FALSE),1),"")</f>
        <v>1</v>
      </c>
      <c r="F238" s="25">
        <v>520</v>
      </c>
      <c r="G238" s="28">
        <f>IF(LEFT(D238,6)="CLIENT",IF(E238=0,WORKDAY(A238-1,1,Dias_Sem_Compensacao!$A$2:$A$500),WORKDAY(A238,E238,Dias_Sem_Compensacao!$A$2:$A$500)),"")</f>
        <v>46301</v>
      </c>
      <c r="H238" s="25">
        <v>0</v>
      </c>
      <c r="I238" s="28">
        <v>46300</v>
      </c>
      <c r="J238" t="s">
        <v>636</v>
      </c>
      <c r="K238" t="s">
        <v>637</v>
      </c>
    </row>
    <row r="239" spans="1:11" hidden="1">
      <c r="A239" s="28">
        <v>46300</v>
      </c>
      <c r="B239" t="s">
        <v>185</v>
      </c>
      <c r="C239" t="s">
        <v>202</v>
      </c>
      <c r="D239" t="s">
        <v>217</v>
      </c>
      <c r="E239">
        <f>IF(LEFT(D239,6)="CLIENT",IFERROR(VLOOKUP(C239,Config_Carteiras!$A:$B,2,FALSE),1),"")</f>
        <v>1</v>
      </c>
      <c r="F239" s="25">
        <v>532</v>
      </c>
      <c r="G239" s="28">
        <f>IF(LEFT(D239,6)="CLIENT",IF(E239=0,WORKDAY(A239-1,1,Dias_Sem_Compensacao!$A$2:$A$500),WORKDAY(A239,E239,Dias_Sem_Compensacao!$A$2:$A$500)),"")</f>
        <v>46301</v>
      </c>
      <c r="H239" s="25">
        <v>0</v>
      </c>
      <c r="I239" s="28">
        <v>46300</v>
      </c>
      <c r="J239" t="s">
        <v>638</v>
      </c>
      <c r="K239" t="s">
        <v>639</v>
      </c>
    </row>
    <row r="240" spans="1:11" hidden="1">
      <c r="A240" s="28">
        <v>46301</v>
      </c>
      <c r="B240" t="s">
        <v>185</v>
      </c>
      <c r="C240" t="s">
        <v>202</v>
      </c>
      <c r="D240" t="s">
        <v>217</v>
      </c>
      <c r="E240">
        <f>IF(LEFT(D240,6)="CLIENT",IFERROR(VLOOKUP(C240,Config_Carteiras!$A:$B,2,FALSE),1),"")</f>
        <v>1</v>
      </c>
      <c r="F240" s="25">
        <v>496</v>
      </c>
      <c r="G240" s="28">
        <f>IF(LEFT(D240,6)="CLIENT",IF(E240=0,WORKDAY(A240-1,1,Dias_Sem_Compensacao!$A$2:$A$500),WORKDAY(A240,E240,Dias_Sem_Compensacao!$A$2:$A$500)),"")</f>
        <v>46302</v>
      </c>
      <c r="H240" s="25">
        <v>0</v>
      </c>
      <c r="I240" s="28">
        <v>46301</v>
      </c>
      <c r="J240" t="s">
        <v>640</v>
      </c>
      <c r="K240" t="s">
        <v>641</v>
      </c>
    </row>
    <row r="241" spans="1:11" hidden="1">
      <c r="A241" s="28">
        <v>46301</v>
      </c>
      <c r="B241" t="s">
        <v>185</v>
      </c>
      <c r="C241" t="s">
        <v>202</v>
      </c>
      <c r="D241" t="s">
        <v>217</v>
      </c>
      <c r="E241">
        <f>IF(LEFT(D241,6)="CLIENT",IFERROR(VLOOKUP(C241,Config_Carteiras!$A:$B,2,FALSE),1),"")</f>
        <v>1</v>
      </c>
      <c r="F241" s="25">
        <v>385</v>
      </c>
      <c r="G241" s="28">
        <f>IF(LEFT(D241,6)="CLIENT",IF(E241=0,WORKDAY(A241-1,1,Dias_Sem_Compensacao!$A$2:$A$500),WORKDAY(A241,E241,Dias_Sem_Compensacao!$A$2:$A$500)),"")</f>
        <v>46302</v>
      </c>
      <c r="H241" s="25">
        <v>0</v>
      </c>
      <c r="I241" s="28">
        <v>46301</v>
      </c>
      <c r="J241" t="s">
        <v>642</v>
      </c>
      <c r="K241" t="s">
        <v>643</v>
      </c>
    </row>
    <row r="242" spans="1:11" hidden="1">
      <c r="A242" s="28">
        <v>46301</v>
      </c>
      <c r="B242" t="s">
        <v>185</v>
      </c>
      <c r="C242" t="s">
        <v>202</v>
      </c>
      <c r="D242" t="s">
        <v>217</v>
      </c>
      <c r="E242">
        <f>IF(LEFT(D242,6)="CLIENT",IFERROR(VLOOKUP(C242,Config_Carteiras!$A:$B,2,FALSE),1),"")</f>
        <v>1</v>
      </c>
      <c r="F242" s="25">
        <v>385</v>
      </c>
      <c r="G242" s="28">
        <f>IF(LEFT(D242,6)="CLIENT",IF(E242=0,WORKDAY(A242-1,1,Dias_Sem_Compensacao!$A$2:$A$500),WORKDAY(A242,E242,Dias_Sem_Compensacao!$A$2:$A$500)),"")</f>
        <v>46302</v>
      </c>
      <c r="H242" s="25">
        <v>0</v>
      </c>
      <c r="I242" s="28">
        <v>46301</v>
      </c>
      <c r="J242" t="s">
        <v>218</v>
      </c>
      <c r="K242" t="s">
        <v>219</v>
      </c>
    </row>
    <row r="243" spans="1:11" hidden="1">
      <c r="A243" s="28">
        <v>46301</v>
      </c>
      <c r="B243" t="s">
        <v>185</v>
      </c>
      <c r="C243" t="s">
        <v>202</v>
      </c>
      <c r="D243" t="s">
        <v>217</v>
      </c>
      <c r="E243">
        <f>IF(LEFT(D243,6)="CLIENT",IFERROR(VLOOKUP(C243,Config_Carteiras!$A:$B,2,FALSE),1),"")</f>
        <v>1</v>
      </c>
      <c r="F243" s="25">
        <v>789</v>
      </c>
      <c r="G243" s="28">
        <f>IF(LEFT(D243,6)="CLIENT",IF(E243=0,WORKDAY(A243-1,1,Dias_Sem_Compensacao!$A$2:$A$500),WORKDAY(A243,E243,Dias_Sem_Compensacao!$A$2:$A$500)),"")</f>
        <v>46302</v>
      </c>
      <c r="H243" s="25">
        <v>0</v>
      </c>
      <c r="I243" s="28">
        <v>46301</v>
      </c>
      <c r="J243" t="s">
        <v>253</v>
      </c>
      <c r="K243" t="s">
        <v>254</v>
      </c>
    </row>
    <row r="244" spans="1:11" hidden="1">
      <c r="A244" s="28">
        <v>46301</v>
      </c>
      <c r="B244" t="s">
        <v>185</v>
      </c>
      <c r="C244" t="s">
        <v>202</v>
      </c>
      <c r="D244" t="s">
        <v>217</v>
      </c>
      <c r="E244">
        <f>IF(LEFT(D244,6)="CLIENT",IFERROR(VLOOKUP(C244,Config_Carteiras!$A:$B,2,FALSE),1),"")</f>
        <v>1</v>
      </c>
      <c r="F244" s="25">
        <v>897</v>
      </c>
      <c r="G244" s="28">
        <f>IF(LEFT(D244,6)="CLIENT",IF(E244=0,WORKDAY(A244-1,1,Dias_Sem_Compensacao!$A$2:$A$500),WORKDAY(A244,E244,Dias_Sem_Compensacao!$A$2:$A$500)),"")</f>
        <v>46302</v>
      </c>
      <c r="H244" s="25">
        <v>0</v>
      </c>
      <c r="I244" s="28">
        <v>46301</v>
      </c>
      <c r="K244" t="s">
        <v>644</v>
      </c>
    </row>
    <row r="245" spans="1:11" hidden="1">
      <c r="A245" s="28">
        <v>46301</v>
      </c>
      <c r="B245" t="s">
        <v>185</v>
      </c>
      <c r="C245" t="s">
        <v>202</v>
      </c>
      <c r="D245" t="s">
        <v>217</v>
      </c>
      <c r="E245">
        <f>IF(LEFT(D245,6)="CLIENT",IFERROR(VLOOKUP(C245,Config_Carteiras!$A:$B,2,FALSE),1),"")</f>
        <v>1</v>
      </c>
      <c r="F245" s="25">
        <v>386.5</v>
      </c>
      <c r="G245" s="28">
        <f>IF(LEFT(D245,6)="CLIENT",IF(E245=0,WORKDAY(A245-1,1,Dias_Sem_Compensacao!$A$2:$A$500),WORKDAY(A245,E245,Dias_Sem_Compensacao!$A$2:$A$500)),"")</f>
        <v>46302</v>
      </c>
      <c r="H245" s="25">
        <v>0</v>
      </c>
      <c r="I245" s="28">
        <v>46301</v>
      </c>
      <c r="J245" t="s">
        <v>257</v>
      </c>
      <c r="K245" t="s">
        <v>258</v>
      </c>
    </row>
    <row r="246" spans="1:11" hidden="1">
      <c r="A246" s="28">
        <v>46301</v>
      </c>
      <c r="B246" t="s">
        <v>185</v>
      </c>
      <c r="C246" t="s">
        <v>202</v>
      </c>
      <c r="D246" t="s">
        <v>217</v>
      </c>
      <c r="E246">
        <f>IF(LEFT(D246,6)="CLIENT",IFERROR(VLOOKUP(C246,Config_Carteiras!$A:$B,2,FALSE),1),"")</f>
        <v>1</v>
      </c>
      <c r="F246" s="25">
        <v>1125.5</v>
      </c>
      <c r="G246" s="28">
        <f>IF(LEFT(D246,6)="CLIENT",IF(E246=0,WORKDAY(A246-1,1,Dias_Sem_Compensacao!$A$2:$A$500),WORKDAY(A246,E246,Dias_Sem_Compensacao!$A$2:$A$500)),"")</f>
        <v>46302</v>
      </c>
      <c r="H246" s="25">
        <v>0</v>
      </c>
      <c r="I246" s="28">
        <v>46301</v>
      </c>
      <c r="J246" t="s">
        <v>261</v>
      </c>
      <c r="K246" t="s">
        <v>262</v>
      </c>
    </row>
    <row r="247" spans="1:11" hidden="1">
      <c r="A247" s="28">
        <v>46301</v>
      </c>
      <c r="B247" t="s">
        <v>185</v>
      </c>
      <c r="C247" t="s">
        <v>202</v>
      </c>
      <c r="D247" t="s">
        <v>217</v>
      </c>
      <c r="E247">
        <f>IF(LEFT(D247,6)="CLIENT",IFERROR(VLOOKUP(C247,Config_Carteiras!$A:$B,2,FALSE),1),"")</f>
        <v>1</v>
      </c>
      <c r="F247" s="25">
        <v>398</v>
      </c>
      <c r="G247" s="28">
        <f>IF(LEFT(D247,6)="CLIENT",IF(E247=0,WORKDAY(A247-1,1,Dias_Sem_Compensacao!$A$2:$A$500),WORKDAY(A247,E247,Dias_Sem_Compensacao!$A$2:$A$500)),"")</f>
        <v>46302</v>
      </c>
      <c r="H247" s="25">
        <v>0</v>
      </c>
      <c r="I247" s="28">
        <v>46301</v>
      </c>
      <c r="J247" t="s">
        <v>645</v>
      </c>
      <c r="K247" t="s">
        <v>646</v>
      </c>
    </row>
    <row r="248" spans="1:11" hidden="1">
      <c r="A248" s="28">
        <v>46301</v>
      </c>
      <c r="B248" t="s">
        <v>185</v>
      </c>
      <c r="C248" t="s">
        <v>202</v>
      </c>
      <c r="D248" t="s">
        <v>217</v>
      </c>
      <c r="E248">
        <f>IF(LEFT(D248,6)="CLIENT",IFERROR(VLOOKUP(C248,Config_Carteiras!$A:$B,2,FALSE),1),"")</f>
        <v>1</v>
      </c>
      <c r="F248" s="25">
        <v>351</v>
      </c>
      <c r="G248" s="28">
        <f>IF(LEFT(D248,6)="CLIENT",IF(E248=0,WORKDAY(A248-1,1,Dias_Sem_Compensacao!$A$2:$A$500),WORKDAY(A248,E248,Dias_Sem_Compensacao!$A$2:$A$500)),"")</f>
        <v>46302</v>
      </c>
      <c r="H248" s="25">
        <v>0</v>
      </c>
      <c r="I248" s="28">
        <v>46301</v>
      </c>
      <c r="J248" t="s">
        <v>647</v>
      </c>
      <c r="K248" t="s">
        <v>648</v>
      </c>
    </row>
    <row r="249" spans="1:11" hidden="1">
      <c r="A249" s="28">
        <v>46301</v>
      </c>
      <c r="B249" t="s">
        <v>185</v>
      </c>
      <c r="C249" t="s">
        <v>202</v>
      </c>
      <c r="D249" t="s">
        <v>217</v>
      </c>
      <c r="E249">
        <f>IF(LEFT(D249,6)="CLIENT",IFERROR(VLOOKUP(C249,Config_Carteiras!$A:$B,2,FALSE),1),"")</f>
        <v>1</v>
      </c>
      <c r="F249" s="25">
        <v>465.75</v>
      </c>
      <c r="G249" s="28">
        <f>IF(LEFT(D249,6)="CLIENT",IF(E249=0,WORKDAY(A249-1,1,Dias_Sem_Compensacao!$A$2:$A$500),WORKDAY(A249,E249,Dias_Sem_Compensacao!$A$2:$A$500)),"")</f>
        <v>46302</v>
      </c>
      <c r="H249" s="25">
        <v>0</v>
      </c>
      <c r="I249" s="28">
        <v>46301</v>
      </c>
      <c r="J249" t="s">
        <v>265</v>
      </c>
      <c r="K249" t="s">
        <v>266</v>
      </c>
    </row>
    <row r="250" spans="1:11" hidden="1">
      <c r="A250" s="28">
        <v>46301</v>
      </c>
      <c r="B250" t="s">
        <v>185</v>
      </c>
      <c r="C250" t="s">
        <v>202</v>
      </c>
      <c r="D250" t="s">
        <v>217</v>
      </c>
      <c r="E250">
        <f>IF(LEFT(D250,6)="CLIENT",IFERROR(VLOOKUP(C250,Config_Carteiras!$A:$B,2,FALSE),1),"")</f>
        <v>1</v>
      </c>
      <c r="F250" s="25">
        <v>659</v>
      </c>
      <c r="G250" s="28">
        <f>IF(LEFT(D250,6)="CLIENT",IF(E250=0,WORKDAY(A250-1,1,Dias_Sem_Compensacao!$A$2:$A$500),WORKDAY(A250,E250,Dias_Sem_Compensacao!$A$2:$A$500)),"")</f>
        <v>46302</v>
      </c>
      <c r="H250" s="25">
        <v>0</v>
      </c>
      <c r="I250" s="28">
        <v>46301</v>
      </c>
      <c r="J250" t="s">
        <v>269</v>
      </c>
      <c r="K250" t="s">
        <v>270</v>
      </c>
    </row>
    <row r="251" spans="1:11" hidden="1">
      <c r="A251" s="28">
        <v>46301</v>
      </c>
      <c r="B251" t="s">
        <v>185</v>
      </c>
      <c r="C251" t="s">
        <v>202</v>
      </c>
      <c r="D251" t="s">
        <v>217</v>
      </c>
      <c r="E251">
        <f>IF(LEFT(D251,6)="CLIENT",IFERROR(VLOOKUP(C251,Config_Carteiras!$A:$B,2,FALSE),1),"")</f>
        <v>1</v>
      </c>
      <c r="F251" s="25">
        <v>634</v>
      </c>
      <c r="G251" s="28">
        <f>IF(LEFT(D251,6)="CLIENT",IF(E251=0,WORKDAY(A251-1,1,Dias_Sem_Compensacao!$A$2:$A$500),WORKDAY(A251,E251,Dias_Sem_Compensacao!$A$2:$A$500)),"")</f>
        <v>46302</v>
      </c>
      <c r="H251" s="25">
        <v>0</v>
      </c>
      <c r="I251" s="28">
        <v>46301</v>
      </c>
      <c r="J251" t="s">
        <v>271</v>
      </c>
      <c r="K251" t="s">
        <v>272</v>
      </c>
    </row>
    <row r="252" spans="1:11" hidden="1">
      <c r="A252" s="28">
        <v>46301</v>
      </c>
      <c r="B252" t="s">
        <v>185</v>
      </c>
      <c r="C252" t="s">
        <v>202</v>
      </c>
      <c r="D252" t="s">
        <v>217</v>
      </c>
      <c r="E252">
        <f>IF(LEFT(D252,6)="CLIENT",IFERROR(VLOOKUP(C252,Config_Carteiras!$A:$B,2,FALSE),1),"")</f>
        <v>1</v>
      </c>
      <c r="F252" s="25">
        <v>1541.5</v>
      </c>
      <c r="G252" s="28">
        <f>IF(LEFT(D252,6)="CLIENT",IF(E252=0,WORKDAY(A252-1,1,Dias_Sem_Compensacao!$A$2:$A$500),WORKDAY(A252,E252,Dias_Sem_Compensacao!$A$2:$A$500)),"")</f>
        <v>46302</v>
      </c>
      <c r="H252" s="25">
        <v>0</v>
      </c>
      <c r="I252" s="28">
        <v>46301</v>
      </c>
      <c r="J252" t="s">
        <v>273</v>
      </c>
      <c r="K252" t="s">
        <v>275</v>
      </c>
    </row>
    <row r="253" spans="1:11" hidden="1">
      <c r="A253" s="28">
        <v>46301</v>
      </c>
      <c r="B253" t="s">
        <v>185</v>
      </c>
      <c r="C253" t="s">
        <v>202</v>
      </c>
      <c r="D253" t="s">
        <v>217</v>
      </c>
      <c r="E253">
        <f>IF(LEFT(D253,6)="CLIENT",IFERROR(VLOOKUP(C253,Config_Carteiras!$A:$B,2,FALSE),1),"")</f>
        <v>1</v>
      </c>
      <c r="F253" s="25">
        <v>2100</v>
      </c>
      <c r="G253" s="28">
        <f>IF(LEFT(D253,6)="CLIENT",IF(E253=0,WORKDAY(A253-1,1,Dias_Sem_Compensacao!$A$2:$A$500),WORKDAY(A253,E253,Dias_Sem_Compensacao!$A$2:$A$500)),"")</f>
        <v>46302</v>
      </c>
      <c r="H253" s="25">
        <v>0</v>
      </c>
      <c r="I253" s="28">
        <v>46301</v>
      </c>
      <c r="J253" t="s">
        <v>584</v>
      </c>
      <c r="K253" t="s">
        <v>649</v>
      </c>
    </row>
    <row r="254" spans="1:11" hidden="1">
      <c r="A254" s="28">
        <v>46301</v>
      </c>
      <c r="B254" t="s">
        <v>185</v>
      </c>
      <c r="C254" t="s">
        <v>202</v>
      </c>
      <c r="D254" t="s">
        <v>217</v>
      </c>
      <c r="E254">
        <f>IF(LEFT(D254,6)="CLIENT",IFERROR(VLOOKUP(C254,Config_Carteiras!$A:$B,2,FALSE),1),"")</f>
        <v>1</v>
      </c>
      <c r="F254" s="25">
        <v>1523.4</v>
      </c>
      <c r="G254" s="28">
        <f>IF(LEFT(D254,6)="CLIENT",IF(E254=0,WORKDAY(A254-1,1,Dias_Sem_Compensacao!$A$2:$A$500),WORKDAY(A254,E254,Dias_Sem_Compensacao!$A$2:$A$500)),"")</f>
        <v>46302</v>
      </c>
      <c r="H254" s="25">
        <v>0</v>
      </c>
      <c r="I254" s="28">
        <v>46301</v>
      </c>
      <c r="J254" t="s">
        <v>276</v>
      </c>
      <c r="K254" t="s">
        <v>277</v>
      </c>
    </row>
    <row r="255" spans="1:11" hidden="1">
      <c r="A255" s="28">
        <v>46301</v>
      </c>
      <c r="B255" t="s">
        <v>185</v>
      </c>
      <c r="C255" t="s">
        <v>202</v>
      </c>
      <c r="D255" t="s">
        <v>217</v>
      </c>
      <c r="E255">
        <f>IF(LEFT(D255,6)="CLIENT",IFERROR(VLOOKUP(C255,Config_Carteiras!$A:$B,2,FALSE),1),"")</f>
        <v>1</v>
      </c>
      <c r="F255" s="25">
        <v>1156.5</v>
      </c>
      <c r="G255" s="28">
        <f>IF(LEFT(D255,6)="CLIENT",IF(E255=0,WORKDAY(A255-1,1,Dias_Sem_Compensacao!$A$2:$A$500),WORKDAY(A255,E255,Dias_Sem_Compensacao!$A$2:$A$500)),"")</f>
        <v>46302</v>
      </c>
      <c r="H255" s="25">
        <v>0</v>
      </c>
      <c r="I255" s="28">
        <v>46301</v>
      </c>
      <c r="J255" t="s">
        <v>650</v>
      </c>
      <c r="K255" t="s">
        <v>651</v>
      </c>
    </row>
    <row r="256" spans="1:11" hidden="1">
      <c r="A256" s="28">
        <v>46301</v>
      </c>
      <c r="B256" t="s">
        <v>185</v>
      </c>
      <c r="C256" t="s">
        <v>202</v>
      </c>
      <c r="D256" t="s">
        <v>217</v>
      </c>
      <c r="E256">
        <f>IF(LEFT(D256,6)="CLIENT",IFERROR(VLOOKUP(C256,Config_Carteiras!$A:$B,2,FALSE),1),"")</f>
        <v>1</v>
      </c>
      <c r="F256" s="25">
        <v>577.04999999999995</v>
      </c>
      <c r="G256" s="28">
        <f>IF(LEFT(D256,6)="CLIENT",IF(E256=0,WORKDAY(A256-1,1,Dias_Sem_Compensacao!$A$2:$A$500),WORKDAY(A256,E256,Dias_Sem_Compensacao!$A$2:$A$500)),"")</f>
        <v>46302</v>
      </c>
      <c r="H256" s="25">
        <v>0</v>
      </c>
      <c r="I256" s="28">
        <v>46301</v>
      </c>
      <c r="J256" t="s">
        <v>280</v>
      </c>
      <c r="K256" t="s">
        <v>281</v>
      </c>
    </row>
    <row r="257" spans="1:11" hidden="1">
      <c r="A257" s="28">
        <v>46301</v>
      </c>
      <c r="B257" t="s">
        <v>185</v>
      </c>
      <c r="C257" t="s">
        <v>202</v>
      </c>
      <c r="D257" t="s">
        <v>217</v>
      </c>
      <c r="E257">
        <f>IF(LEFT(D257,6)="CLIENT",IFERROR(VLOOKUP(C257,Config_Carteiras!$A:$B,2,FALSE),1),"")</f>
        <v>1</v>
      </c>
      <c r="F257" s="25">
        <v>656</v>
      </c>
      <c r="G257" s="28">
        <f>IF(LEFT(D257,6)="CLIENT",IF(E257=0,WORKDAY(A257-1,1,Dias_Sem_Compensacao!$A$2:$A$500),WORKDAY(A257,E257,Dias_Sem_Compensacao!$A$2:$A$500)),"")</f>
        <v>46302</v>
      </c>
      <c r="H257" s="25">
        <v>0</v>
      </c>
      <c r="I257" s="28">
        <v>46301</v>
      </c>
      <c r="J257" t="s">
        <v>292</v>
      </c>
      <c r="K257" t="s">
        <v>293</v>
      </c>
    </row>
    <row r="258" spans="1:11" hidden="1">
      <c r="A258" s="28">
        <v>46301</v>
      </c>
      <c r="B258" t="s">
        <v>185</v>
      </c>
      <c r="C258" t="s">
        <v>202</v>
      </c>
      <c r="D258" t="s">
        <v>217</v>
      </c>
      <c r="E258">
        <f>IF(LEFT(D258,6)="CLIENT",IFERROR(VLOOKUP(C258,Config_Carteiras!$A:$B,2,FALSE),1),"")</f>
        <v>1</v>
      </c>
      <c r="F258" s="25">
        <v>3150</v>
      </c>
      <c r="G258" s="28">
        <f>IF(LEFT(D258,6)="CLIENT",IF(E258=0,WORKDAY(A258-1,1,Dias_Sem_Compensacao!$A$2:$A$500),WORKDAY(A258,E258,Dias_Sem_Compensacao!$A$2:$A$500)),"")</f>
        <v>46302</v>
      </c>
      <c r="H258" s="25">
        <v>0</v>
      </c>
      <c r="I258" s="28">
        <v>46301</v>
      </c>
      <c r="J258" t="s">
        <v>652</v>
      </c>
      <c r="K258" t="s">
        <v>653</v>
      </c>
    </row>
    <row r="259" spans="1:11" hidden="1">
      <c r="A259" s="28">
        <v>46301</v>
      </c>
      <c r="B259" t="s">
        <v>185</v>
      </c>
      <c r="C259" t="s">
        <v>202</v>
      </c>
      <c r="D259" t="s">
        <v>217</v>
      </c>
      <c r="E259">
        <f>IF(LEFT(D259,6)="CLIENT",IFERROR(VLOOKUP(C259,Config_Carteiras!$A:$B,2,FALSE),1),"")</f>
        <v>1</v>
      </c>
      <c r="F259" s="25">
        <v>578.5</v>
      </c>
      <c r="G259" s="28">
        <f>IF(LEFT(D259,6)="CLIENT",IF(E259=0,WORKDAY(A259-1,1,Dias_Sem_Compensacao!$A$2:$A$500),WORKDAY(A259,E259,Dias_Sem_Compensacao!$A$2:$A$500)),"")</f>
        <v>46302</v>
      </c>
      <c r="H259" s="25">
        <v>0</v>
      </c>
      <c r="I259" s="28">
        <v>46301</v>
      </c>
      <c r="J259" t="s">
        <v>298</v>
      </c>
      <c r="K259" t="s">
        <v>299</v>
      </c>
    </row>
    <row r="260" spans="1:11" hidden="1">
      <c r="A260" s="28">
        <v>46301</v>
      </c>
      <c r="B260" t="s">
        <v>185</v>
      </c>
      <c r="C260" t="s">
        <v>202</v>
      </c>
      <c r="D260" t="s">
        <v>217</v>
      </c>
      <c r="E260">
        <f>IF(LEFT(D260,6)="CLIENT",IFERROR(VLOOKUP(C260,Config_Carteiras!$A:$B,2,FALSE),1),"")</f>
        <v>1</v>
      </c>
      <c r="F260" s="25">
        <v>442.42</v>
      </c>
      <c r="G260" s="28">
        <f>IF(LEFT(D260,6)="CLIENT",IF(E260=0,WORKDAY(A260-1,1,Dias_Sem_Compensacao!$A$2:$A$500),WORKDAY(A260,E260,Dias_Sem_Compensacao!$A$2:$A$500)),"")</f>
        <v>46302</v>
      </c>
      <c r="H260" s="25">
        <v>0</v>
      </c>
      <c r="I260" s="28">
        <v>46301</v>
      </c>
      <c r="J260" t="s">
        <v>220</v>
      </c>
      <c r="K260" t="s">
        <v>221</v>
      </c>
    </row>
    <row r="261" spans="1:11" hidden="1">
      <c r="A261" s="28">
        <v>46301</v>
      </c>
      <c r="B261" t="s">
        <v>185</v>
      </c>
      <c r="C261" t="s">
        <v>202</v>
      </c>
      <c r="D261" t="s">
        <v>217</v>
      </c>
      <c r="E261">
        <f>IF(LEFT(D261,6)="CLIENT",IFERROR(VLOOKUP(C261,Config_Carteiras!$A:$B,2,FALSE),1),"")</f>
        <v>1</v>
      </c>
      <c r="F261" s="25">
        <v>2533</v>
      </c>
      <c r="G261" s="28">
        <f>IF(LEFT(D261,6)="CLIENT",IF(E261=0,WORKDAY(A261-1,1,Dias_Sem_Compensacao!$A$2:$A$500),WORKDAY(A261,E261,Dias_Sem_Compensacao!$A$2:$A$500)),"")</f>
        <v>46302</v>
      </c>
      <c r="H261" s="25">
        <v>0</v>
      </c>
      <c r="I261" s="28">
        <v>46301</v>
      </c>
      <c r="J261" t="s">
        <v>302</v>
      </c>
      <c r="K261" t="s">
        <v>303</v>
      </c>
    </row>
    <row r="262" spans="1:11" hidden="1">
      <c r="A262" s="28">
        <v>46301</v>
      </c>
      <c r="B262" t="s">
        <v>185</v>
      </c>
      <c r="C262" t="s">
        <v>202</v>
      </c>
      <c r="D262" t="s">
        <v>217</v>
      </c>
      <c r="E262">
        <f>IF(LEFT(D262,6)="CLIENT",IFERROR(VLOOKUP(C262,Config_Carteiras!$A:$B,2,FALSE),1),"")</f>
        <v>1</v>
      </c>
      <c r="F262" s="25">
        <v>358.1</v>
      </c>
      <c r="G262" s="28">
        <f>IF(LEFT(D262,6)="CLIENT",IF(E262=0,WORKDAY(A262-1,1,Dias_Sem_Compensacao!$A$2:$A$500),WORKDAY(A262,E262,Dias_Sem_Compensacao!$A$2:$A$500)),"")</f>
        <v>46302</v>
      </c>
      <c r="H262" s="25">
        <v>0</v>
      </c>
      <c r="I262" s="28">
        <v>46301</v>
      </c>
      <c r="J262" t="s">
        <v>304</v>
      </c>
      <c r="K262" t="s">
        <v>305</v>
      </c>
    </row>
    <row r="263" spans="1:11" hidden="1">
      <c r="A263" s="28">
        <v>46301</v>
      </c>
      <c r="B263" t="s">
        <v>185</v>
      </c>
      <c r="C263" t="s">
        <v>202</v>
      </c>
      <c r="D263" t="s">
        <v>217</v>
      </c>
      <c r="E263">
        <f>IF(LEFT(D263,6)="CLIENT",IFERROR(VLOOKUP(C263,Config_Carteiras!$A:$B,2,FALSE),1),"")</f>
        <v>1</v>
      </c>
      <c r="F263" s="25">
        <v>789</v>
      </c>
      <c r="G263" s="28">
        <f>IF(LEFT(D263,6)="CLIENT",IF(E263=0,WORKDAY(A263-1,1,Dias_Sem_Compensacao!$A$2:$A$500),WORKDAY(A263,E263,Dias_Sem_Compensacao!$A$2:$A$500)),"")</f>
        <v>46302</v>
      </c>
      <c r="H263" s="25">
        <v>0</v>
      </c>
      <c r="I263" s="28">
        <v>46301</v>
      </c>
      <c r="J263" t="s">
        <v>306</v>
      </c>
      <c r="K263" t="s">
        <v>307</v>
      </c>
    </row>
    <row r="264" spans="1:11" hidden="1">
      <c r="A264" s="28">
        <v>46301</v>
      </c>
      <c r="B264" t="s">
        <v>185</v>
      </c>
      <c r="C264" t="s">
        <v>202</v>
      </c>
      <c r="D264" t="s">
        <v>217</v>
      </c>
      <c r="E264">
        <f>IF(LEFT(D264,6)="CLIENT",IFERROR(VLOOKUP(C264,Config_Carteiras!$A:$B,2,FALSE),1),"")</f>
        <v>1</v>
      </c>
      <c r="F264" s="25">
        <v>1373</v>
      </c>
      <c r="G264" s="28">
        <f>IF(LEFT(D264,6)="CLIENT",IF(E264=0,WORKDAY(A264-1,1,Dias_Sem_Compensacao!$A$2:$A$500),WORKDAY(A264,E264,Dias_Sem_Compensacao!$A$2:$A$500)),"")</f>
        <v>46302</v>
      </c>
      <c r="H264" s="25">
        <v>0</v>
      </c>
      <c r="I264" s="28">
        <v>46301</v>
      </c>
      <c r="J264" t="s">
        <v>654</v>
      </c>
      <c r="K264" t="s">
        <v>655</v>
      </c>
    </row>
    <row r="265" spans="1:11" hidden="1">
      <c r="A265" s="28">
        <v>46301</v>
      </c>
      <c r="B265" t="s">
        <v>185</v>
      </c>
      <c r="C265" t="s">
        <v>202</v>
      </c>
      <c r="D265" t="s">
        <v>217</v>
      </c>
      <c r="E265">
        <f>IF(LEFT(D265,6)="CLIENT",IFERROR(VLOOKUP(C265,Config_Carteiras!$A:$B,2,FALSE),1),"")</f>
        <v>1</v>
      </c>
      <c r="F265" s="25">
        <v>1040</v>
      </c>
      <c r="G265" s="28">
        <f>IF(LEFT(D265,6)="CLIENT",IF(E265=0,WORKDAY(A265-1,1,Dias_Sem_Compensacao!$A$2:$A$500),WORKDAY(A265,E265,Dias_Sem_Compensacao!$A$2:$A$500)),"")</f>
        <v>46302</v>
      </c>
      <c r="H265" s="25">
        <v>0</v>
      </c>
      <c r="I265" s="28">
        <v>46301</v>
      </c>
      <c r="J265" t="s">
        <v>656</v>
      </c>
      <c r="K265" t="s">
        <v>657</v>
      </c>
    </row>
    <row r="266" spans="1:11" hidden="1">
      <c r="A266" s="28">
        <v>46301</v>
      </c>
      <c r="B266" t="s">
        <v>185</v>
      </c>
      <c r="C266" t="s">
        <v>202</v>
      </c>
      <c r="D266" t="s">
        <v>217</v>
      </c>
      <c r="E266">
        <f>IF(LEFT(D266,6)="CLIENT",IFERROR(VLOOKUP(C266,Config_Carteiras!$A:$B,2,FALSE),1),"")</f>
        <v>1</v>
      </c>
      <c r="F266" s="25">
        <v>441</v>
      </c>
      <c r="G266" s="28">
        <f>IF(LEFT(D266,6)="CLIENT",IF(E266=0,WORKDAY(A266-1,1,Dias_Sem_Compensacao!$A$2:$A$500),WORKDAY(A266,E266,Dias_Sem_Compensacao!$A$2:$A$500)),"")</f>
        <v>46302</v>
      </c>
      <c r="H266" s="25">
        <v>0</v>
      </c>
      <c r="I266" s="28">
        <v>46301</v>
      </c>
      <c r="J266" t="s">
        <v>658</v>
      </c>
      <c r="K266" t="s">
        <v>659</v>
      </c>
    </row>
    <row r="267" spans="1:11" hidden="1">
      <c r="A267" s="28">
        <v>46301</v>
      </c>
      <c r="B267" t="s">
        <v>185</v>
      </c>
      <c r="C267" t="s">
        <v>202</v>
      </c>
      <c r="D267" t="s">
        <v>217</v>
      </c>
      <c r="E267">
        <f>IF(LEFT(D267,6)="CLIENT",IFERROR(VLOOKUP(C267,Config_Carteiras!$A:$B,2,FALSE),1),"")</f>
        <v>1</v>
      </c>
      <c r="F267" s="25">
        <v>541</v>
      </c>
      <c r="G267" s="28">
        <f>IF(LEFT(D267,6)="CLIENT",IF(E267=0,WORKDAY(A267-1,1,Dias_Sem_Compensacao!$A$2:$A$500),WORKDAY(A267,E267,Dias_Sem_Compensacao!$A$2:$A$500)),"")</f>
        <v>46302</v>
      </c>
      <c r="H267" s="25">
        <v>0</v>
      </c>
      <c r="I267" s="28">
        <v>46301</v>
      </c>
      <c r="J267" t="s">
        <v>660</v>
      </c>
      <c r="K267" t="s">
        <v>661</v>
      </c>
    </row>
    <row r="268" spans="1:11" hidden="1">
      <c r="A268" s="28">
        <v>46301</v>
      </c>
      <c r="B268" t="s">
        <v>185</v>
      </c>
      <c r="C268" t="s">
        <v>202</v>
      </c>
      <c r="D268" t="s">
        <v>217</v>
      </c>
      <c r="E268">
        <f>IF(LEFT(D268,6)="CLIENT",IFERROR(VLOOKUP(C268,Config_Carteiras!$A:$B,2,FALSE),1),"")</f>
        <v>1</v>
      </c>
      <c r="F268" s="25">
        <v>719</v>
      </c>
      <c r="G268" s="28">
        <f>IF(LEFT(D268,6)="CLIENT",IF(E268=0,WORKDAY(A268-1,1,Dias_Sem_Compensacao!$A$2:$A$500),WORKDAY(A268,E268,Dias_Sem_Compensacao!$A$2:$A$500)),"")</f>
        <v>46302</v>
      </c>
      <c r="H268" s="25">
        <v>0</v>
      </c>
      <c r="I268" s="28">
        <v>46301</v>
      </c>
      <c r="J268" t="s">
        <v>601</v>
      </c>
      <c r="K268" t="s">
        <v>662</v>
      </c>
    </row>
    <row r="269" spans="1:11" hidden="1">
      <c r="A269" s="28">
        <v>46301</v>
      </c>
      <c r="B269" t="s">
        <v>185</v>
      </c>
      <c r="C269" t="s">
        <v>202</v>
      </c>
      <c r="D269" t="s">
        <v>217</v>
      </c>
      <c r="E269">
        <f>IF(LEFT(D269,6)="CLIENT",IFERROR(VLOOKUP(C269,Config_Carteiras!$A:$B,2,FALSE),1),"")</f>
        <v>1</v>
      </c>
      <c r="F269" s="25">
        <v>398</v>
      </c>
      <c r="G269" s="28">
        <f>IF(LEFT(D269,6)="CLIENT",IF(E269=0,WORKDAY(A269-1,1,Dias_Sem_Compensacao!$A$2:$A$500),WORKDAY(A269,E269,Dias_Sem_Compensacao!$A$2:$A$500)),"")</f>
        <v>46302</v>
      </c>
      <c r="H269" s="25">
        <v>0</v>
      </c>
      <c r="I269" s="28">
        <v>46301</v>
      </c>
      <c r="J269" t="s">
        <v>663</v>
      </c>
      <c r="K269" t="s">
        <v>664</v>
      </c>
    </row>
    <row r="270" spans="1:11" hidden="1">
      <c r="A270" s="28">
        <v>46301</v>
      </c>
      <c r="B270" t="s">
        <v>185</v>
      </c>
      <c r="C270" t="s">
        <v>202</v>
      </c>
      <c r="D270" t="s">
        <v>217</v>
      </c>
      <c r="E270">
        <f>IF(LEFT(D270,6)="CLIENT",IFERROR(VLOOKUP(C270,Config_Carteiras!$A:$B,2,FALSE),1),"")</f>
        <v>1</v>
      </c>
      <c r="F270" s="25">
        <v>516.6</v>
      </c>
      <c r="G270" s="28">
        <f>IF(LEFT(D270,6)="CLIENT",IF(E270=0,WORKDAY(A270-1,1,Dias_Sem_Compensacao!$A$2:$A$500),WORKDAY(A270,E270,Dias_Sem_Compensacao!$A$2:$A$500)),"")</f>
        <v>46302</v>
      </c>
      <c r="H270" s="25">
        <v>0</v>
      </c>
      <c r="I270" s="28">
        <v>46301</v>
      </c>
      <c r="J270" t="s">
        <v>314</v>
      </c>
      <c r="K270" t="s">
        <v>315</v>
      </c>
    </row>
    <row r="271" spans="1:11" hidden="1">
      <c r="A271" s="28">
        <v>46301</v>
      </c>
      <c r="B271" t="s">
        <v>185</v>
      </c>
      <c r="C271" t="s">
        <v>202</v>
      </c>
      <c r="D271" t="s">
        <v>217</v>
      </c>
      <c r="E271">
        <f>IF(LEFT(D271,6)="CLIENT",IFERROR(VLOOKUP(C271,Config_Carteiras!$A:$B,2,FALSE),1),"")</f>
        <v>1</v>
      </c>
      <c r="F271" s="25">
        <v>4763</v>
      </c>
      <c r="G271" s="28">
        <f>IF(LEFT(D271,6)="CLIENT",IF(E271=0,WORKDAY(A271-1,1,Dias_Sem_Compensacao!$A$2:$A$500),WORKDAY(A271,E271,Dias_Sem_Compensacao!$A$2:$A$500)),"")</f>
        <v>46302</v>
      </c>
      <c r="H271" s="25">
        <v>0</v>
      </c>
      <c r="I271" s="28">
        <v>46301</v>
      </c>
      <c r="J271" t="s">
        <v>665</v>
      </c>
      <c r="K271" t="s">
        <v>666</v>
      </c>
    </row>
    <row r="272" spans="1:11" hidden="1">
      <c r="A272" s="28">
        <v>46301</v>
      </c>
      <c r="B272" t="s">
        <v>185</v>
      </c>
      <c r="C272" t="s">
        <v>202</v>
      </c>
      <c r="D272" t="s">
        <v>217</v>
      </c>
      <c r="E272">
        <f>IF(LEFT(D272,6)="CLIENT",IFERROR(VLOOKUP(C272,Config_Carteiras!$A:$B,2,FALSE),1),"")</f>
        <v>1</v>
      </c>
      <c r="F272" s="25">
        <v>771</v>
      </c>
      <c r="G272" s="28">
        <f>IF(LEFT(D272,6)="CLIENT",IF(E272=0,WORKDAY(A272-1,1,Dias_Sem_Compensacao!$A$2:$A$500),WORKDAY(A272,E272,Dias_Sem_Compensacao!$A$2:$A$500)),"")</f>
        <v>46302</v>
      </c>
      <c r="H272" s="25">
        <v>0</v>
      </c>
      <c r="I272" s="28">
        <v>46301</v>
      </c>
      <c r="J272" t="s">
        <v>667</v>
      </c>
      <c r="K272" t="s">
        <v>668</v>
      </c>
    </row>
    <row r="273" spans="1:11" hidden="1">
      <c r="A273" s="28">
        <v>46301</v>
      </c>
      <c r="B273" t="s">
        <v>185</v>
      </c>
      <c r="C273" t="s">
        <v>202</v>
      </c>
      <c r="D273" t="s">
        <v>217</v>
      </c>
      <c r="E273">
        <f>IF(LEFT(D273,6)="CLIENT",IFERROR(VLOOKUP(C273,Config_Carteiras!$A:$B,2,FALSE),1),"")</f>
        <v>1</v>
      </c>
      <c r="F273" s="25">
        <v>348.1</v>
      </c>
      <c r="G273" s="28">
        <f>IF(LEFT(D273,6)="CLIENT",IF(E273=0,WORKDAY(A273-1,1,Dias_Sem_Compensacao!$A$2:$A$500),WORKDAY(A273,E273,Dias_Sem_Compensacao!$A$2:$A$500)),"")</f>
        <v>46302</v>
      </c>
      <c r="H273" s="25">
        <v>0</v>
      </c>
      <c r="I273" s="28">
        <v>46301</v>
      </c>
      <c r="J273" t="s">
        <v>669</v>
      </c>
      <c r="K273" t="s">
        <v>670</v>
      </c>
    </row>
    <row r="274" spans="1:11" hidden="1">
      <c r="A274" s="28">
        <v>46301</v>
      </c>
      <c r="B274" t="s">
        <v>185</v>
      </c>
      <c r="C274" t="s">
        <v>202</v>
      </c>
      <c r="D274" t="s">
        <v>217</v>
      </c>
      <c r="E274">
        <f>IF(LEFT(D274,6)="CLIENT",IFERROR(VLOOKUP(C274,Config_Carteiras!$A:$B,2,FALSE),1),"")</f>
        <v>1</v>
      </c>
      <c r="F274" s="25">
        <v>1861.5</v>
      </c>
      <c r="G274" s="28">
        <f>IF(LEFT(D274,6)="CLIENT",IF(E274=0,WORKDAY(A274-1,1,Dias_Sem_Compensacao!$A$2:$A$500),WORKDAY(A274,E274,Dias_Sem_Compensacao!$A$2:$A$500)),"")</f>
        <v>46302</v>
      </c>
      <c r="H274" s="25">
        <v>0</v>
      </c>
      <c r="I274" s="28">
        <v>46301</v>
      </c>
      <c r="J274" t="s">
        <v>316</v>
      </c>
      <c r="K274" t="s">
        <v>317</v>
      </c>
    </row>
    <row r="275" spans="1:11" hidden="1">
      <c r="A275" s="28">
        <v>46301</v>
      </c>
      <c r="B275" t="s">
        <v>185</v>
      </c>
      <c r="C275" t="s">
        <v>202</v>
      </c>
      <c r="D275" t="s">
        <v>217</v>
      </c>
      <c r="E275">
        <f>IF(LEFT(D275,6)="CLIENT",IFERROR(VLOOKUP(C275,Config_Carteiras!$A:$B,2,FALSE),1),"")</f>
        <v>1</v>
      </c>
      <c r="F275" s="25">
        <v>390.2</v>
      </c>
      <c r="G275" s="28">
        <f>IF(LEFT(D275,6)="CLIENT",IF(E275=0,WORKDAY(A275-1,1,Dias_Sem_Compensacao!$A$2:$A$500),WORKDAY(A275,E275,Dias_Sem_Compensacao!$A$2:$A$500)),"")</f>
        <v>46302</v>
      </c>
      <c r="H275" s="25">
        <v>0</v>
      </c>
      <c r="I275" s="28">
        <v>46301</v>
      </c>
      <c r="J275" t="s">
        <v>320</v>
      </c>
      <c r="K275" t="s">
        <v>321</v>
      </c>
    </row>
    <row r="276" spans="1:11" hidden="1">
      <c r="A276" s="28">
        <v>46301</v>
      </c>
      <c r="B276" t="s">
        <v>185</v>
      </c>
      <c r="C276" t="s">
        <v>202</v>
      </c>
      <c r="D276" t="s">
        <v>217</v>
      </c>
      <c r="E276">
        <f>IF(LEFT(D276,6)="CLIENT",IFERROR(VLOOKUP(C276,Config_Carteiras!$A:$B,2,FALSE),1),"")</f>
        <v>1</v>
      </c>
      <c r="F276" s="25">
        <v>1066</v>
      </c>
      <c r="G276" s="28">
        <f>IF(LEFT(D276,6)="CLIENT",IF(E276=0,WORKDAY(A276-1,1,Dias_Sem_Compensacao!$A$2:$A$500),WORKDAY(A276,E276,Dias_Sem_Compensacao!$A$2:$A$500)),"")</f>
        <v>46302</v>
      </c>
      <c r="H276" s="25">
        <v>0</v>
      </c>
      <c r="I276" s="28">
        <v>46301</v>
      </c>
      <c r="J276" t="s">
        <v>671</v>
      </c>
      <c r="K276" t="s">
        <v>672</v>
      </c>
    </row>
    <row r="277" spans="1:11" hidden="1">
      <c r="A277" s="28">
        <v>46301</v>
      </c>
      <c r="B277" t="s">
        <v>185</v>
      </c>
      <c r="C277" t="s">
        <v>202</v>
      </c>
      <c r="D277" t="s">
        <v>217</v>
      </c>
      <c r="E277">
        <f>IF(LEFT(D277,6)="CLIENT",IFERROR(VLOOKUP(C277,Config_Carteiras!$A:$B,2,FALSE),1),"")</f>
        <v>1</v>
      </c>
      <c r="F277" s="25">
        <v>403.05</v>
      </c>
      <c r="G277" s="28">
        <f>IF(LEFT(D277,6)="CLIENT",IF(E277=0,WORKDAY(A277-1,1,Dias_Sem_Compensacao!$A$2:$A$500),WORKDAY(A277,E277,Dias_Sem_Compensacao!$A$2:$A$500)),"")</f>
        <v>46302</v>
      </c>
      <c r="H277" s="25">
        <v>0</v>
      </c>
      <c r="I277" s="28">
        <v>46301</v>
      </c>
      <c r="J277" t="s">
        <v>324</v>
      </c>
      <c r="K277" t="s">
        <v>325</v>
      </c>
    </row>
    <row r="278" spans="1:11" hidden="1">
      <c r="A278" s="28">
        <v>46301</v>
      </c>
      <c r="B278" t="s">
        <v>185</v>
      </c>
      <c r="C278" t="s">
        <v>202</v>
      </c>
      <c r="D278" t="s">
        <v>217</v>
      </c>
      <c r="E278">
        <f>IF(LEFT(D278,6)="CLIENT",IFERROR(VLOOKUP(C278,Config_Carteiras!$A:$B,2,FALSE),1),"")</f>
        <v>1</v>
      </c>
      <c r="F278" s="25">
        <v>615</v>
      </c>
      <c r="G278" s="28">
        <f>IF(LEFT(D278,6)="CLIENT",IF(E278=0,WORKDAY(A278-1,1,Dias_Sem_Compensacao!$A$2:$A$500),WORKDAY(A278,E278,Dias_Sem_Compensacao!$A$2:$A$500)),"")</f>
        <v>46302</v>
      </c>
      <c r="H278" s="25">
        <v>0</v>
      </c>
      <c r="I278" s="28">
        <v>46301</v>
      </c>
      <c r="J278" t="s">
        <v>326</v>
      </c>
      <c r="K278" t="s">
        <v>327</v>
      </c>
    </row>
    <row r="279" spans="1:11" hidden="1">
      <c r="A279" s="28">
        <v>46301</v>
      </c>
      <c r="B279" t="s">
        <v>185</v>
      </c>
      <c r="C279" t="s">
        <v>202</v>
      </c>
      <c r="D279" t="s">
        <v>217</v>
      </c>
      <c r="E279">
        <f>IF(LEFT(D279,6)="CLIENT",IFERROR(VLOOKUP(C279,Config_Carteiras!$A:$B,2,FALSE),1),"")</f>
        <v>1</v>
      </c>
      <c r="F279" s="25">
        <v>262.8</v>
      </c>
      <c r="G279" s="28">
        <f>IF(LEFT(D279,6)="CLIENT",IF(E279=0,WORKDAY(A279-1,1,Dias_Sem_Compensacao!$A$2:$A$500),WORKDAY(A279,E279,Dias_Sem_Compensacao!$A$2:$A$500)),"")</f>
        <v>46302</v>
      </c>
      <c r="H279" s="25">
        <v>0</v>
      </c>
      <c r="I279" s="28">
        <v>46301</v>
      </c>
      <c r="J279" t="s">
        <v>673</v>
      </c>
      <c r="K279" t="s">
        <v>674</v>
      </c>
    </row>
    <row r="280" spans="1:11" hidden="1">
      <c r="A280" s="28">
        <v>46301</v>
      </c>
      <c r="B280" t="s">
        <v>185</v>
      </c>
      <c r="C280" t="s">
        <v>202</v>
      </c>
      <c r="D280" t="s">
        <v>217</v>
      </c>
      <c r="E280">
        <f>IF(LEFT(D280,6)="CLIENT",IFERROR(VLOOKUP(C280,Config_Carteiras!$A:$B,2,FALSE),1),"")</f>
        <v>1</v>
      </c>
      <c r="F280" s="25">
        <v>870</v>
      </c>
      <c r="G280" s="28">
        <f>IF(LEFT(D280,6)="CLIENT",IF(E280=0,WORKDAY(A280-1,1,Dias_Sem_Compensacao!$A$2:$A$500),WORKDAY(A280,E280,Dias_Sem_Compensacao!$A$2:$A$500)),"")</f>
        <v>46302</v>
      </c>
      <c r="H280" s="25">
        <v>0</v>
      </c>
      <c r="I280" s="28">
        <v>46301</v>
      </c>
      <c r="J280" t="s">
        <v>336</v>
      </c>
      <c r="K280" t="s">
        <v>337</v>
      </c>
    </row>
    <row r="281" spans="1:11" hidden="1">
      <c r="A281" s="28">
        <v>46301</v>
      </c>
      <c r="B281" t="s">
        <v>185</v>
      </c>
      <c r="C281" t="s">
        <v>202</v>
      </c>
      <c r="D281" t="s">
        <v>217</v>
      </c>
      <c r="E281">
        <f>IF(LEFT(D281,6)="CLIENT",IFERROR(VLOOKUP(C281,Config_Carteiras!$A:$B,2,FALSE),1),"")</f>
        <v>1</v>
      </c>
      <c r="F281" s="25">
        <v>345</v>
      </c>
      <c r="G281" s="28">
        <f>IF(LEFT(D281,6)="CLIENT",IF(E281=0,WORKDAY(A281-1,1,Dias_Sem_Compensacao!$A$2:$A$500),WORKDAY(A281,E281,Dias_Sem_Compensacao!$A$2:$A$500)),"")</f>
        <v>46302</v>
      </c>
      <c r="H281" s="25">
        <v>0</v>
      </c>
      <c r="I281" s="28">
        <v>46301</v>
      </c>
      <c r="J281" t="s">
        <v>675</v>
      </c>
      <c r="K281" t="s">
        <v>676</v>
      </c>
    </row>
    <row r="282" spans="1:11" hidden="1">
      <c r="A282" s="28">
        <v>46301</v>
      </c>
      <c r="B282" t="s">
        <v>185</v>
      </c>
      <c r="C282" t="s">
        <v>202</v>
      </c>
      <c r="D282" t="s">
        <v>217</v>
      </c>
      <c r="E282">
        <f>IF(LEFT(D282,6)="CLIENT",IFERROR(VLOOKUP(C282,Config_Carteiras!$A:$B,2,FALSE),1),"")</f>
        <v>1</v>
      </c>
      <c r="F282" s="25">
        <v>282</v>
      </c>
      <c r="G282" s="28">
        <f>IF(LEFT(D282,6)="CLIENT",IF(E282=0,WORKDAY(A282-1,1,Dias_Sem_Compensacao!$A$2:$A$500),WORKDAY(A282,E282,Dias_Sem_Compensacao!$A$2:$A$500)),"")</f>
        <v>46302</v>
      </c>
      <c r="H282" s="25">
        <v>0</v>
      </c>
      <c r="I282" s="28">
        <v>46301</v>
      </c>
      <c r="K282" t="s">
        <v>677</v>
      </c>
    </row>
    <row r="283" spans="1:11" hidden="1">
      <c r="A283" s="28">
        <v>46301</v>
      </c>
      <c r="B283" t="s">
        <v>185</v>
      </c>
      <c r="C283" t="s">
        <v>202</v>
      </c>
      <c r="D283" t="s">
        <v>217</v>
      </c>
      <c r="E283">
        <f>IF(LEFT(D283,6)="CLIENT",IFERROR(VLOOKUP(C283,Config_Carteiras!$A:$B,2,FALSE),1),"")</f>
        <v>1</v>
      </c>
      <c r="F283" s="25">
        <v>453</v>
      </c>
      <c r="G283" s="28">
        <f>IF(LEFT(D283,6)="CLIENT",IF(E283=0,WORKDAY(A283-1,1,Dias_Sem_Compensacao!$A$2:$A$500),WORKDAY(A283,E283,Dias_Sem_Compensacao!$A$2:$A$500)),"")</f>
        <v>46302</v>
      </c>
      <c r="H283" s="25">
        <v>0</v>
      </c>
      <c r="I283" s="28">
        <v>46301</v>
      </c>
      <c r="J283" t="s">
        <v>678</v>
      </c>
      <c r="K283" t="s">
        <v>679</v>
      </c>
    </row>
    <row r="284" spans="1:11" hidden="1">
      <c r="A284" s="28">
        <v>46301</v>
      </c>
      <c r="B284" t="s">
        <v>185</v>
      </c>
      <c r="C284" t="s">
        <v>202</v>
      </c>
      <c r="D284" t="s">
        <v>217</v>
      </c>
      <c r="E284">
        <f>IF(LEFT(D284,6)="CLIENT",IFERROR(VLOOKUP(C284,Config_Carteiras!$A:$B,2,FALSE),1),"")</f>
        <v>1</v>
      </c>
      <c r="F284" s="25">
        <v>448</v>
      </c>
      <c r="G284" s="28">
        <f>IF(LEFT(D284,6)="CLIENT",IF(E284=0,WORKDAY(A284-1,1,Dias_Sem_Compensacao!$A$2:$A$500),WORKDAY(A284,E284,Dias_Sem_Compensacao!$A$2:$A$500)),"")</f>
        <v>46302</v>
      </c>
      <c r="H284" s="25">
        <v>0</v>
      </c>
      <c r="I284" s="28">
        <v>46301</v>
      </c>
      <c r="J284" t="s">
        <v>440</v>
      </c>
      <c r="K284" t="s">
        <v>680</v>
      </c>
    </row>
    <row r="285" spans="1:11" hidden="1">
      <c r="A285" s="28">
        <v>46301</v>
      </c>
      <c r="B285" t="s">
        <v>185</v>
      </c>
      <c r="C285" t="s">
        <v>202</v>
      </c>
      <c r="D285" t="s">
        <v>217</v>
      </c>
      <c r="E285">
        <f>IF(LEFT(D285,6)="CLIENT",IFERROR(VLOOKUP(C285,Config_Carteiras!$A:$B,2,FALSE),1),"")</f>
        <v>1</v>
      </c>
      <c r="F285" s="25">
        <v>1512</v>
      </c>
      <c r="G285" s="28">
        <f>IF(LEFT(D285,6)="CLIENT",IF(E285=0,WORKDAY(A285-1,1,Dias_Sem_Compensacao!$A$2:$A$500),WORKDAY(A285,E285,Dias_Sem_Compensacao!$A$2:$A$500)),"")</f>
        <v>46302</v>
      </c>
      <c r="H285" s="25">
        <v>0</v>
      </c>
      <c r="I285" s="28">
        <v>46301</v>
      </c>
      <c r="J285" t="s">
        <v>342</v>
      </c>
      <c r="K285" t="s">
        <v>343</v>
      </c>
    </row>
    <row r="286" spans="1:11" hidden="1">
      <c r="A286" s="28">
        <v>46301</v>
      </c>
      <c r="B286" t="s">
        <v>185</v>
      </c>
      <c r="C286" t="s">
        <v>202</v>
      </c>
      <c r="D286" t="s">
        <v>217</v>
      </c>
      <c r="E286">
        <f>IF(LEFT(D286,6)="CLIENT",IFERROR(VLOOKUP(C286,Config_Carteiras!$A:$B,2,FALSE),1),"")</f>
        <v>1</v>
      </c>
      <c r="F286" s="25">
        <v>377.1</v>
      </c>
      <c r="G286" s="28">
        <f>IF(LEFT(D286,6)="CLIENT",IF(E286=0,WORKDAY(A286-1,1,Dias_Sem_Compensacao!$A$2:$A$500),WORKDAY(A286,E286,Dias_Sem_Compensacao!$A$2:$A$500)),"")</f>
        <v>46302</v>
      </c>
      <c r="H286" s="25">
        <v>0</v>
      </c>
      <c r="I286" s="28">
        <v>46301</v>
      </c>
      <c r="J286" t="s">
        <v>344</v>
      </c>
      <c r="K286" t="s">
        <v>345</v>
      </c>
    </row>
    <row r="287" spans="1:11" hidden="1">
      <c r="A287" s="28">
        <v>46301</v>
      </c>
      <c r="B287" t="s">
        <v>185</v>
      </c>
      <c r="C287" t="s">
        <v>202</v>
      </c>
      <c r="D287" t="s">
        <v>217</v>
      </c>
      <c r="E287">
        <f>IF(LEFT(D287,6)="CLIENT",IFERROR(VLOOKUP(C287,Config_Carteiras!$A:$B,2,FALSE),1),"")</f>
        <v>1</v>
      </c>
      <c r="F287" s="25">
        <v>2583</v>
      </c>
      <c r="G287" s="28">
        <f>IF(LEFT(D287,6)="CLIENT",IF(E287=0,WORKDAY(A287-1,1,Dias_Sem_Compensacao!$A$2:$A$500),WORKDAY(A287,E287,Dias_Sem_Compensacao!$A$2:$A$500)),"")</f>
        <v>46302</v>
      </c>
      <c r="H287" s="25">
        <v>0</v>
      </c>
      <c r="I287" s="28">
        <v>46301</v>
      </c>
      <c r="J287" t="s">
        <v>681</v>
      </c>
      <c r="K287" t="s">
        <v>682</v>
      </c>
    </row>
    <row r="288" spans="1:11" hidden="1">
      <c r="A288" s="28">
        <v>46301</v>
      </c>
      <c r="B288" t="s">
        <v>185</v>
      </c>
      <c r="C288" t="s">
        <v>202</v>
      </c>
      <c r="D288" t="s">
        <v>217</v>
      </c>
      <c r="E288">
        <f>IF(LEFT(D288,6)="CLIENT",IFERROR(VLOOKUP(C288,Config_Carteiras!$A:$B,2,FALSE),1),"")</f>
        <v>1</v>
      </c>
      <c r="F288" s="25">
        <v>631</v>
      </c>
      <c r="G288" s="28">
        <f>IF(LEFT(D288,6)="CLIENT",IF(E288=0,WORKDAY(A288-1,1,Dias_Sem_Compensacao!$A$2:$A$500),WORKDAY(A288,E288,Dias_Sem_Compensacao!$A$2:$A$500)),"")</f>
        <v>46302</v>
      </c>
      <c r="H288" s="25">
        <v>0</v>
      </c>
      <c r="I288" s="28">
        <v>46301</v>
      </c>
      <c r="J288" t="s">
        <v>683</v>
      </c>
      <c r="K288" t="s">
        <v>684</v>
      </c>
    </row>
    <row r="289" spans="1:11" hidden="1">
      <c r="A289" s="28">
        <v>46301</v>
      </c>
      <c r="B289" t="s">
        <v>185</v>
      </c>
      <c r="C289" t="s">
        <v>202</v>
      </c>
      <c r="D289" t="s">
        <v>217</v>
      </c>
      <c r="E289">
        <f>IF(LEFT(D289,6)="CLIENT",IFERROR(VLOOKUP(C289,Config_Carteiras!$A:$B,2,FALSE),1),"")</f>
        <v>1</v>
      </c>
      <c r="F289" s="25">
        <v>234</v>
      </c>
      <c r="G289" s="28">
        <f>IF(LEFT(D289,6)="CLIENT",IF(E289=0,WORKDAY(A289-1,1,Dias_Sem_Compensacao!$A$2:$A$500),WORKDAY(A289,E289,Dias_Sem_Compensacao!$A$2:$A$500)),"")</f>
        <v>46302</v>
      </c>
      <c r="H289" s="25">
        <v>0</v>
      </c>
      <c r="I289" s="28">
        <v>46301</v>
      </c>
      <c r="J289" t="s">
        <v>348</v>
      </c>
      <c r="K289" t="s">
        <v>685</v>
      </c>
    </row>
    <row r="290" spans="1:11" hidden="1">
      <c r="A290" s="28">
        <v>46301</v>
      </c>
      <c r="B290" t="s">
        <v>185</v>
      </c>
      <c r="C290" t="s">
        <v>202</v>
      </c>
      <c r="D290" t="s">
        <v>217</v>
      </c>
      <c r="E290">
        <f>IF(LEFT(D290,6)="CLIENT",IFERROR(VLOOKUP(C290,Config_Carteiras!$A:$B,2,FALSE),1),"")</f>
        <v>1</v>
      </c>
      <c r="F290" s="25">
        <v>1799</v>
      </c>
      <c r="G290" s="28">
        <f>IF(LEFT(D290,6)="CLIENT",IF(E290=0,WORKDAY(A290-1,1,Dias_Sem_Compensacao!$A$2:$A$500),WORKDAY(A290,E290,Dias_Sem_Compensacao!$A$2:$A$500)),"")</f>
        <v>46302</v>
      </c>
      <c r="H290" s="25">
        <v>0</v>
      </c>
      <c r="I290" s="28">
        <v>46301</v>
      </c>
      <c r="J290" t="s">
        <v>350</v>
      </c>
      <c r="K290" t="s">
        <v>351</v>
      </c>
    </row>
    <row r="291" spans="1:11" hidden="1">
      <c r="A291" s="28">
        <v>46301</v>
      </c>
      <c r="B291" t="s">
        <v>185</v>
      </c>
      <c r="C291" t="s">
        <v>202</v>
      </c>
      <c r="D291" t="s">
        <v>217</v>
      </c>
      <c r="E291">
        <f>IF(LEFT(D291,6)="CLIENT",IFERROR(VLOOKUP(C291,Config_Carteiras!$A:$B,2,FALSE),1),"")</f>
        <v>1</v>
      </c>
      <c r="F291" s="25">
        <v>388.5</v>
      </c>
      <c r="G291" s="28">
        <f>IF(LEFT(D291,6)="CLIENT",IF(E291=0,WORKDAY(A291-1,1,Dias_Sem_Compensacao!$A$2:$A$500),WORKDAY(A291,E291,Dias_Sem_Compensacao!$A$2:$A$500)),"")</f>
        <v>46302</v>
      </c>
      <c r="H291" s="25">
        <v>0</v>
      </c>
      <c r="I291" s="28">
        <v>46301</v>
      </c>
      <c r="J291" t="s">
        <v>686</v>
      </c>
      <c r="K291" t="s">
        <v>687</v>
      </c>
    </row>
    <row r="292" spans="1:11" hidden="1">
      <c r="A292" s="28">
        <v>46301</v>
      </c>
      <c r="B292" t="s">
        <v>185</v>
      </c>
      <c r="C292" t="s">
        <v>202</v>
      </c>
      <c r="D292" t="s">
        <v>217</v>
      </c>
      <c r="E292">
        <f>IF(LEFT(D292,6)="CLIENT",IFERROR(VLOOKUP(C292,Config_Carteiras!$A:$B,2,FALSE),1),"")</f>
        <v>1</v>
      </c>
      <c r="F292" s="25">
        <v>1027.4000000000001</v>
      </c>
      <c r="G292" s="28">
        <f>IF(LEFT(D292,6)="CLIENT",IF(E292=0,WORKDAY(A292-1,1,Dias_Sem_Compensacao!$A$2:$A$500),WORKDAY(A292,E292,Dias_Sem_Compensacao!$A$2:$A$500)),"")</f>
        <v>46302</v>
      </c>
      <c r="H292" s="25">
        <v>0</v>
      </c>
      <c r="I292" s="28">
        <v>46301</v>
      </c>
      <c r="J292" t="s">
        <v>688</v>
      </c>
      <c r="K292" t="s">
        <v>689</v>
      </c>
    </row>
    <row r="293" spans="1:11" hidden="1">
      <c r="A293" s="28">
        <v>46301</v>
      </c>
      <c r="B293" t="s">
        <v>185</v>
      </c>
      <c r="C293" t="s">
        <v>202</v>
      </c>
      <c r="D293" t="s">
        <v>217</v>
      </c>
      <c r="E293">
        <f>IF(LEFT(D293,6)="CLIENT",IFERROR(VLOOKUP(C293,Config_Carteiras!$A:$B,2,FALSE),1),"")</f>
        <v>1</v>
      </c>
      <c r="F293" s="25">
        <v>790.2</v>
      </c>
      <c r="G293" s="28">
        <f>IF(LEFT(D293,6)="CLIENT",IF(E293=0,WORKDAY(A293-1,1,Dias_Sem_Compensacao!$A$2:$A$500),WORKDAY(A293,E293,Dias_Sem_Compensacao!$A$2:$A$500)),"")</f>
        <v>46302</v>
      </c>
      <c r="H293" s="25">
        <v>0</v>
      </c>
      <c r="I293" s="28">
        <v>46301</v>
      </c>
      <c r="J293" t="s">
        <v>690</v>
      </c>
      <c r="K293" t="s">
        <v>691</v>
      </c>
    </row>
    <row r="294" spans="1:11" hidden="1">
      <c r="A294" s="28">
        <v>46301</v>
      </c>
      <c r="B294" t="s">
        <v>185</v>
      </c>
      <c r="C294" t="s">
        <v>202</v>
      </c>
      <c r="D294" t="s">
        <v>217</v>
      </c>
      <c r="E294">
        <f>IF(LEFT(D294,6)="CLIENT",IFERROR(VLOOKUP(C294,Config_Carteiras!$A:$B,2,FALSE),1),"")</f>
        <v>1</v>
      </c>
      <c r="F294" s="25">
        <v>1230</v>
      </c>
      <c r="G294" s="28">
        <f>IF(LEFT(D294,6)="CLIENT",IF(E294=0,WORKDAY(A294-1,1,Dias_Sem_Compensacao!$A$2:$A$500),WORKDAY(A294,E294,Dias_Sem_Compensacao!$A$2:$A$500)),"")</f>
        <v>46302</v>
      </c>
      <c r="H294" s="25">
        <v>0</v>
      </c>
      <c r="I294" s="28">
        <v>46301</v>
      </c>
      <c r="J294" t="s">
        <v>352</v>
      </c>
      <c r="K294" t="s">
        <v>353</v>
      </c>
    </row>
    <row r="295" spans="1:11" hidden="1">
      <c r="A295" s="28">
        <v>46301</v>
      </c>
      <c r="B295" t="s">
        <v>185</v>
      </c>
      <c r="C295" t="s">
        <v>202</v>
      </c>
      <c r="D295" t="s">
        <v>217</v>
      </c>
      <c r="E295">
        <f>IF(LEFT(D295,6)="CLIENT",IFERROR(VLOOKUP(C295,Config_Carteiras!$A:$B,2,FALSE),1),"")</f>
        <v>1</v>
      </c>
      <c r="F295" s="25">
        <v>360</v>
      </c>
      <c r="G295" s="28">
        <f>IF(LEFT(D295,6)="CLIENT",IF(E295=0,WORKDAY(A295-1,1,Dias_Sem_Compensacao!$A$2:$A$500),WORKDAY(A295,E295,Dias_Sem_Compensacao!$A$2:$A$500)),"")</f>
        <v>46302</v>
      </c>
      <c r="H295" s="25">
        <v>0</v>
      </c>
      <c r="I295" s="28">
        <v>46301</v>
      </c>
      <c r="J295" t="s">
        <v>354</v>
      </c>
      <c r="K295" t="s">
        <v>355</v>
      </c>
    </row>
    <row r="296" spans="1:11" hidden="1">
      <c r="A296" s="28">
        <v>46301</v>
      </c>
      <c r="B296" t="s">
        <v>185</v>
      </c>
      <c r="C296" t="s">
        <v>202</v>
      </c>
      <c r="D296" t="s">
        <v>217</v>
      </c>
      <c r="E296">
        <f>IF(LEFT(D296,6)="CLIENT",IFERROR(VLOOKUP(C296,Config_Carteiras!$A:$B,2,FALSE),1),"")</f>
        <v>1</v>
      </c>
      <c r="F296" s="25">
        <v>1264</v>
      </c>
      <c r="G296" s="28">
        <f>IF(LEFT(D296,6)="CLIENT",IF(E296=0,WORKDAY(A296-1,1,Dias_Sem_Compensacao!$A$2:$A$500),WORKDAY(A296,E296,Dias_Sem_Compensacao!$A$2:$A$500)),"")</f>
        <v>46302</v>
      </c>
      <c r="H296" s="25">
        <v>0</v>
      </c>
      <c r="I296" s="28">
        <v>46301</v>
      </c>
      <c r="J296" t="s">
        <v>356</v>
      </c>
      <c r="K296" t="s">
        <v>357</v>
      </c>
    </row>
    <row r="297" spans="1:11" hidden="1">
      <c r="A297" s="28">
        <v>46301</v>
      </c>
      <c r="B297" t="s">
        <v>185</v>
      </c>
      <c r="C297" t="s">
        <v>202</v>
      </c>
      <c r="D297" t="s">
        <v>217</v>
      </c>
      <c r="E297">
        <f>IF(LEFT(D297,6)="CLIENT",IFERROR(VLOOKUP(C297,Config_Carteiras!$A:$B,2,FALSE),1),"")</f>
        <v>1</v>
      </c>
      <c r="F297" s="25">
        <v>656</v>
      </c>
      <c r="G297" s="28">
        <f>IF(LEFT(D297,6)="CLIENT",IF(E297=0,WORKDAY(A297-1,1,Dias_Sem_Compensacao!$A$2:$A$500),WORKDAY(A297,E297,Dias_Sem_Compensacao!$A$2:$A$500)),"")</f>
        <v>46302</v>
      </c>
      <c r="H297" s="25">
        <v>0</v>
      </c>
      <c r="I297" s="28">
        <v>46301</v>
      </c>
      <c r="J297" t="s">
        <v>360</v>
      </c>
      <c r="K297" t="s">
        <v>361</v>
      </c>
    </row>
    <row r="298" spans="1:11" hidden="1">
      <c r="A298" s="28">
        <v>46301</v>
      </c>
      <c r="B298" t="s">
        <v>185</v>
      </c>
      <c r="C298" t="s">
        <v>202</v>
      </c>
      <c r="D298" t="s">
        <v>217</v>
      </c>
      <c r="E298">
        <f>IF(LEFT(D298,6)="CLIENT",IFERROR(VLOOKUP(C298,Config_Carteiras!$A:$B,2,FALSE),1),"")</f>
        <v>1</v>
      </c>
      <c r="F298" s="25">
        <v>7504.79</v>
      </c>
      <c r="G298" s="28">
        <f>IF(LEFT(D298,6)="CLIENT",IF(E298=0,WORKDAY(A298-1,1,Dias_Sem_Compensacao!$A$2:$A$500),WORKDAY(A298,E298,Dias_Sem_Compensacao!$A$2:$A$500)),"")</f>
        <v>46302</v>
      </c>
      <c r="H298" s="25">
        <v>0</v>
      </c>
      <c r="I298" s="28">
        <v>46301</v>
      </c>
      <c r="J298" t="s">
        <v>98</v>
      </c>
      <c r="K298" t="s">
        <v>362</v>
      </c>
    </row>
    <row r="299" spans="1:11" hidden="1">
      <c r="A299" s="28">
        <v>46301</v>
      </c>
      <c r="B299" t="s">
        <v>185</v>
      </c>
      <c r="C299" t="s">
        <v>202</v>
      </c>
      <c r="D299" t="s">
        <v>217</v>
      </c>
      <c r="E299">
        <f>IF(LEFT(D299,6)="CLIENT",IFERROR(VLOOKUP(C299,Config_Carteiras!$A:$B,2,FALSE),1),"")</f>
        <v>1</v>
      </c>
      <c r="F299" s="25">
        <v>5306</v>
      </c>
      <c r="G299" s="28">
        <f>IF(LEFT(D299,6)="CLIENT",IF(E299=0,WORKDAY(A299-1,1,Dias_Sem_Compensacao!$A$2:$A$500),WORKDAY(A299,E299,Dias_Sem_Compensacao!$A$2:$A$500)),"")</f>
        <v>46302</v>
      </c>
      <c r="H299" s="25">
        <v>0</v>
      </c>
      <c r="I299" s="28">
        <v>46301</v>
      </c>
      <c r="K299" t="s">
        <v>363</v>
      </c>
    </row>
    <row r="300" spans="1:11" hidden="1">
      <c r="A300" s="28">
        <v>46301</v>
      </c>
      <c r="B300" t="s">
        <v>185</v>
      </c>
      <c r="C300" t="s">
        <v>202</v>
      </c>
      <c r="D300" t="s">
        <v>217</v>
      </c>
      <c r="E300">
        <f>IF(LEFT(D300,6)="CLIENT",IFERROR(VLOOKUP(C300,Config_Carteiras!$A:$B,2,FALSE),1),"")</f>
        <v>1</v>
      </c>
      <c r="F300" s="25">
        <v>3224</v>
      </c>
      <c r="G300" s="28">
        <f>IF(LEFT(D300,6)="CLIENT",IF(E300=0,WORKDAY(A300-1,1,Dias_Sem_Compensacao!$A$2:$A$500),WORKDAY(A300,E300,Dias_Sem_Compensacao!$A$2:$A$500)),"")</f>
        <v>46302</v>
      </c>
      <c r="H300" s="25">
        <v>0</v>
      </c>
      <c r="I300" s="28">
        <v>46301</v>
      </c>
      <c r="K300" t="s">
        <v>364</v>
      </c>
    </row>
    <row r="301" spans="1:11" hidden="1">
      <c r="A301" s="28">
        <v>46301</v>
      </c>
      <c r="B301" t="s">
        <v>185</v>
      </c>
      <c r="C301" t="s">
        <v>202</v>
      </c>
      <c r="D301" t="s">
        <v>217</v>
      </c>
      <c r="E301">
        <f>IF(LEFT(D301,6)="CLIENT",IFERROR(VLOOKUP(C301,Config_Carteiras!$A:$B,2,FALSE),1),"")</f>
        <v>1</v>
      </c>
      <c r="F301" s="25">
        <v>386</v>
      </c>
      <c r="G301" s="28">
        <f>IF(LEFT(D301,6)="CLIENT",IF(E301=0,WORKDAY(A301-1,1,Dias_Sem_Compensacao!$A$2:$A$500),WORKDAY(A301,E301,Dias_Sem_Compensacao!$A$2:$A$500)),"")</f>
        <v>46302</v>
      </c>
      <c r="H301" s="25">
        <v>0</v>
      </c>
      <c r="I301" s="28">
        <v>46301</v>
      </c>
      <c r="J301" t="s">
        <v>365</v>
      </c>
      <c r="K301" t="s">
        <v>366</v>
      </c>
    </row>
    <row r="302" spans="1:11" hidden="1">
      <c r="A302" s="28">
        <v>46301</v>
      </c>
      <c r="B302" t="s">
        <v>185</v>
      </c>
      <c r="C302" t="s">
        <v>202</v>
      </c>
      <c r="D302" t="s">
        <v>217</v>
      </c>
      <c r="E302">
        <f>IF(LEFT(D302,6)="CLIENT",IFERROR(VLOOKUP(C302,Config_Carteiras!$A:$B,2,FALSE),1),"")</f>
        <v>1</v>
      </c>
      <c r="F302" s="25">
        <v>744.3</v>
      </c>
      <c r="G302" s="28">
        <f>IF(LEFT(D302,6)="CLIENT",IF(E302=0,WORKDAY(A302-1,1,Dias_Sem_Compensacao!$A$2:$A$500),WORKDAY(A302,E302,Dias_Sem_Compensacao!$A$2:$A$500)),"")</f>
        <v>46302</v>
      </c>
      <c r="H302" s="25">
        <v>0</v>
      </c>
      <c r="I302" s="28">
        <v>46301</v>
      </c>
      <c r="J302" t="s">
        <v>692</v>
      </c>
      <c r="K302" t="s">
        <v>693</v>
      </c>
    </row>
    <row r="303" spans="1:11" hidden="1">
      <c r="A303" s="28">
        <v>46301</v>
      </c>
      <c r="B303" t="s">
        <v>185</v>
      </c>
      <c r="C303" t="s">
        <v>202</v>
      </c>
      <c r="D303" t="s">
        <v>217</v>
      </c>
      <c r="E303">
        <f>IF(LEFT(D303,6)="CLIENT",IFERROR(VLOOKUP(C303,Config_Carteiras!$A:$B,2,FALSE),1),"")</f>
        <v>1</v>
      </c>
      <c r="F303" s="25">
        <v>787</v>
      </c>
      <c r="G303" s="28">
        <f>IF(LEFT(D303,6)="CLIENT",IF(E303=0,WORKDAY(A303-1,1,Dias_Sem_Compensacao!$A$2:$A$500),WORKDAY(A303,E303,Dias_Sem_Compensacao!$A$2:$A$500)),"")</f>
        <v>46302</v>
      </c>
      <c r="H303" s="25">
        <v>0</v>
      </c>
      <c r="I303" s="28">
        <v>46301</v>
      </c>
      <c r="J303" t="s">
        <v>694</v>
      </c>
      <c r="K303" t="s">
        <v>695</v>
      </c>
    </row>
    <row r="304" spans="1:11" hidden="1">
      <c r="A304" s="28">
        <v>46301</v>
      </c>
      <c r="B304" t="s">
        <v>185</v>
      </c>
      <c r="C304" t="s">
        <v>202</v>
      </c>
      <c r="D304" t="s">
        <v>217</v>
      </c>
      <c r="E304">
        <f>IF(LEFT(D304,6)="CLIENT",IFERROR(VLOOKUP(C304,Config_Carteiras!$A:$B,2,FALSE),1),"")</f>
        <v>1</v>
      </c>
      <c r="F304" s="25">
        <v>485</v>
      </c>
      <c r="G304" s="28">
        <f>IF(LEFT(D304,6)="CLIENT",IF(E304=0,WORKDAY(A304-1,1,Dias_Sem_Compensacao!$A$2:$A$500),WORKDAY(A304,E304,Dias_Sem_Compensacao!$A$2:$A$500)),"")</f>
        <v>46302</v>
      </c>
      <c r="H304" s="25">
        <v>0</v>
      </c>
      <c r="I304" s="28">
        <v>46301</v>
      </c>
      <c r="J304" t="s">
        <v>367</v>
      </c>
      <c r="K304" t="s">
        <v>368</v>
      </c>
    </row>
    <row r="305" spans="1:11" hidden="1">
      <c r="A305" s="28">
        <v>46301</v>
      </c>
      <c r="B305" t="s">
        <v>185</v>
      </c>
      <c r="C305" t="s">
        <v>202</v>
      </c>
      <c r="D305" t="s">
        <v>217</v>
      </c>
      <c r="E305">
        <f>IF(LEFT(D305,6)="CLIENT",IFERROR(VLOOKUP(C305,Config_Carteiras!$A:$B,2,FALSE),1),"")</f>
        <v>1</v>
      </c>
      <c r="F305" s="25">
        <v>1616</v>
      </c>
      <c r="G305" s="28">
        <f>IF(LEFT(D305,6)="CLIENT",IF(E305=0,WORKDAY(A305-1,1,Dias_Sem_Compensacao!$A$2:$A$500),WORKDAY(A305,E305,Dias_Sem_Compensacao!$A$2:$A$500)),"")</f>
        <v>46302</v>
      </c>
      <c r="H305" s="25">
        <v>0</v>
      </c>
      <c r="I305" s="28">
        <v>46301</v>
      </c>
      <c r="J305" t="s">
        <v>696</v>
      </c>
      <c r="K305" t="s">
        <v>697</v>
      </c>
    </row>
    <row r="306" spans="1:11" hidden="1">
      <c r="A306" s="28">
        <v>46301</v>
      </c>
      <c r="B306" t="s">
        <v>185</v>
      </c>
      <c r="C306" t="s">
        <v>202</v>
      </c>
      <c r="D306" t="s">
        <v>217</v>
      </c>
      <c r="E306">
        <f>IF(LEFT(D306,6)="CLIENT",IFERROR(VLOOKUP(C306,Config_Carteiras!$A:$B,2,FALSE),1),"")</f>
        <v>1</v>
      </c>
      <c r="F306" s="25">
        <v>1707</v>
      </c>
      <c r="G306" s="28">
        <f>IF(LEFT(D306,6)="CLIENT",IF(E306=0,WORKDAY(A306-1,1,Dias_Sem_Compensacao!$A$2:$A$500),WORKDAY(A306,E306,Dias_Sem_Compensacao!$A$2:$A$500)),"")</f>
        <v>46302</v>
      </c>
      <c r="H306" s="25">
        <v>0</v>
      </c>
      <c r="I306" s="28">
        <v>46301</v>
      </c>
      <c r="J306" t="s">
        <v>698</v>
      </c>
      <c r="K306" t="s">
        <v>699</v>
      </c>
    </row>
    <row r="307" spans="1:11" hidden="1">
      <c r="A307" s="28">
        <v>46301</v>
      </c>
      <c r="B307" t="s">
        <v>185</v>
      </c>
      <c r="C307" t="s">
        <v>202</v>
      </c>
      <c r="D307" t="s">
        <v>217</v>
      </c>
      <c r="E307">
        <f>IF(LEFT(D307,6)="CLIENT",IFERROR(VLOOKUP(C307,Config_Carteiras!$A:$B,2,FALSE),1),"")</f>
        <v>1</v>
      </c>
      <c r="F307" s="25">
        <v>521.4</v>
      </c>
      <c r="G307" s="28">
        <f>IF(LEFT(D307,6)="CLIENT",IF(E307=0,WORKDAY(A307-1,1,Dias_Sem_Compensacao!$A$2:$A$500),WORKDAY(A307,E307,Dias_Sem_Compensacao!$A$2:$A$500)),"")</f>
        <v>46302</v>
      </c>
      <c r="H307" s="25">
        <v>0</v>
      </c>
      <c r="I307" s="28">
        <v>46301</v>
      </c>
      <c r="J307" t="s">
        <v>700</v>
      </c>
      <c r="K307" t="s">
        <v>701</v>
      </c>
    </row>
    <row r="308" spans="1:11" hidden="1">
      <c r="A308" s="28">
        <v>46301</v>
      </c>
      <c r="B308" t="s">
        <v>185</v>
      </c>
      <c r="C308" t="s">
        <v>202</v>
      </c>
      <c r="D308" t="s">
        <v>217</v>
      </c>
      <c r="E308">
        <f>IF(LEFT(D308,6)="CLIENT",IFERROR(VLOOKUP(C308,Config_Carteiras!$A:$B,2,FALSE),1),"")</f>
        <v>1</v>
      </c>
      <c r="F308" s="25">
        <v>837</v>
      </c>
      <c r="G308" s="28">
        <f>IF(LEFT(D308,6)="CLIENT",IF(E308=0,WORKDAY(A308-1,1,Dias_Sem_Compensacao!$A$2:$A$500),WORKDAY(A308,E308,Dias_Sem_Compensacao!$A$2:$A$500)),"")</f>
        <v>46302</v>
      </c>
      <c r="H308" s="25">
        <v>0</v>
      </c>
      <c r="I308" s="28">
        <v>46301</v>
      </c>
      <c r="J308" t="s">
        <v>227</v>
      </c>
      <c r="K308" t="s">
        <v>702</v>
      </c>
    </row>
    <row r="309" spans="1:11" hidden="1">
      <c r="A309" s="28">
        <v>46301</v>
      </c>
      <c r="B309" t="s">
        <v>185</v>
      </c>
      <c r="C309" t="s">
        <v>202</v>
      </c>
      <c r="D309" t="s">
        <v>217</v>
      </c>
      <c r="E309">
        <f>IF(LEFT(D309,6)="CLIENT",IFERROR(VLOOKUP(C309,Config_Carteiras!$A:$B,2,FALSE),1),"")</f>
        <v>1</v>
      </c>
      <c r="F309" s="25">
        <v>409</v>
      </c>
      <c r="G309" s="28">
        <f>IF(LEFT(D309,6)="CLIENT",IF(E309=0,WORKDAY(A309-1,1,Dias_Sem_Compensacao!$A$2:$A$500),WORKDAY(A309,E309,Dias_Sem_Compensacao!$A$2:$A$500)),"")</f>
        <v>46302</v>
      </c>
      <c r="H309" s="25">
        <v>0</v>
      </c>
      <c r="I309" s="28">
        <v>46301</v>
      </c>
      <c r="J309" t="s">
        <v>703</v>
      </c>
      <c r="K309" t="s">
        <v>704</v>
      </c>
    </row>
    <row r="310" spans="1:11" hidden="1">
      <c r="A310" s="28">
        <v>46301</v>
      </c>
      <c r="B310" t="s">
        <v>185</v>
      </c>
      <c r="C310" t="s">
        <v>202</v>
      </c>
      <c r="D310" t="s">
        <v>217</v>
      </c>
      <c r="E310">
        <f>IF(LEFT(D310,6)="CLIENT",IFERROR(VLOOKUP(C310,Config_Carteiras!$A:$B,2,FALSE),1),"")</f>
        <v>1</v>
      </c>
      <c r="F310" s="25">
        <v>361</v>
      </c>
      <c r="G310" s="28">
        <f>IF(LEFT(D310,6)="CLIENT",IF(E310=0,WORKDAY(A310-1,1,Dias_Sem_Compensacao!$A$2:$A$500),WORKDAY(A310,E310,Dias_Sem_Compensacao!$A$2:$A$500)),"")</f>
        <v>46302</v>
      </c>
      <c r="H310" s="25">
        <v>0</v>
      </c>
      <c r="I310" s="28">
        <v>46301</v>
      </c>
      <c r="J310" t="s">
        <v>705</v>
      </c>
      <c r="K310" t="s">
        <v>706</v>
      </c>
    </row>
    <row r="311" spans="1:11" hidden="1">
      <c r="A311" s="28">
        <v>46301</v>
      </c>
      <c r="B311" t="s">
        <v>185</v>
      </c>
      <c r="C311" t="s">
        <v>202</v>
      </c>
      <c r="D311" t="s">
        <v>217</v>
      </c>
      <c r="E311">
        <f>IF(LEFT(D311,6)="CLIENT",IFERROR(VLOOKUP(C311,Config_Carteiras!$A:$B,2,FALSE),1),"")</f>
        <v>1</v>
      </c>
      <c r="F311" s="25">
        <v>1087</v>
      </c>
      <c r="G311" s="28">
        <f>IF(LEFT(D311,6)="CLIENT",IF(E311=0,WORKDAY(A311-1,1,Dias_Sem_Compensacao!$A$2:$A$500),WORKDAY(A311,E311,Dias_Sem_Compensacao!$A$2:$A$500)),"")</f>
        <v>46302</v>
      </c>
      <c r="H311" s="25">
        <v>0</v>
      </c>
      <c r="I311" s="28">
        <v>46301</v>
      </c>
      <c r="J311" t="s">
        <v>371</v>
      </c>
      <c r="K311" t="s">
        <v>707</v>
      </c>
    </row>
    <row r="312" spans="1:11" hidden="1">
      <c r="A312" s="28">
        <v>46302</v>
      </c>
      <c r="B312" t="s">
        <v>185</v>
      </c>
      <c r="C312" t="s">
        <v>202</v>
      </c>
      <c r="D312" t="s">
        <v>217</v>
      </c>
      <c r="E312">
        <f>IF(LEFT(D312,6)="CLIENT",IFERROR(VLOOKUP(C312,Config_Carteiras!$A:$B,2,FALSE),1),"")</f>
        <v>1</v>
      </c>
      <c r="F312" s="25">
        <v>434</v>
      </c>
      <c r="G312" s="28">
        <f>IF(LEFT(D312,6)="CLIENT",IF(E312=0,WORKDAY(A312-1,1,Dias_Sem_Compensacao!$A$2:$A$500),WORKDAY(A312,E312,Dias_Sem_Compensacao!$A$2:$A$500)),"")</f>
        <v>46303</v>
      </c>
      <c r="H312" s="25">
        <v>0</v>
      </c>
      <c r="I312" s="28">
        <v>46302</v>
      </c>
      <c r="J312" t="s">
        <v>373</v>
      </c>
      <c r="K312" t="s">
        <v>374</v>
      </c>
    </row>
    <row r="313" spans="1:11" hidden="1">
      <c r="A313" s="28">
        <v>46302</v>
      </c>
      <c r="B313" t="s">
        <v>185</v>
      </c>
      <c r="C313" t="s">
        <v>202</v>
      </c>
      <c r="D313" t="s">
        <v>217</v>
      </c>
      <c r="E313">
        <f>IF(LEFT(D313,6)="CLIENT",IFERROR(VLOOKUP(C313,Config_Carteiras!$A:$B,2,FALSE),1),"")</f>
        <v>1</v>
      </c>
      <c r="F313" s="25">
        <v>531</v>
      </c>
      <c r="G313" s="28">
        <f>IF(LEFT(D313,6)="CLIENT",IF(E313=0,WORKDAY(A313-1,1,Dias_Sem_Compensacao!$A$2:$A$500),WORKDAY(A313,E313,Dias_Sem_Compensacao!$A$2:$A$500)),"")</f>
        <v>46303</v>
      </c>
      <c r="H313" s="25">
        <v>0</v>
      </c>
      <c r="I313" s="28">
        <v>46302</v>
      </c>
      <c r="J313" t="s">
        <v>708</v>
      </c>
      <c r="K313" t="s">
        <v>709</v>
      </c>
    </row>
    <row r="314" spans="1:11" hidden="1">
      <c r="A314" s="28">
        <v>46302</v>
      </c>
      <c r="B314" t="s">
        <v>185</v>
      </c>
      <c r="C314" t="s">
        <v>202</v>
      </c>
      <c r="D314" t="s">
        <v>217</v>
      </c>
      <c r="E314">
        <f>IF(LEFT(D314,6)="CLIENT",IFERROR(VLOOKUP(C314,Config_Carteiras!$A:$B,2,FALSE),1),"")</f>
        <v>1</v>
      </c>
      <c r="F314" s="25">
        <v>378</v>
      </c>
      <c r="G314" s="28">
        <f>IF(LEFT(D314,6)="CLIENT",IF(E314=0,WORKDAY(A314-1,1,Dias_Sem_Compensacao!$A$2:$A$500),WORKDAY(A314,E314,Dias_Sem_Compensacao!$A$2:$A$500)),"")</f>
        <v>46303</v>
      </c>
      <c r="H314" s="25">
        <v>0</v>
      </c>
      <c r="I314" s="28">
        <v>46302</v>
      </c>
      <c r="J314" t="s">
        <v>375</v>
      </c>
      <c r="K314" t="s">
        <v>376</v>
      </c>
    </row>
    <row r="315" spans="1:11" hidden="1">
      <c r="A315" s="28">
        <v>46302</v>
      </c>
      <c r="B315" t="s">
        <v>185</v>
      </c>
      <c r="C315" t="s">
        <v>202</v>
      </c>
      <c r="D315" t="s">
        <v>217</v>
      </c>
      <c r="E315">
        <f>IF(LEFT(D315,6)="CLIENT",IFERROR(VLOOKUP(C315,Config_Carteiras!$A:$B,2,FALSE),1),"")</f>
        <v>1</v>
      </c>
      <c r="F315" s="25">
        <v>666</v>
      </c>
      <c r="G315" s="28">
        <f>IF(LEFT(D315,6)="CLIENT",IF(E315=0,WORKDAY(A315-1,1,Dias_Sem_Compensacao!$A$2:$A$500),WORKDAY(A315,E315,Dias_Sem_Compensacao!$A$2:$A$500)),"")</f>
        <v>46303</v>
      </c>
      <c r="H315" s="25">
        <v>0</v>
      </c>
      <c r="I315" s="28">
        <v>46302</v>
      </c>
      <c r="J315" t="s">
        <v>477</v>
      </c>
      <c r="K315" t="s">
        <v>710</v>
      </c>
    </row>
    <row r="316" spans="1:11" hidden="1">
      <c r="A316" s="28">
        <v>46302</v>
      </c>
      <c r="B316" t="s">
        <v>185</v>
      </c>
      <c r="C316" t="s">
        <v>202</v>
      </c>
      <c r="D316" t="s">
        <v>217</v>
      </c>
      <c r="E316">
        <f>IF(LEFT(D316,6)="CLIENT",IFERROR(VLOOKUP(C316,Config_Carteiras!$A:$B,2,FALSE),1),"")</f>
        <v>1</v>
      </c>
      <c r="F316" s="25">
        <v>1370.88</v>
      </c>
      <c r="G316" s="28">
        <f>IF(LEFT(D316,6)="CLIENT",IF(E316=0,WORKDAY(A316-1,1,Dias_Sem_Compensacao!$A$2:$A$500),WORKDAY(A316,E316,Dias_Sem_Compensacao!$A$2:$A$500)),"")</f>
        <v>46303</v>
      </c>
      <c r="H316" s="25">
        <v>0</v>
      </c>
      <c r="I316" s="28">
        <v>46302</v>
      </c>
      <c r="J316" t="s">
        <v>377</v>
      </c>
      <c r="K316" t="s">
        <v>378</v>
      </c>
    </row>
    <row r="317" spans="1:11" hidden="1">
      <c r="A317" s="28">
        <v>46302</v>
      </c>
      <c r="B317" t="s">
        <v>185</v>
      </c>
      <c r="C317" t="s">
        <v>202</v>
      </c>
      <c r="D317" t="s">
        <v>217</v>
      </c>
      <c r="E317">
        <f>IF(LEFT(D317,6)="CLIENT",IFERROR(VLOOKUP(C317,Config_Carteiras!$A:$B,2,FALSE),1),"")</f>
        <v>1</v>
      </c>
      <c r="F317" s="25">
        <v>548</v>
      </c>
      <c r="G317" s="28">
        <f>IF(LEFT(D317,6)="CLIENT",IF(E317=0,WORKDAY(A317-1,1,Dias_Sem_Compensacao!$A$2:$A$500),WORKDAY(A317,E317,Dias_Sem_Compensacao!$A$2:$A$500)),"")</f>
        <v>46303</v>
      </c>
      <c r="H317" s="25">
        <v>0</v>
      </c>
      <c r="I317" s="28">
        <v>46302</v>
      </c>
      <c r="J317" t="s">
        <v>379</v>
      </c>
      <c r="K317" t="s">
        <v>711</v>
      </c>
    </row>
    <row r="318" spans="1:11" hidden="1">
      <c r="A318" s="28">
        <v>46302</v>
      </c>
      <c r="B318" t="s">
        <v>185</v>
      </c>
      <c r="C318" t="s">
        <v>202</v>
      </c>
      <c r="D318" t="s">
        <v>217</v>
      </c>
      <c r="E318">
        <f>IF(LEFT(D318,6)="CLIENT",IFERROR(VLOOKUP(C318,Config_Carteiras!$A:$B,2,FALSE),1),"")</f>
        <v>1</v>
      </c>
      <c r="F318" s="25">
        <v>584</v>
      </c>
      <c r="G318" s="28">
        <f>IF(LEFT(D318,6)="CLIENT",IF(E318=0,WORKDAY(A318-1,1,Dias_Sem_Compensacao!$A$2:$A$500),WORKDAY(A318,E318,Dias_Sem_Compensacao!$A$2:$A$500)),"")</f>
        <v>46303</v>
      </c>
      <c r="H318" s="25">
        <v>0</v>
      </c>
      <c r="I318" s="28">
        <v>46302</v>
      </c>
      <c r="J318" t="s">
        <v>712</v>
      </c>
      <c r="K318" t="s">
        <v>713</v>
      </c>
    </row>
    <row r="319" spans="1:11" hidden="1">
      <c r="A319" s="28">
        <v>46302</v>
      </c>
      <c r="B319" t="s">
        <v>185</v>
      </c>
      <c r="C319" t="s">
        <v>202</v>
      </c>
      <c r="D319" t="s">
        <v>217</v>
      </c>
      <c r="E319">
        <f>IF(LEFT(D319,6)="CLIENT",IFERROR(VLOOKUP(C319,Config_Carteiras!$A:$B,2,FALSE),1),"")</f>
        <v>1</v>
      </c>
      <c r="F319" s="25">
        <v>390.56</v>
      </c>
      <c r="G319" s="28">
        <f>IF(LEFT(D319,6)="CLIENT",IF(E319=0,WORKDAY(A319-1,1,Dias_Sem_Compensacao!$A$2:$A$500),WORKDAY(A319,E319,Dias_Sem_Compensacao!$A$2:$A$500)),"")</f>
        <v>46303</v>
      </c>
      <c r="H319" s="25">
        <v>0</v>
      </c>
      <c r="I319" s="28">
        <v>46302</v>
      </c>
      <c r="J319" t="s">
        <v>383</v>
      </c>
      <c r="K319" t="s">
        <v>384</v>
      </c>
    </row>
    <row r="320" spans="1:11" hidden="1">
      <c r="A320" s="28">
        <v>46302</v>
      </c>
      <c r="B320" t="s">
        <v>185</v>
      </c>
      <c r="C320" t="s">
        <v>202</v>
      </c>
      <c r="D320" t="s">
        <v>217</v>
      </c>
      <c r="E320">
        <f>IF(LEFT(D320,6)="CLIENT",IFERROR(VLOOKUP(C320,Config_Carteiras!$A:$B,2,FALSE),1),"")</f>
        <v>1</v>
      </c>
      <c r="F320" s="25">
        <v>2321</v>
      </c>
      <c r="G320" s="28">
        <f>IF(LEFT(D320,6)="CLIENT",IF(E320=0,WORKDAY(A320-1,1,Dias_Sem_Compensacao!$A$2:$A$500),WORKDAY(A320,E320,Dias_Sem_Compensacao!$A$2:$A$500)),"")</f>
        <v>46303</v>
      </c>
      <c r="H320" s="25">
        <v>0</v>
      </c>
      <c r="I320" s="28">
        <v>46302</v>
      </c>
      <c r="J320" t="s">
        <v>387</v>
      </c>
      <c r="K320" t="s">
        <v>388</v>
      </c>
    </row>
    <row r="321" spans="1:11" hidden="1">
      <c r="A321" s="28">
        <v>46302</v>
      </c>
      <c r="B321" t="s">
        <v>185</v>
      </c>
      <c r="C321" t="s">
        <v>202</v>
      </c>
      <c r="D321" t="s">
        <v>217</v>
      </c>
      <c r="E321">
        <f>IF(LEFT(D321,6)="CLIENT",IFERROR(VLOOKUP(C321,Config_Carteiras!$A:$B,2,FALSE),1),"")</f>
        <v>1</v>
      </c>
      <c r="F321" s="25">
        <v>658</v>
      </c>
      <c r="G321" s="28">
        <f>IF(LEFT(D321,6)="CLIENT",IF(E321=0,WORKDAY(A321-1,1,Dias_Sem_Compensacao!$A$2:$A$500),WORKDAY(A321,E321,Dias_Sem_Compensacao!$A$2:$A$500)),"")</f>
        <v>46303</v>
      </c>
      <c r="H321" s="25">
        <v>0</v>
      </c>
      <c r="I321" s="28">
        <v>46302</v>
      </c>
      <c r="J321" t="s">
        <v>389</v>
      </c>
      <c r="K321" t="s">
        <v>391</v>
      </c>
    </row>
    <row r="322" spans="1:11" hidden="1">
      <c r="A322" s="28">
        <v>46302</v>
      </c>
      <c r="B322" t="s">
        <v>185</v>
      </c>
      <c r="C322" t="s">
        <v>202</v>
      </c>
      <c r="D322" t="s">
        <v>217</v>
      </c>
      <c r="E322">
        <f>IF(LEFT(D322,6)="CLIENT",IFERROR(VLOOKUP(C322,Config_Carteiras!$A:$B,2,FALSE),1),"")</f>
        <v>1</v>
      </c>
      <c r="F322" s="25">
        <v>878</v>
      </c>
      <c r="G322" s="28">
        <f>IF(LEFT(D322,6)="CLIENT",IF(E322=0,WORKDAY(A322-1,1,Dias_Sem_Compensacao!$A$2:$A$500),WORKDAY(A322,E322,Dias_Sem_Compensacao!$A$2:$A$500)),"")</f>
        <v>46303</v>
      </c>
      <c r="H322" s="25">
        <v>0</v>
      </c>
      <c r="I322" s="28">
        <v>46302</v>
      </c>
      <c r="J322" t="s">
        <v>714</v>
      </c>
      <c r="K322" t="s">
        <v>715</v>
      </c>
    </row>
    <row r="323" spans="1:11" hidden="1">
      <c r="A323" s="28">
        <v>46302</v>
      </c>
      <c r="B323" t="s">
        <v>185</v>
      </c>
      <c r="C323" t="s">
        <v>202</v>
      </c>
      <c r="D323" t="s">
        <v>217</v>
      </c>
      <c r="E323">
        <f>IF(LEFT(D323,6)="CLIENT",IFERROR(VLOOKUP(C323,Config_Carteiras!$A:$B,2,FALSE),1),"")</f>
        <v>1</v>
      </c>
      <c r="F323" s="25">
        <v>6090</v>
      </c>
      <c r="G323" s="28">
        <f>IF(LEFT(D323,6)="CLIENT",IF(E323=0,WORKDAY(A323-1,1,Dias_Sem_Compensacao!$A$2:$A$500),WORKDAY(A323,E323,Dias_Sem_Compensacao!$A$2:$A$500)),"")</f>
        <v>46303</v>
      </c>
      <c r="H323" s="25">
        <v>0</v>
      </c>
      <c r="I323" s="28">
        <v>46302</v>
      </c>
      <c r="J323" t="s">
        <v>394</v>
      </c>
      <c r="K323" t="s">
        <v>395</v>
      </c>
    </row>
    <row r="324" spans="1:11" hidden="1">
      <c r="A324" s="28">
        <v>46302</v>
      </c>
      <c r="B324" t="s">
        <v>185</v>
      </c>
      <c r="C324" t="s">
        <v>202</v>
      </c>
      <c r="D324" t="s">
        <v>217</v>
      </c>
      <c r="E324">
        <f>IF(LEFT(D324,6)="CLIENT",IFERROR(VLOOKUP(C324,Config_Carteiras!$A:$B,2,FALSE),1),"")</f>
        <v>1</v>
      </c>
      <c r="F324" s="25">
        <v>3656</v>
      </c>
      <c r="G324" s="28">
        <f>IF(LEFT(D324,6)="CLIENT",IF(E324=0,WORKDAY(A324-1,1,Dias_Sem_Compensacao!$A$2:$A$500),WORKDAY(A324,E324,Dias_Sem_Compensacao!$A$2:$A$500)),"")</f>
        <v>46303</v>
      </c>
      <c r="H324" s="25">
        <v>0</v>
      </c>
      <c r="I324" s="28">
        <v>46302</v>
      </c>
      <c r="K324" t="s">
        <v>396</v>
      </c>
    </row>
    <row r="325" spans="1:11" hidden="1">
      <c r="A325" s="28">
        <v>46302</v>
      </c>
      <c r="B325" t="s">
        <v>185</v>
      </c>
      <c r="C325" t="s">
        <v>202</v>
      </c>
      <c r="D325" t="s">
        <v>217</v>
      </c>
      <c r="E325">
        <f>IF(LEFT(D325,6)="CLIENT",IFERROR(VLOOKUP(C325,Config_Carteiras!$A:$B,2,FALSE),1),"")</f>
        <v>1</v>
      </c>
      <c r="F325" s="25">
        <v>2918</v>
      </c>
      <c r="G325" s="28">
        <f>IF(LEFT(D325,6)="CLIENT",IF(E325=0,WORKDAY(A325-1,1,Dias_Sem_Compensacao!$A$2:$A$500),WORKDAY(A325,E325,Dias_Sem_Compensacao!$A$2:$A$500)),"")</f>
        <v>46303</v>
      </c>
      <c r="H325" s="25">
        <v>0</v>
      </c>
      <c r="I325" s="28">
        <v>46302</v>
      </c>
      <c r="J325" t="s">
        <v>716</v>
      </c>
      <c r="K325" t="s">
        <v>717</v>
      </c>
    </row>
    <row r="326" spans="1:11" hidden="1">
      <c r="A326" s="28">
        <v>46302</v>
      </c>
      <c r="B326" t="s">
        <v>185</v>
      </c>
      <c r="C326" t="s">
        <v>202</v>
      </c>
      <c r="D326" t="s">
        <v>217</v>
      </c>
      <c r="E326">
        <f>IF(LEFT(D326,6)="CLIENT",IFERROR(VLOOKUP(C326,Config_Carteiras!$A:$B,2,FALSE),1),"")</f>
        <v>1</v>
      </c>
      <c r="F326" s="25">
        <v>1512</v>
      </c>
      <c r="G326" s="28">
        <f>IF(LEFT(D326,6)="CLIENT",IF(E326=0,WORKDAY(A326-1,1,Dias_Sem_Compensacao!$A$2:$A$500),WORKDAY(A326,E326,Dias_Sem_Compensacao!$A$2:$A$500)),"")</f>
        <v>46303</v>
      </c>
      <c r="H326" s="25">
        <v>0</v>
      </c>
      <c r="I326" s="28">
        <v>46302</v>
      </c>
      <c r="J326" t="s">
        <v>397</v>
      </c>
      <c r="K326" t="s">
        <v>398</v>
      </c>
    </row>
    <row r="327" spans="1:11" hidden="1">
      <c r="A327" s="28">
        <v>46302</v>
      </c>
      <c r="B327" t="s">
        <v>185</v>
      </c>
      <c r="C327" t="s">
        <v>202</v>
      </c>
      <c r="D327" t="s">
        <v>217</v>
      </c>
      <c r="E327">
        <f>IF(LEFT(D327,6)="CLIENT",IFERROR(VLOOKUP(C327,Config_Carteiras!$A:$B,2,FALSE),1),"")</f>
        <v>1</v>
      </c>
      <c r="F327" s="25">
        <v>257.85000000000002</v>
      </c>
      <c r="G327" s="28">
        <f>IF(LEFT(D327,6)="CLIENT",IF(E327=0,WORKDAY(A327-1,1,Dias_Sem_Compensacao!$A$2:$A$500),WORKDAY(A327,E327,Dias_Sem_Compensacao!$A$2:$A$500)),"")</f>
        <v>46303</v>
      </c>
      <c r="H327" s="25">
        <v>0</v>
      </c>
      <c r="I327" s="28">
        <v>46302</v>
      </c>
      <c r="J327" t="s">
        <v>399</v>
      </c>
      <c r="K327" t="s">
        <v>400</v>
      </c>
    </row>
    <row r="328" spans="1:11" hidden="1">
      <c r="A328" s="28">
        <v>46302</v>
      </c>
      <c r="B328" t="s">
        <v>185</v>
      </c>
      <c r="C328" t="s">
        <v>202</v>
      </c>
      <c r="D328" t="s">
        <v>217</v>
      </c>
      <c r="E328">
        <f>IF(LEFT(D328,6)="CLIENT",IFERROR(VLOOKUP(C328,Config_Carteiras!$A:$B,2,FALSE),1),"")</f>
        <v>1</v>
      </c>
      <c r="F328" s="25">
        <v>761</v>
      </c>
      <c r="G328" s="28">
        <f>IF(LEFT(D328,6)="CLIENT",IF(E328=0,WORKDAY(A328-1,1,Dias_Sem_Compensacao!$A$2:$A$500),WORKDAY(A328,E328,Dias_Sem_Compensacao!$A$2:$A$500)),"")</f>
        <v>46303</v>
      </c>
      <c r="H328" s="25">
        <v>0</v>
      </c>
      <c r="I328" s="28">
        <v>46302</v>
      </c>
      <c r="J328" t="s">
        <v>401</v>
      </c>
      <c r="K328" t="s">
        <v>402</v>
      </c>
    </row>
    <row r="329" spans="1:11" hidden="1">
      <c r="A329" s="28">
        <v>46302</v>
      </c>
      <c r="B329" t="s">
        <v>185</v>
      </c>
      <c r="C329" t="s">
        <v>202</v>
      </c>
      <c r="D329" t="s">
        <v>217</v>
      </c>
      <c r="E329">
        <f>IF(LEFT(D329,6)="CLIENT",IFERROR(VLOOKUP(C329,Config_Carteiras!$A:$B,2,FALSE),1),"")</f>
        <v>1</v>
      </c>
      <c r="F329" s="25">
        <v>424</v>
      </c>
      <c r="G329" s="28">
        <f>IF(LEFT(D329,6)="CLIENT",IF(E329=0,WORKDAY(A329-1,1,Dias_Sem_Compensacao!$A$2:$A$500),WORKDAY(A329,E329,Dias_Sem_Compensacao!$A$2:$A$500)),"")</f>
        <v>46303</v>
      </c>
      <c r="H329" s="25">
        <v>0</v>
      </c>
      <c r="I329" s="28">
        <v>46302</v>
      </c>
      <c r="J329" t="s">
        <v>718</v>
      </c>
      <c r="K329" t="s">
        <v>719</v>
      </c>
    </row>
    <row r="330" spans="1:11" hidden="1">
      <c r="A330" s="28">
        <v>46302</v>
      </c>
      <c r="B330" t="s">
        <v>185</v>
      </c>
      <c r="C330" t="s">
        <v>202</v>
      </c>
      <c r="D330" t="s">
        <v>217</v>
      </c>
      <c r="E330">
        <f>IF(LEFT(D330,6)="CLIENT",IFERROR(VLOOKUP(C330,Config_Carteiras!$A:$B,2,FALSE),1),"")</f>
        <v>1</v>
      </c>
      <c r="F330" s="25">
        <v>1530</v>
      </c>
      <c r="G330" s="28">
        <f>IF(LEFT(D330,6)="CLIENT",IF(E330=0,WORKDAY(A330-1,1,Dias_Sem_Compensacao!$A$2:$A$500),WORKDAY(A330,E330,Dias_Sem_Compensacao!$A$2:$A$500)),"")</f>
        <v>46303</v>
      </c>
      <c r="H330" s="25">
        <v>0</v>
      </c>
      <c r="I330" s="28">
        <v>46302</v>
      </c>
      <c r="J330" t="s">
        <v>405</v>
      </c>
      <c r="K330" t="s">
        <v>406</v>
      </c>
    </row>
    <row r="331" spans="1:11" hidden="1">
      <c r="A331" s="28">
        <v>46302</v>
      </c>
      <c r="B331" t="s">
        <v>185</v>
      </c>
      <c r="C331" t="s">
        <v>202</v>
      </c>
      <c r="D331" t="s">
        <v>217</v>
      </c>
      <c r="E331">
        <f>IF(LEFT(D331,6)="CLIENT",IFERROR(VLOOKUP(C331,Config_Carteiras!$A:$B,2,FALSE),1),"")</f>
        <v>1</v>
      </c>
      <c r="F331" s="25">
        <v>1099.56</v>
      </c>
      <c r="G331" s="28">
        <f>IF(LEFT(D331,6)="CLIENT",IF(E331=0,WORKDAY(A331-1,1,Dias_Sem_Compensacao!$A$2:$A$500),WORKDAY(A331,E331,Dias_Sem_Compensacao!$A$2:$A$500)),"")</f>
        <v>46303</v>
      </c>
      <c r="H331" s="25">
        <v>0</v>
      </c>
      <c r="I331" s="28">
        <v>46302</v>
      </c>
      <c r="J331" t="s">
        <v>407</v>
      </c>
      <c r="K331" t="s">
        <v>408</v>
      </c>
    </row>
    <row r="332" spans="1:11" hidden="1">
      <c r="A332" s="28">
        <v>46302</v>
      </c>
      <c r="B332" t="s">
        <v>185</v>
      </c>
      <c r="C332" t="s">
        <v>202</v>
      </c>
      <c r="D332" t="s">
        <v>217</v>
      </c>
      <c r="E332">
        <f>IF(LEFT(D332,6)="CLIENT",IFERROR(VLOOKUP(C332,Config_Carteiras!$A:$B,2,FALSE),1),"")</f>
        <v>1</v>
      </c>
      <c r="F332" s="25">
        <v>427.2</v>
      </c>
      <c r="G332" s="28">
        <f>IF(LEFT(D332,6)="CLIENT",IF(E332=0,WORKDAY(A332-1,1,Dias_Sem_Compensacao!$A$2:$A$500),WORKDAY(A332,E332,Dias_Sem_Compensacao!$A$2:$A$500)),"")</f>
        <v>46303</v>
      </c>
      <c r="H332" s="25">
        <v>0</v>
      </c>
      <c r="I332" s="28">
        <v>46302</v>
      </c>
      <c r="J332" t="s">
        <v>720</v>
      </c>
      <c r="K332" t="s">
        <v>721</v>
      </c>
    </row>
    <row r="333" spans="1:11" hidden="1">
      <c r="A333" s="28">
        <v>46302</v>
      </c>
      <c r="B333" t="s">
        <v>185</v>
      </c>
      <c r="C333" t="s">
        <v>202</v>
      </c>
      <c r="D333" t="s">
        <v>217</v>
      </c>
      <c r="E333">
        <f>IF(LEFT(D333,6)="CLIENT",IFERROR(VLOOKUP(C333,Config_Carteiras!$A:$B,2,FALSE),1),"")</f>
        <v>1</v>
      </c>
      <c r="F333" s="25">
        <v>1102</v>
      </c>
      <c r="G333" s="28">
        <f>IF(LEFT(D333,6)="CLIENT",IF(E333=0,WORKDAY(A333-1,1,Dias_Sem_Compensacao!$A$2:$A$500),WORKDAY(A333,E333,Dias_Sem_Compensacao!$A$2:$A$500)),"")</f>
        <v>46303</v>
      </c>
      <c r="H333" s="25">
        <v>0</v>
      </c>
      <c r="I333" s="28">
        <v>46302</v>
      </c>
      <c r="J333" t="s">
        <v>224</v>
      </c>
      <c r="K333" t="s">
        <v>226</v>
      </c>
    </row>
    <row r="334" spans="1:11" hidden="1">
      <c r="A334" s="28">
        <v>46302</v>
      </c>
      <c r="B334" t="s">
        <v>185</v>
      </c>
      <c r="C334" t="s">
        <v>202</v>
      </c>
      <c r="D334" t="s">
        <v>217</v>
      </c>
      <c r="E334">
        <f>IF(LEFT(D334,6)="CLIENT",IFERROR(VLOOKUP(C334,Config_Carteiras!$A:$B,2,FALSE),1),"")</f>
        <v>1</v>
      </c>
      <c r="F334" s="25">
        <v>1155</v>
      </c>
      <c r="G334" s="28">
        <f>IF(LEFT(D334,6)="CLIENT",IF(E334=0,WORKDAY(A334-1,1,Dias_Sem_Compensacao!$A$2:$A$500),WORKDAY(A334,E334,Dias_Sem_Compensacao!$A$2:$A$500)),"")</f>
        <v>46303</v>
      </c>
      <c r="H334" s="25">
        <v>0</v>
      </c>
      <c r="I334" s="28">
        <v>46302</v>
      </c>
      <c r="K334" t="s">
        <v>722</v>
      </c>
    </row>
    <row r="335" spans="1:11" hidden="1">
      <c r="A335" s="28">
        <v>46302</v>
      </c>
      <c r="B335" t="s">
        <v>185</v>
      </c>
      <c r="C335" t="s">
        <v>202</v>
      </c>
      <c r="D335" t="s">
        <v>217</v>
      </c>
      <c r="E335">
        <f>IF(LEFT(D335,6)="CLIENT",IFERROR(VLOOKUP(C335,Config_Carteiras!$A:$B,2,FALSE),1),"")</f>
        <v>1</v>
      </c>
      <c r="F335" s="25">
        <v>1578.15</v>
      </c>
      <c r="G335" s="28">
        <f>IF(LEFT(D335,6)="CLIENT",IF(E335=0,WORKDAY(A335-1,1,Dias_Sem_Compensacao!$A$2:$A$500),WORKDAY(A335,E335,Dias_Sem_Compensacao!$A$2:$A$500)),"")</f>
        <v>46303</v>
      </c>
      <c r="H335" s="25">
        <v>0</v>
      </c>
      <c r="I335" s="28">
        <v>46302</v>
      </c>
      <c r="J335" t="s">
        <v>409</v>
      </c>
      <c r="K335" t="s">
        <v>410</v>
      </c>
    </row>
    <row r="336" spans="1:11" hidden="1">
      <c r="A336" s="28">
        <v>46302</v>
      </c>
      <c r="B336" t="s">
        <v>185</v>
      </c>
      <c r="C336" t="s">
        <v>202</v>
      </c>
      <c r="D336" t="s">
        <v>217</v>
      </c>
      <c r="E336">
        <f>IF(LEFT(D336,6)="CLIENT",IFERROR(VLOOKUP(C336,Config_Carteiras!$A:$B,2,FALSE),1),"")</f>
        <v>1</v>
      </c>
      <c r="F336" s="25">
        <v>371.4</v>
      </c>
      <c r="G336" s="28">
        <f>IF(LEFT(D336,6)="CLIENT",IF(E336=0,WORKDAY(A336-1,1,Dias_Sem_Compensacao!$A$2:$A$500),WORKDAY(A336,E336,Dias_Sem_Compensacao!$A$2:$A$500)),"")</f>
        <v>46303</v>
      </c>
      <c r="H336" s="25">
        <v>0</v>
      </c>
      <c r="I336" s="28">
        <v>46302</v>
      </c>
      <c r="J336" t="s">
        <v>415</v>
      </c>
      <c r="K336" t="s">
        <v>416</v>
      </c>
    </row>
    <row r="337" spans="1:11" hidden="1">
      <c r="A337" s="28">
        <v>46302</v>
      </c>
      <c r="B337" t="s">
        <v>185</v>
      </c>
      <c r="C337" t="s">
        <v>202</v>
      </c>
      <c r="D337" t="s">
        <v>217</v>
      </c>
      <c r="E337">
        <f>IF(LEFT(D337,6)="CLIENT",IFERROR(VLOOKUP(C337,Config_Carteiras!$A:$B,2,FALSE),1),"")</f>
        <v>1</v>
      </c>
      <c r="F337" s="25">
        <v>1352</v>
      </c>
      <c r="G337" s="28">
        <f>IF(LEFT(D337,6)="CLIENT",IF(E337=0,WORKDAY(A337-1,1,Dias_Sem_Compensacao!$A$2:$A$500),WORKDAY(A337,E337,Dias_Sem_Compensacao!$A$2:$A$500)),"")</f>
        <v>46303</v>
      </c>
      <c r="H337" s="25">
        <v>0</v>
      </c>
      <c r="I337" s="28">
        <v>46302</v>
      </c>
      <c r="J337" t="s">
        <v>723</v>
      </c>
      <c r="K337" t="s">
        <v>724</v>
      </c>
    </row>
    <row r="338" spans="1:11" hidden="1">
      <c r="A338" s="28">
        <v>46302</v>
      </c>
      <c r="B338" t="s">
        <v>185</v>
      </c>
      <c r="C338" t="s">
        <v>202</v>
      </c>
      <c r="D338" t="s">
        <v>217</v>
      </c>
      <c r="E338">
        <f>IF(LEFT(D338,6)="CLIENT",IFERROR(VLOOKUP(C338,Config_Carteiras!$A:$B,2,FALSE),1),"")</f>
        <v>1</v>
      </c>
      <c r="F338" s="25">
        <v>960</v>
      </c>
      <c r="G338" s="28">
        <f>IF(LEFT(D338,6)="CLIENT",IF(E338=0,WORKDAY(A338-1,1,Dias_Sem_Compensacao!$A$2:$A$500),WORKDAY(A338,E338,Dias_Sem_Compensacao!$A$2:$A$500)),"")</f>
        <v>46303</v>
      </c>
      <c r="H338" s="25">
        <v>0</v>
      </c>
      <c r="I338" s="28">
        <v>46302</v>
      </c>
      <c r="J338" t="s">
        <v>725</v>
      </c>
      <c r="K338" t="s">
        <v>726</v>
      </c>
    </row>
    <row r="339" spans="1:11" hidden="1">
      <c r="A339" s="28">
        <v>46302</v>
      </c>
      <c r="B339" t="s">
        <v>185</v>
      </c>
      <c r="C339" t="s">
        <v>202</v>
      </c>
      <c r="D339" t="s">
        <v>217</v>
      </c>
      <c r="E339">
        <f>IF(LEFT(D339,6)="CLIENT",IFERROR(VLOOKUP(C339,Config_Carteiras!$A:$B,2,FALSE),1),"")</f>
        <v>1</v>
      </c>
      <c r="F339" s="25">
        <v>681</v>
      </c>
      <c r="G339" s="28">
        <f>IF(LEFT(D339,6)="CLIENT",IF(E339=0,WORKDAY(A339-1,1,Dias_Sem_Compensacao!$A$2:$A$500),WORKDAY(A339,E339,Dias_Sem_Compensacao!$A$2:$A$500)),"")</f>
        <v>46303</v>
      </c>
      <c r="H339" s="25">
        <v>0</v>
      </c>
      <c r="I339" s="28">
        <v>46302</v>
      </c>
      <c r="J339" t="s">
        <v>727</v>
      </c>
      <c r="K339" t="s">
        <v>728</v>
      </c>
    </row>
    <row r="340" spans="1:11" hidden="1">
      <c r="A340" s="28">
        <v>46302</v>
      </c>
      <c r="B340" t="s">
        <v>185</v>
      </c>
      <c r="C340" t="s">
        <v>202</v>
      </c>
      <c r="D340" t="s">
        <v>217</v>
      </c>
      <c r="E340">
        <f>IF(LEFT(D340,6)="CLIENT",IFERROR(VLOOKUP(C340,Config_Carteiras!$A:$B,2,FALSE),1),"")</f>
        <v>1</v>
      </c>
      <c r="F340" s="25">
        <v>1813.56</v>
      </c>
      <c r="G340" s="28">
        <f>IF(LEFT(D340,6)="CLIENT",IF(E340=0,WORKDAY(A340-1,1,Dias_Sem_Compensacao!$A$2:$A$500),WORKDAY(A340,E340,Dias_Sem_Compensacao!$A$2:$A$500)),"")</f>
        <v>46303</v>
      </c>
      <c r="H340" s="25">
        <v>0</v>
      </c>
      <c r="I340" s="28">
        <v>46302</v>
      </c>
      <c r="J340" t="s">
        <v>729</v>
      </c>
      <c r="K340" t="s">
        <v>730</v>
      </c>
    </row>
    <row r="341" spans="1:11" hidden="1">
      <c r="A341" s="28">
        <v>46302</v>
      </c>
      <c r="B341" t="s">
        <v>185</v>
      </c>
      <c r="C341" t="s">
        <v>202</v>
      </c>
      <c r="D341" t="s">
        <v>217</v>
      </c>
      <c r="E341">
        <f>IF(LEFT(D341,6)="CLIENT",IFERROR(VLOOKUP(C341,Config_Carteiras!$A:$B,2,FALSE),1),"")</f>
        <v>1</v>
      </c>
      <c r="F341" s="25">
        <v>1099.8900000000001</v>
      </c>
      <c r="G341" s="28">
        <f>IF(LEFT(D341,6)="CLIENT",IF(E341=0,WORKDAY(A341-1,1,Dias_Sem_Compensacao!$A$2:$A$500),WORKDAY(A341,E341,Dias_Sem_Compensacao!$A$2:$A$500)),"")</f>
        <v>46303</v>
      </c>
      <c r="H341" s="25">
        <v>0</v>
      </c>
      <c r="I341" s="28">
        <v>46302</v>
      </c>
      <c r="J341" t="s">
        <v>417</v>
      </c>
      <c r="K341" t="s">
        <v>418</v>
      </c>
    </row>
    <row r="342" spans="1:11" hidden="1">
      <c r="A342" s="28">
        <v>46302</v>
      </c>
      <c r="B342" t="s">
        <v>185</v>
      </c>
      <c r="C342" t="s">
        <v>202</v>
      </c>
      <c r="D342" t="s">
        <v>217</v>
      </c>
      <c r="E342">
        <f>IF(LEFT(D342,6)="CLIENT",IFERROR(VLOOKUP(C342,Config_Carteiras!$A:$B,2,FALSE),1),"")</f>
        <v>1</v>
      </c>
      <c r="F342" s="25">
        <v>372</v>
      </c>
      <c r="G342" s="28">
        <f>IF(LEFT(D342,6)="CLIENT",IF(E342=0,WORKDAY(A342-1,1,Dias_Sem_Compensacao!$A$2:$A$500),WORKDAY(A342,E342,Dias_Sem_Compensacao!$A$2:$A$500)),"")</f>
        <v>46303</v>
      </c>
      <c r="H342" s="25">
        <v>0</v>
      </c>
      <c r="I342" s="28">
        <v>46302</v>
      </c>
      <c r="J342" t="s">
        <v>731</v>
      </c>
      <c r="K342" t="s">
        <v>732</v>
      </c>
    </row>
    <row r="343" spans="1:11" hidden="1">
      <c r="A343" s="28">
        <v>46302</v>
      </c>
      <c r="B343" t="s">
        <v>185</v>
      </c>
      <c r="C343" t="s">
        <v>202</v>
      </c>
      <c r="D343" t="s">
        <v>217</v>
      </c>
      <c r="E343">
        <f>IF(LEFT(D343,6)="CLIENT",IFERROR(VLOOKUP(C343,Config_Carteiras!$A:$B,2,FALSE),1),"")</f>
        <v>1</v>
      </c>
      <c r="F343" s="25">
        <v>261.60000000000002</v>
      </c>
      <c r="G343" s="28">
        <f>IF(LEFT(D343,6)="CLIENT",IF(E343=0,WORKDAY(A343-1,1,Dias_Sem_Compensacao!$A$2:$A$500),WORKDAY(A343,E343,Dias_Sem_Compensacao!$A$2:$A$500)),"")</f>
        <v>46303</v>
      </c>
      <c r="H343" s="25">
        <v>0</v>
      </c>
      <c r="I343" s="28">
        <v>46302</v>
      </c>
      <c r="J343" t="s">
        <v>733</v>
      </c>
      <c r="K343" t="s">
        <v>734</v>
      </c>
    </row>
    <row r="344" spans="1:11" hidden="1">
      <c r="A344" s="28">
        <v>46302</v>
      </c>
      <c r="B344" t="s">
        <v>185</v>
      </c>
      <c r="C344" t="s">
        <v>202</v>
      </c>
      <c r="D344" t="s">
        <v>217</v>
      </c>
      <c r="E344">
        <f>IF(LEFT(D344,6)="CLIENT",IFERROR(VLOOKUP(C344,Config_Carteiras!$A:$B,2,FALSE),1),"")</f>
        <v>1</v>
      </c>
      <c r="F344" s="25">
        <v>605.38</v>
      </c>
      <c r="G344" s="28">
        <f>IF(LEFT(D344,6)="CLIENT",IF(E344=0,WORKDAY(A344-1,1,Dias_Sem_Compensacao!$A$2:$A$500),WORKDAY(A344,E344,Dias_Sem_Compensacao!$A$2:$A$500)),"")</f>
        <v>46303</v>
      </c>
      <c r="H344" s="25">
        <v>0</v>
      </c>
      <c r="I344" s="28">
        <v>46302</v>
      </c>
      <c r="J344" t="s">
        <v>423</v>
      </c>
      <c r="K344" t="s">
        <v>424</v>
      </c>
    </row>
    <row r="345" spans="1:11" hidden="1">
      <c r="A345" s="28">
        <v>46302</v>
      </c>
      <c r="B345" t="s">
        <v>185</v>
      </c>
      <c r="C345" t="s">
        <v>202</v>
      </c>
      <c r="D345" t="s">
        <v>217</v>
      </c>
      <c r="E345">
        <f>IF(LEFT(D345,6)="CLIENT",IFERROR(VLOOKUP(C345,Config_Carteiras!$A:$B,2,FALSE),1),"")</f>
        <v>1</v>
      </c>
      <c r="F345" s="25">
        <v>465.5</v>
      </c>
      <c r="G345" s="28">
        <f>IF(LEFT(D345,6)="CLIENT",IF(E345=0,WORKDAY(A345-1,1,Dias_Sem_Compensacao!$A$2:$A$500),WORKDAY(A345,E345,Dias_Sem_Compensacao!$A$2:$A$500)),"")</f>
        <v>46303</v>
      </c>
      <c r="H345" s="25">
        <v>0</v>
      </c>
      <c r="I345" s="28">
        <v>46302</v>
      </c>
      <c r="J345" t="s">
        <v>735</v>
      </c>
      <c r="K345" t="s">
        <v>736</v>
      </c>
    </row>
    <row r="346" spans="1:11" hidden="1">
      <c r="A346" s="28">
        <v>46302</v>
      </c>
      <c r="B346" t="s">
        <v>185</v>
      </c>
      <c r="C346" t="s">
        <v>202</v>
      </c>
      <c r="D346" t="s">
        <v>217</v>
      </c>
      <c r="E346">
        <f>IF(LEFT(D346,6)="CLIENT",IFERROR(VLOOKUP(C346,Config_Carteiras!$A:$B,2,FALSE),1),"")</f>
        <v>1</v>
      </c>
      <c r="F346" s="25">
        <v>197.1</v>
      </c>
      <c r="G346" s="28">
        <f>IF(LEFT(D346,6)="CLIENT",IF(E346=0,WORKDAY(A346-1,1,Dias_Sem_Compensacao!$A$2:$A$500),WORKDAY(A346,E346,Dias_Sem_Compensacao!$A$2:$A$500)),"")</f>
        <v>46303</v>
      </c>
      <c r="H346" s="25">
        <v>0</v>
      </c>
      <c r="I346" s="28">
        <v>46302</v>
      </c>
      <c r="J346" t="s">
        <v>737</v>
      </c>
      <c r="K346" t="s">
        <v>738</v>
      </c>
    </row>
    <row r="347" spans="1:11" hidden="1">
      <c r="A347" s="28">
        <v>46302</v>
      </c>
      <c r="B347" t="s">
        <v>185</v>
      </c>
      <c r="C347" t="s">
        <v>202</v>
      </c>
      <c r="D347" t="s">
        <v>217</v>
      </c>
      <c r="E347">
        <f>IF(LEFT(D347,6)="CLIENT",IFERROR(VLOOKUP(C347,Config_Carteiras!$A:$B,2,FALSE),1),"")</f>
        <v>1</v>
      </c>
      <c r="F347" s="25">
        <v>388.14</v>
      </c>
      <c r="G347" s="28">
        <f>IF(LEFT(D347,6)="CLIENT",IF(E347=0,WORKDAY(A347-1,1,Dias_Sem_Compensacao!$A$2:$A$500),WORKDAY(A347,E347,Dias_Sem_Compensacao!$A$2:$A$500)),"")</f>
        <v>46303</v>
      </c>
      <c r="H347" s="25">
        <v>0</v>
      </c>
      <c r="I347" s="28">
        <v>46302</v>
      </c>
      <c r="J347" t="s">
        <v>425</v>
      </c>
      <c r="K347" t="s">
        <v>426</v>
      </c>
    </row>
    <row r="348" spans="1:11" hidden="1">
      <c r="A348" s="28">
        <v>46302</v>
      </c>
      <c r="B348" t="s">
        <v>185</v>
      </c>
      <c r="C348" t="s">
        <v>202</v>
      </c>
      <c r="D348" t="s">
        <v>217</v>
      </c>
      <c r="E348">
        <f>IF(LEFT(D348,6)="CLIENT",IFERROR(VLOOKUP(C348,Config_Carteiras!$A:$B,2,FALSE),1),"")</f>
        <v>1</v>
      </c>
      <c r="F348" s="25">
        <v>452.42</v>
      </c>
      <c r="G348" s="28">
        <f>IF(LEFT(D348,6)="CLIENT",IF(E348=0,WORKDAY(A348-1,1,Dias_Sem_Compensacao!$A$2:$A$500),WORKDAY(A348,E348,Dias_Sem_Compensacao!$A$2:$A$500)),"")</f>
        <v>46303</v>
      </c>
      <c r="H348" s="25">
        <v>0</v>
      </c>
      <c r="I348" s="28">
        <v>46302</v>
      </c>
      <c r="J348" t="s">
        <v>429</v>
      </c>
      <c r="K348" t="s">
        <v>430</v>
      </c>
    </row>
    <row r="349" spans="1:11" hidden="1">
      <c r="A349" s="28">
        <v>46302</v>
      </c>
      <c r="B349" t="s">
        <v>185</v>
      </c>
      <c r="C349" t="s">
        <v>202</v>
      </c>
      <c r="D349" t="s">
        <v>217</v>
      </c>
      <c r="E349">
        <f>IF(LEFT(D349,6)="CLIENT",IFERROR(VLOOKUP(C349,Config_Carteiras!$A:$B,2,FALSE),1),"")</f>
        <v>1</v>
      </c>
      <c r="F349" s="25">
        <v>1953</v>
      </c>
      <c r="G349" s="28">
        <f>IF(LEFT(D349,6)="CLIENT",IF(E349=0,WORKDAY(A349-1,1,Dias_Sem_Compensacao!$A$2:$A$500),WORKDAY(A349,E349,Dias_Sem_Compensacao!$A$2:$A$500)),"")</f>
        <v>46303</v>
      </c>
      <c r="H349" s="25">
        <v>0</v>
      </c>
      <c r="I349" s="28">
        <v>46302</v>
      </c>
      <c r="J349" t="s">
        <v>431</v>
      </c>
      <c r="K349" t="s">
        <v>739</v>
      </c>
    </row>
    <row r="350" spans="1:11" hidden="1">
      <c r="A350" s="28">
        <v>46302</v>
      </c>
      <c r="B350" t="s">
        <v>185</v>
      </c>
      <c r="C350" t="s">
        <v>202</v>
      </c>
      <c r="D350" t="s">
        <v>217</v>
      </c>
      <c r="E350">
        <f>IF(LEFT(D350,6)="CLIENT",IFERROR(VLOOKUP(C350,Config_Carteiras!$A:$B,2,FALSE),1),"")</f>
        <v>1</v>
      </c>
      <c r="F350" s="25">
        <v>621</v>
      </c>
      <c r="G350" s="28">
        <f>IF(LEFT(D350,6)="CLIENT",IF(E350=0,WORKDAY(A350-1,1,Dias_Sem_Compensacao!$A$2:$A$500),WORKDAY(A350,E350,Dias_Sem_Compensacao!$A$2:$A$500)),"")</f>
        <v>46303</v>
      </c>
      <c r="H350" s="25">
        <v>0</v>
      </c>
      <c r="I350" s="28">
        <v>46302</v>
      </c>
      <c r="J350" t="s">
        <v>437</v>
      </c>
      <c r="K350" t="s">
        <v>439</v>
      </c>
    </row>
    <row r="351" spans="1:11" hidden="1">
      <c r="A351" s="28">
        <v>46302</v>
      </c>
      <c r="B351" t="s">
        <v>185</v>
      </c>
      <c r="C351" t="s">
        <v>202</v>
      </c>
      <c r="D351" t="s">
        <v>217</v>
      </c>
      <c r="E351">
        <f>IF(LEFT(D351,6)="CLIENT",IFERROR(VLOOKUP(C351,Config_Carteiras!$A:$B,2,FALSE),1),"")</f>
        <v>1</v>
      </c>
      <c r="F351" s="25">
        <v>297</v>
      </c>
      <c r="G351" s="28">
        <f>IF(LEFT(D351,6)="CLIENT",IF(E351=0,WORKDAY(A351-1,1,Dias_Sem_Compensacao!$A$2:$A$500),WORKDAY(A351,E351,Dias_Sem_Compensacao!$A$2:$A$500)),"")</f>
        <v>46303</v>
      </c>
      <c r="H351" s="25">
        <v>0</v>
      </c>
      <c r="I351" s="28">
        <v>46302</v>
      </c>
      <c r="J351" t="s">
        <v>440</v>
      </c>
      <c r="K351" t="s">
        <v>441</v>
      </c>
    </row>
    <row r="352" spans="1:11" hidden="1">
      <c r="A352" s="28">
        <v>46302</v>
      </c>
      <c r="B352" t="s">
        <v>185</v>
      </c>
      <c r="C352" t="s">
        <v>202</v>
      </c>
      <c r="D352" t="s">
        <v>217</v>
      </c>
      <c r="E352">
        <f>IF(LEFT(D352,6)="CLIENT",IFERROR(VLOOKUP(C352,Config_Carteiras!$A:$B,2,FALSE),1),"")</f>
        <v>1</v>
      </c>
      <c r="F352" s="25">
        <v>599</v>
      </c>
      <c r="G352" s="28">
        <f>IF(LEFT(D352,6)="CLIENT",IF(E352=0,WORKDAY(A352-1,1,Dias_Sem_Compensacao!$A$2:$A$500),WORKDAY(A352,E352,Dias_Sem_Compensacao!$A$2:$A$500)),"")</f>
        <v>46303</v>
      </c>
      <c r="H352" s="25">
        <v>0</v>
      </c>
      <c r="I352" s="28">
        <v>46302</v>
      </c>
      <c r="J352" t="s">
        <v>442</v>
      </c>
      <c r="K352" t="s">
        <v>443</v>
      </c>
    </row>
    <row r="353" spans="1:11" hidden="1">
      <c r="A353" s="28">
        <v>46302</v>
      </c>
      <c r="B353" t="s">
        <v>185</v>
      </c>
      <c r="C353" t="s">
        <v>202</v>
      </c>
      <c r="D353" t="s">
        <v>217</v>
      </c>
      <c r="E353">
        <f>IF(LEFT(D353,6)="CLIENT",IFERROR(VLOOKUP(C353,Config_Carteiras!$A:$B,2,FALSE),1),"")</f>
        <v>1</v>
      </c>
      <c r="F353" s="25">
        <v>442</v>
      </c>
      <c r="G353" s="28">
        <f>IF(LEFT(D353,6)="CLIENT",IF(E353=0,WORKDAY(A353-1,1,Dias_Sem_Compensacao!$A$2:$A$500),WORKDAY(A353,E353,Dias_Sem_Compensacao!$A$2:$A$500)),"")</f>
        <v>46303</v>
      </c>
      <c r="H353" s="25">
        <v>0</v>
      </c>
      <c r="I353" s="28">
        <v>46302</v>
      </c>
      <c r="K353" t="s">
        <v>444</v>
      </c>
    </row>
    <row r="354" spans="1:11" hidden="1">
      <c r="A354" s="28">
        <v>46302</v>
      </c>
      <c r="B354" t="s">
        <v>185</v>
      </c>
      <c r="C354" t="s">
        <v>202</v>
      </c>
      <c r="D354" t="s">
        <v>217</v>
      </c>
      <c r="E354">
        <f>IF(LEFT(D354,6)="CLIENT",IFERROR(VLOOKUP(C354,Config_Carteiras!$A:$B,2,FALSE),1),"")</f>
        <v>1</v>
      </c>
      <c r="F354" s="25">
        <v>2600</v>
      </c>
      <c r="G354" s="28">
        <f>IF(LEFT(D354,6)="CLIENT",IF(E354=0,WORKDAY(A354-1,1,Dias_Sem_Compensacao!$A$2:$A$500),WORKDAY(A354,E354,Dias_Sem_Compensacao!$A$2:$A$500)),"")</f>
        <v>46303</v>
      </c>
      <c r="H354" s="25">
        <v>0</v>
      </c>
      <c r="I354" s="28">
        <v>46302</v>
      </c>
      <c r="J354" t="s">
        <v>740</v>
      </c>
      <c r="K354" t="s">
        <v>741</v>
      </c>
    </row>
    <row r="355" spans="1:11" hidden="1">
      <c r="A355" s="28">
        <v>46302</v>
      </c>
      <c r="B355" t="s">
        <v>185</v>
      </c>
      <c r="C355" t="s">
        <v>202</v>
      </c>
      <c r="D355" t="s">
        <v>217</v>
      </c>
      <c r="E355">
        <f>IF(LEFT(D355,6)="CLIENT",IFERROR(VLOOKUP(C355,Config_Carteiras!$A:$B,2,FALSE),1),"")</f>
        <v>1</v>
      </c>
      <c r="F355" s="25">
        <v>1300</v>
      </c>
      <c r="G355" s="28">
        <f>IF(LEFT(D355,6)="CLIENT",IF(E355=0,WORKDAY(A355-1,1,Dias_Sem_Compensacao!$A$2:$A$500),WORKDAY(A355,E355,Dias_Sem_Compensacao!$A$2:$A$500)),"")</f>
        <v>46303</v>
      </c>
      <c r="H355" s="25">
        <v>0</v>
      </c>
      <c r="I355" s="28">
        <v>46302</v>
      </c>
      <c r="K355" t="s">
        <v>742</v>
      </c>
    </row>
    <row r="356" spans="1:11" hidden="1">
      <c r="A356" s="28">
        <v>46302</v>
      </c>
      <c r="B356" t="s">
        <v>185</v>
      </c>
      <c r="C356" t="s">
        <v>202</v>
      </c>
      <c r="D356" t="s">
        <v>217</v>
      </c>
      <c r="E356">
        <f>IF(LEFT(D356,6)="CLIENT",IFERROR(VLOOKUP(C356,Config_Carteiras!$A:$B,2,FALSE),1),"")</f>
        <v>1</v>
      </c>
      <c r="F356" s="25">
        <v>3780</v>
      </c>
      <c r="G356" s="28">
        <f>IF(LEFT(D356,6)="CLIENT",IF(E356=0,WORKDAY(A356-1,1,Dias_Sem_Compensacao!$A$2:$A$500),WORKDAY(A356,E356,Dias_Sem_Compensacao!$A$2:$A$500)),"")</f>
        <v>46303</v>
      </c>
      <c r="H356" s="25">
        <v>0</v>
      </c>
      <c r="I356" s="28">
        <v>46302</v>
      </c>
      <c r="K356" t="s">
        <v>743</v>
      </c>
    </row>
    <row r="357" spans="1:11" hidden="1">
      <c r="A357" s="28">
        <v>46302</v>
      </c>
      <c r="B357" t="s">
        <v>185</v>
      </c>
      <c r="C357" t="s">
        <v>202</v>
      </c>
      <c r="D357" t="s">
        <v>217</v>
      </c>
      <c r="E357">
        <f>IF(LEFT(D357,6)="CLIENT",IFERROR(VLOOKUP(C357,Config_Carteiras!$A:$B,2,FALSE),1),"")</f>
        <v>1</v>
      </c>
      <c r="F357" s="25">
        <v>3250</v>
      </c>
      <c r="G357" s="28">
        <f>IF(LEFT(D357,6)="CLIENT",IF(E357=0,WORKDAY(A357-1,1,Dias_Sem_Compensacao!$A$2:$A$500),WORKDAY(A357,E357,Dias_Sem_Compensacao!$A$2:$A$500)),"")</f>
        <v>46303</v>
      </c>
      <c r="H357" s="25">
        <v>0</v>
      </c>
      <c r="I357" s="28">
        <v>46302</v>
      </c>
      <c r="K357" t="s">
        <v>744</v>
      </c>
    </row>
    <row r="358" spans="1:11" hidden="1">
      <c r="A358" s="28">
        <v>46302</v>
      </c>
      <c r="B358" t="s">
        <v>185</v>
      </c>
      <c r="C358" t="s">
        <v>202</v>
      </c>
      <c r="D358" t="s">
        <v>217</v>
      </c>
      <c r="E358">
        <f>IF(LEFT(D358,6)="CLIENT",IFERROR(VLOOKUP(C358,Config_Carteiras!$A:$B,2,FALSE),1),"")</f>
        <v>1</v>
      </c>
      <c r="F358" s="25">
        <v>3250</v>
      </c>
      <c r="G358" s="28">
        <f>IF(LEFT(D358,6)="CLIENT",IF(E358=0,WORKDAY(A358-1,1,Dias_Sem_Compensacao!$A$2:$A$500),WORKDAY(A358,E358,Dias_Sem_Compensacao!$A$2:$A$500)),"")</f>
        <v>46303</v>
      </c>
      <c r="H358" s="25">
        <v>0</v>
      </c>
      <c r="I358" s="28">
        <v>46302</v>
      </c>
      <c r="K358" t="s">
        <v>745</v>
      </c>
    </row>
    <row r="359" spans="1:11" hidden="1">
      <c r="A359" s="28">
        <v>46302</v>
      </c>
      <c r="B359" t="s">
        <v>185</v>
      </c>
      <c r="C359" t="s">
        <v>202</v>
      </c>
      <c r="D359" t="s">
        <v>217</v>
      </c>
      <c r="E359">
        <f>IF(LEFT(D359,6)="CLIENT",IFERROR(VLOOKUP(C359,Config_Carteiras!$A:$B,2,FALSE),1),"")</f>
        <v>1</v>
      </c>
      <c r="F359" s="25">
        <v>140.4</v>
      </c>
      <c r="G359" s="28">
        <f>IF(LEFT(D359,6)="CLIENT",IF(E359=0,WORKDAY(A359-1,1,Dias_Sem_Compensacao!$A$2:$A$500),WORKDAY(A359,E359,Dias_Sem_Compensacao!$A$2:$A$500)),"")</f>
        <v>46303</v>
      </c>
      <c r="H359" s="25">
        <v>0</v>
      </c>
      <c r="I359" s="28">
        <v>46302</v>
      </c>
      <c r="J359" t="s">
        <v>746</v>
      </c>
      <c r="K359" t="s">
        <v>747</v>
      </c>
    </row>
    <row r="360" spans="1:11" hidden="1">
      <c r="A360" s="28">
        <v>46302</v>
      </c>
      <c r="B360" t="s">
        <v>185</v>
      </c>
      <c r="C360" t="s">
        <v>202</v>
      </c>
      <c r="D360" t="s">
        <v>217</v>
      </c>
      <c r="E360">
        <f>IF(LEFT(D360,6)="CLIENT",IFERROR(VLOOKUP(C360,Config_Carteiras!$A:$B,2,FALSE),1),"")</f>
        <v>1</v>
      </c>
      <c r="F360" s="25">
        <v>2737</v>
      </c>
      <c r="G360" s="28">
        <f>IF(LEFT(D360,6)="CLIENT",IF(E360=0,WORKDAY(A360-1,1,Dias_Sem_Compensacao!$A$2:$A$500),WORKDAY(A360,E360,Dias_Sem_Compensacao!$A$2:$A$500)),"")</f>
        <v>46303</v>
      </c>
      <c r="H360" s="25">
        <v>0</v>
      </c>
      <c r="I360" s="28">
        <v>46302</v>
      </c>
      <c r="J360" t="s">
        <v>448</v>
      </c>
      <c r="K360" t="s">
        <v>748</v>
      </c>
    </row>
    <row r="361" spans="1:11" hidden="1">
      <c r="A361" s="28">
        <v>46302</v>
      </c>
      <c r="B361" t="s">
        <v>185</v>
      </c>
      <c r="C361" t="s">
        <v>202</v>
      </c>
      <c r="D361" t="s">
        <v>217</v>
      </c>
      <c r="E361">
        <f>IF(LEFT(D361,6)="CLIENT",IFERROR(VLOOKUP(C361,Config_Carteiras!$A:$B,2,FALSE),1),"")</f>
        <v>1</v>
      </c>
      <c r="F361" s="25">
        <v>403</v>
      </c>
      <c r="G361" s="28">
        <f>IF(LEFT(D361,6)="CLIENT",IF(E361=0,WORKDAY(A361-1,1,Dias_Sem_Compensacao!$A$2:$A$500),WORKDAY(A361,E361,Dias_Sem_Compensacao!$A$2:$A$500)),"")</f>
        <v>46303</v>
      </c>
      <c r="H361" s="25">
        <v>0</v>
      </c>
      <c r="I361" s="28">
        <v>46302</v>
      </c>
      <c r="J361" t="s">
        <v>450</v>
      </c>
      <c r="K361" t="s">
        <v>451</v>
      </c>
    </row>
    <row r="362" spans="1:11" hidden="1">
      <c r="A362" s="28">
        <v>46302</v>
      </c>
      <c r="B362" t="s">
        <v>185</v>
      </c>
      <c r="C362" t="s">
        <v>202</v>
      </c>
      <c r="D362" t="s">
        <v>217</v>
      </c>
      <c r="E362">
        <f>IF(LEFT(D362,6)="CLIENT",IFERROR(VLOOKUP(C362,Config_Carteiras!$A:$B,2,FALSE),1),"")</f>
        <v>1</v>
      </c>
      <c r="F362" s="25">
        <v>1942.64</v>
      </c>
      <c r="G362" s="28">
        <f>IF(LEFT(D362,6)="CLIENT",IF(E362=0,WORKDAY(A362-1,1,Dias_Sem_Compensacao!$A$2:$A$500),WORKDAY(A362,E362,Dias_Sem_Compensacao!$A$2:$A$500)),"")</f>
        <v>46303</v>
      </c>
      <c r="H362" s="25">
        <v>0</v>
      </c>
      <c r="I362" s="28">
        <v>46302</v>
      </c>
      <c r="J362" t="s">
        <v>749</v>
      </c>
      <c r="K362" t="s">
        <v>750</v>
      </c>
    </row>
    <row r="363" spans="1:11" hidden="1">
      <c r="A363" s="28">
        <v>46302</v>
      </c>
      <c r="B363" t="s">
        <v>185</v>
      </c>
      <c r="C363" t="s">
        <v>202</v>
      </c>
      <c r="D363" t="s">
        <v>217</v>
      </c>
      <c r="E363">
        <f>IF(LEFT(D363,6)="CLIENT",IFERROR(VLOOKUP(C363,Config_Carteiras!$A:$B,2,FALSE),1),"")</f>
        <v>1</v>
      </c>
      <c r="F363" s="25">
        <v>3154.9</v>
      </c>
      <c r="G363" s="28">
        <f>IF(LEFT(D363,6)="CLIENT",IF(E363=0,WORKDAY(A363-1,1,Dias_Sem_Compensacao!$A$2:$A$500),WORKDAY(A363,E363,Dias_Sem_Compensacao!$A$2:$A$500)),"")</f>
        <v>46303</v>
      </c>
      <c r="H363" s="25">
        <v>0</v>
      </c>
      <c r="I363" s="28">
        <v>46302</v>
      </c>
      <c r="J363" t="s">
        <v>98</v>
      </c>
      <c r="K363" t="s">
        <v>456</v>
      </c>
    </row>
    <row r="364" spans="1:11" hidden="1">
      <c r="A364" s="28">
        <v>46302</v>
      </c>
      <c r="B364" t="s">
        <v>185</v>
      </c>
      <c r="C364" t="s">
        <v>202</v>
      </c>
      <c r="D364" t="s">
        <v>217</v>
      </c>
      <c r="E364">
        <f>IF(LEFT(D364,6)="CLIENT",IFERROR(VLOOKUP(C364,Config_Carteiras!$A:$B,2,FALSE),1),"")</f>
        <v>1</v>
      </c>
      <c r="F364" s="25">
        <v>970</v>
      </c>
      <c r="G364" s="28">
        <f>IF(LEFT(D364,6)="CLIENT",IF(E364=0,WORKDAY(A364-1,1,Dias_Sem_Compensacao!$A$2:$A$500),WORKDAY(A364,E364,Dias_Sem_Compensacao!$A$2:$A$500)),"")</f>
        <v>46303</v>
      </c>
      <c r="H364" s="25">
        <v>0</v>
      </c>
      <c r="I364" s="28">
        <v>46302</v>
      </c>
      <c r="K364" t="s">
        <v>457</v>
      </c>
    </row>
    <row r="365" spans="1:11" hidden="1">
      <c r="A365" s="28">
        <v>46302</v>
      </c>
      <c r="B365" t="s">
        <v>185</v>
      </c>
      <c r="C365" t="s">
        <v>202</v>
      </c>
      <c r="D365" t="s">
        <v>217</v>
      </c>
      <c r="E365">
        <f>IF(LEFT(D365,6)="CLIENT",IFERROR(VLOOKUP(C365,Config_Carteiras!$A:$B,2,FALSE),1),"")</f>
        <v>1</v>
      </c>
      <c r="F365" s="25">
        <v>1529</v>
      </c>
      <c r="G365" s="28">
        <f>IF(LEFT(D365,6)="CLIENT",IF(E365=0,WORKDAY(A365-1,1,Dias_Sem_Compensacao!$A$2:$A$500),WORKDAY(A365,E365,Dias_Sem_Compensacao!$A$2:$A$500)),"")</f>
        <v>46303</v>
      </c>
      <c r="H365" s="25">
        <v>0</v>
      </c>
      <c r="I365" s="28">
        <v>46302</v>
      </c>
      <c r="K365" t="s">
        <v>458</v>
      </c>
    </row>
    <row r="366" spans="1:11" hidden="1">
      <c r="A366" s="28">
        <v>46302</v>
      </c>
      <c r="B366" t="s">
        <v>185</v>
      </c>
      <c r="C366" t="s">
        <v>202</v>
      </c>
      <c r="D366" t="s">
        <v>217</v>
      </c>
      <c r="E366">
        <f>IF(LEFT(D366,6)="CLIENT",IFERROR(VLOOKUP(C366,Config_Carteiras!$A:$B,2,FALSE),1),"")</f>
        <v>1</v>
      </c>
      <c r="F366" s="25">
        <v>880</v>
      </c>
      <c r="G366" s="28">
        <f>IF(LEFT(D366,6)="CLIENT",IF(E366=0,WORKDAY(A366-1,1,Dias_Sem_Compensacao!$A$2:$A$500),WORKDAY(A366,E366,Dias_Sem_Compensacao!$A$2:$A$500)),"")</f>
        <v>46303</v>
      </c>
      <c r="H366" s="25">
        <v>0</v>
      </c>
      <c r="I366" s="28">
        <v>46302</v>
      </c>
      <c r="K366" t="s">
        <v>459</v>
      </c>
    </row>
    <row r="367" spans="1:11" hidden="1">
      <c r="A367" s="28">
        <v>46302</v>
      </c>
      <c r="B367" t="s">
        <v>185</v>
      </c>
      <c r="C367" t="s">
        <v>202</v>
      </c>
      <c r="D367" t="s">
        <v>217</v>
      </c>
      <c r="E367">
        <f>IF(LEFT(D367,6)="CLIENT",IFERROR(VLOOKUP(C367,Config_Carteiras!$A:$B,2,FALSE),1),"")</f>
        <v>1</v>
      </c>
      <c r="F367" s="25">
        <v>1459</v>
      </c>
      <c r="G367" s="28">
        <f>IF(LEFT(D367,6)="CLIENT",IF(E367=0,WORKDAY(A367-1,1,Dias_Sem_Compensacao!$A$2:$A$500),WORKDAY(A367,E367,Dias_Sem_Compensacao!$A$2:$A$500)),"")</f>
        <v>46303</v>
      </c>
      <c r="H367" s="25">
        <v>0</v>
      </c>
      <c r="I367" s="28">
        <v>46302</v>
      </c>
      <c r="J367" t="s">
        <v>101</v>
      </c>
      <c r="K367" t="s">
        <v>462</v>
      </c>
    </row>
    <row r="368" spans="1:11" hidden="1">
      <c r="A368" s="28">
        <v>46302</v>
      </c>
      <c r="B368" t="s">
        <v>185</v>
      </c>
      <c r="C368" t="s">
        <v>202</v>
      </c>
      <c r="D368" t="s">
        <v>217</v>
      </c>
      <c r="E368">
        <f>IF(LEFT(D368,6)="CLIENT",IFERROR(VLOOKUP(C368,Config_Carteiras!$A:$B,2,FALSE),1),"")</f>
        <v>1</v>
      </c>
      <c r="F368" s="25">
        <v>1317</v>
      </c>
      <c r="G368" s="28">
        <f>IF(LEFT(D368,6)="CLIENT",IF(E368=0,WORKDAY(A368-1,1,Dias_Sem_Compensacao!$A$2:$A$500),WORKDAY(A368,E368,Dias_Sem_Compensacao!$A$2:$A$500)),"")</f>
        <v>46303</v>
      </c>
      <c r="H368" s="25">
        <v>0</v>
      </c>
      <c r="I368" s="28">
        <v>46302</v>
      </c>
      <c r="J368" t="s">
        <v>463</v>
      </c>
      <c r="K368" t="s">
        <v>751</v>
      </c>
    </row>
    <row r="369" spans="1:11" hidden="1">
      <c r="A369" s="28">
        <v>46302</v>
      </c>
      <c r="B369" t="s">
        <v>185</v>
      </c>
      <c r="C369" t="s">
        <v>202</v>
      </c>
      <c r="D369" t="s">
        <v>217</v>
      </c>
      <c r="E369">
        <f>IF(LEFT(D369,6)="CLIENT",IFERROR(VLOOKUP(C369,Config_Carteiras!$A:$B,2,FALSE),1),"")</f>
        <v>1</v>
      </c>
      <c r="F369" s="25">
        <v>456</v>
      </c>
      <c r="G369" s="28">
        <f>IF(LEFT(D369,6)="CLIENT",IF(E369=0,WORKDAY(A369-1,1,Dias_Sem_Compensacao!$A$2:$A$500),WORKDAY(A369,E369,Dias_Sem_Compensacao!$A$2:$A$500)),"")</f>
        <v>46303</v>
      </c>
      <c r="H369" s="25">
        <v>0</v>
      </c>
      <c r="I369" s="28">
        <v>46302</v>
      </c>
      <c r="J369" t="s">
        <v>752</v>
      </c>
      <c r="K369" t="s">
        <v>753</v>
      </c>
    </row>
    <row r="370" spans="1:11" hidden="1">
      <c r="A370" s="28">
        <v>46302</v>
      </c>
      <c r="B370" t="s">
        <v>185</v>
      </c>
      <c r="C370" t="s">
        <v>202</v>
      </c>
      <c r="D370" t="s">
        <v>217</v>
      </c>
      <c r="E370">
        <f>IF(LEFT(D370,6)="CLIENT",IFERROR(VLOOKUP(C370,Config_Carteiras!$A:$B,2,FALSE),1),"")</f>
        <v>1</v>
      </c>
      <c r="F370" s="25">
        <v>405.6</v>
      </c>
      <c r="G370" s="28">
        <f>IF(LEFT(D370,6)="CLIENT",IF(E370=0,WORKDAY(A370-1,1,Dias_Sem_Compensacao!$A$2:$A$500),WORKDAY(A370,E370,Dias_Sem_Compensacao!$A$2:$A$500)),"")</f>
        <v>46303</v>
      </c>
      <c r="H370" s="25">
        <v>0</v>
      </c>
      <c r="I370" s="28">
        <v>46302</v>
      </c>
      <c r="J370" t="s">
        <v>465</v>
      </c>
      <c r="K370" t="s">
        <v>466</v>
      </c>
    </row>
    <row r="371" spans="1:11" hidden="1">
      <c r="A371" s="28">
        <v>46302</v>
      </c>
      <c r="B371" t="s">
        <v>185</v>
      </c>
      <c r="C371" t="s">
        <v>202</v>
      </c>
      <c r="D371" t="s">
        <v>217</v>
      </c>
      <c r="E371">
        <f>IF(LEFT(D371,6)="CLIENT",IFERROR(VLOOKUP(C371,Config_Carteiras!$A:$B,2,FALSE),1),"")</f>
        <v>1</v>
      </c>
      <c r="F371" s="25">
        <v>1200</v>
      </c>
      <c r="G371" s="28">
        <f>IF(LEFT(D371,6)="CLIENT",IF(E371=0,WORKDAY(A371-1,1,Dias_Sem_Compensacao!$A$2:$A$500),WORKDAY(A371,E371,Dias_Sem_Compensacao!$A$2:$A$500)),"")</f>
        <v>46303</v>
      </c>
      <c r="H371" s="25">
        <v>0</v>
      </c>
      <c r="I371" s="28">
        <v>46302</v>
      </c>
      <c r="J371" t="s">
        <v>754</v>
      </c>
      <c r="K371" t="s">
        <v>755</v>
      </c>
    </row>
    <row r="372" spans="1:11" hidden="1">
      <c r="A372" s="28">
        <v>46302</v>
      </c>
      <c r="B372" t="s">
        <v>185</v>
      </c>
      <c r="C372" t="s">
        <v>202</v>
      </c>
      <c r="D372" t="s">
        <v>217</v>
      </c>
      <c r="E372">
        <f>IF(LEFT(D372,6)="CLIENT",IFERROR(VLOOKUP(C372,Config_Carteiras!$A:$B,2,FALSE),1),"")</f>
        <v>1</v>
      </c>
      <c r="F372" s="25">
        <v>137.4</v>
      </c>
      <c r="G372" s="28">
        <f>IF(LEFT(D372,6)="CLIENT",IF(E372=0,WORKDAY(A372-1,1,Dias_Sem_Compensacao!$A$2:$A$500),WORKDAY(A372,E372,Dias_Sem_Compensacao!$A$2:$A$500)),"")</f>
        <v>46303</v>
      </c>
      <c r="H372" s="25">
        <v>0</v>
      </c>
      <c r="I372" s="28">
        <v>46302</v>
      </c>
      <c r="J372" t="s">
        <v>756</v>
      </c>
      <c r="K372" t="s">
        <v>757</v>
      </c>
    </row>
    <row r="373" spans="1:11" hidden="1">
      <c r="A373" s="28">
        <v>46302</v>
      </c>
      <c r="B373" t="s">
        <v>185</v>
      </c>
      <c r="C373" t="s">
        <v>202</v>
      </c>
      <c r="D373" t="s">
        <v>217</v>
      </c>
      <c r="E373">
        <f>IF(LEFT(D373,6)="CLIENT",IFERROR(VLOOKUP(C373,Config_Carteiras!$A:$B,2,FALSE),1),"")</f>
        <v>1</v>
      </c>
      <c r="F373" s="25">
        <v>365.08</v>
      </c>
      <c r="G373" s="28">
        <f>IF(LEFT(D373,6)="CLIENT",IF(E373=0,WORKDAY(A373-1,1,Dias_Sem_Compensacao!$A$2:$A$500),WORKDAY(A373,E373,Dias_Sem_Compensacao!$A$2:$A$500)),"")</f>
        <v>46303</v>
      </c>
      <c r="H373" s="25">
        <v>0</v>
      </c>
      <c r="I373" s="28">
        <v>46302</v>
      </c>
      <c r="J373" t="s">
        <v>229</v>
      </c>
      <c r="K373" t="s">
        <v>231</v>
      </c>
    </row>
    <row r="374" spans="1:11" hidden="1">
      <c r="A374" s="28">
        <v>46302</v>
      </c>
      <c r="B374" t="s">
        <v>185</v>
      </c>
      <c r="C374" t="s">
        <v>202</v>
      </c>
      <c r="D374" t="s">
        <v>217</v>
      </c>
      <c r="E374">
        <f>IF(LEFT(D374,6)="CLIENT",IFERROR(VLOOKUP(C374,Config_Carteiras!$A:$B,2,FALSE),1),"")</f>
        <v>1</v>
      </c>
      <c r="F374" s="25">
        <v>840</v>
      </c>
      <c r="G374" s="28">
        <f>IF(LEFT(D374,6)="CLIENT",IF(E374=0,WORKDAY(A374-1,1,Dias_Sem_Compensacao!$A$2:$A$500),WORKDAY(A374,E374,Dias_Sem_Compensacao!$A$2:$A$500)),"")</f>
        <v>46303</v>
      </c>
      <c r="H374" s="25">
        <v>0</v>
      </c>
      <c r="I374" s="28">
        <v>46302</v>
      </c>
      <c r="J374" t="s">
        <v>467</v>
      </c>
      <c r="K374" t="s">
        <v>468</v>
      </c>
    </row>
    <row r="375" spans="1:11" hidden="1">
      <c r="A375" s="28">
        <v>46302</v>
      </c>
      <c r="B375" t="s">
        <v>185</v>
      </c>
      <c r="C375" t="s">
        <v>202</v>
      </c>
      <c r="D375" t="s">
        <v>217</v>
      </c>
      <c r="E375">
        <f>IF(LEFT(D375,6)="CLIENT",IFERROR(VLOOKUP(C375,Config_Carteiras!$A:$B,2,FALSE),1),"")</f>
        <v>1</v>
      </c>
      <c r="F375" s="25">
        <v>967</v>
      </c>
      <c r="G375" s="28">
        <f>IF(LEFT(D375,6)="CLIENT",IF(E375=0,WORKDAY(A375-1,1,Dias_Sem_Compensacao!$A$2:$A$500),WORKDAY(A375,E375,Dias_Sem_Compensacao!$A$2:$A$500)),"")</f>
        <v>46303</v>
      </c>
      <c r="H375" s="25">
        <v>0</v>
      </c>
      <c r="I375" s="28">
        <v>46302</v>
      </c>
      <c r="J375" t="s">
        <v>469</v>
      </c>
      <c r="K375" t="s">
        <v>470</v>
      </c>
    </row>
    <row r="376" spans="1:11" hidden="1">
      <c r="A376" s="28">
        <v>46302</v>
      </c>
      <c r="B376" t="s">
        <v>185</v>
      </c>
      <c r="C376" t="s">
        <v>202</v>
      </c>
      <c r="D376" t="s">
        <v>217</v>
      </c>
      <c r="E376">
        <f>IF(LEFT(D376,6)="CLIENT",IFERROR(VLOOKUP(C376,Config_Carteiras!$A:$B,2,FALSE),1),"")</f>
        <v>1</v>
      </c>
      <c r="F376" s="25">
        <v>992.5</v>
      </c>
      <c r="G376" s="28">
        <f>IF(LEFT(D376,6)="CLIENT",IF(E376=0,WORKDAY(A376-1,1,Dias_Sem_Compensacao!$A$2:$A$500),WORKDAY(A376,E376,Dias_Sem_Compensacao!$A$2:$A$500)),"")</f>
        <v>46303</v>
      </c>
      <c r="H376" s="25">
        <v>0</v>
      </c>
      <c r="I376" s="28">
        <v>46302</v>
      </c>
      <c r="J376" t="s">
        <v>471</v>
      </c>
      <c r="K376" t="s">
        <v>472</v>
      </c>
    </row>
    <row r="377" spans="1:11" hidden="1">
      <c r="A377" s="28">
        <v>46302</v>
      </c>
      <c r="B377" t="s">
        <v>185</v>
      </c>
      <c r="C377" t="s">
        <v>202</v>
      </c>
      <c r="D377" t="s">
        <v>217</v>
      </c>
      <c r="E377">
        <f>IF(LEFT(D377,6)="CLIENT",IFERROR(VLOOKUP(C377,Config_Carteiras!$A:$B,2,FALSE),1),"")</f>
        <v>1</v>
      </c>
      <c r="F377" s="25">
        <v>388.6</v>
      </c>
      <c r="G377" s="28">
        <f>IF(LEFT(D377,6)="CLIENT",IF(E377=0,WORKDAY(A377-1,1,Dias_Sem_Compensacao!$A$2:$A$500),WORKDAY(A377,E377,Dias_Sem_Compensacao!$A$2:$A$500)),"")</f>
        <v>46303</v>
      </c>
      <c r="H377" s="25">
        <v>0</v>
      </c>
      <c r="I377" s="28">
        <v>46302</v>
      </c>
      <c r="J377" t="s">
        <v>758</v>
      </c>
      <c r="K377" t="s">
        <v>759</v>
      </c>
    </row>
    <row r="378" spans="1:11" hidden="1">
      <c r="A378" s="28">
        <v>46302</v>
      </c>
      <c r="B378" t="s">
        <v>185</v>
      </c>
      <c r="C378" t="s">
        <v>202</v>
      </c>
      <c r="D378" t="s">
        <v>217</v>
      </c>
      <c r="E378">
        <f>IF(LEFT(D378,6)="CLIENT",IFERROR(VLOOKUP(C378,Config_Carteiras!$A:$B,2,FALSE),1),"")</f>
        <v>1</v>
      </c>
      <c r="F378" s="25">
        <v>466.3</v>
      </c>
      <c r="G378" s="28">
        <f>IF(LEFT(D378,6)="CLIENT",IF(E378=0,WORKDAY(A378-1,1,Dias_Sem_Compensacao!$A$2:$A$500),WORKDAY(A378,E378,Dias_Sem_Compensacao!$A$2:$A$500)),"")</f>
        <v>46303</v>
      </c>
      <c r="H378" s="25">
        <v>0</v>
      </c>
      <c r="I378" s="28">
        <v>46302</v>
      </c>
      <c r="J378" t="s">
        <v>473</v>
      </c>
      <c r="K378" t="s">
        <v>474</v>
      </c>
    </row>
    <row r="379" spans="1:11" hidden="1">
      <c r="A379" s="28">
        <v>46302</v>
      </c>
      <c r="B379" t="s">
        <v>185</v>
      </c>
      <c r="C379" t="s">
        <v>202</v>
      </c>
      <c r="D379" t="s">
        <v>217</v>
      </c>
      <c r="E379">
        <f>IF(LEFT(D379,6)="CLIENT",IFERROR(VLOOKUP(C379,Config_Carteiras!$A:$B,2,FALSE),1),"")</f>
        <v>1</v>
      </c>
      <c r="F379" s="25">
        <v>659.74</v>
      </c>
      <c r="G379" s="28">
        <f>IF(LEFT(D379,6)="CLIENT",IF(E379=0,WORKDAY(A379-1,1,Dias_Sem_Compensacao!$A$2:$A$500),WORKDAY(A379,E379,Dias_Sem_Compensacao!$A$2:$A$500)),"")</f>
        <v>46303</v>
      </c>
      <c r="H379" s="25">
        <v>0</v>
      </c>
      <c r="I379" s="28">
        <v>46302</v>
      </c>
      <c r="J379" t="s">
        <v>475</v>
      </c>
      <c r="K379" t="s">
        <v>476</v>
      </c>
    </row>
    <row r="380" spans="1:11" hidden="1">
      <c r="A380" s="28">
        <v>46303</v>
      </c>
      <c r="B380" t="s">
        <v>185</v>
      </c>
      <c r="C380" t="s">
        <v>202</v>
      </c>
      <c r="D380" t="s">
        <v>217</v>
      </c>
      <c r="E380">
        <f>IF(LEFT(D380,6)="CLIENT",IFERROR(VLOOKUP(C380,Config_Carteiras!$A:$B,2,FALSE),1),"")</f>
        <v>1</v>
      </c>
      <c r="F380" s="25">
        <v>808</v>
      </c>
      <c r="G380" s="28">
        <f>IF(LEFT(D380,6)="CLIENT",IF(E380=0,WORKDAY(A380-1,1,Dias_Sem_Compensacao!$A$2:$A$500),WORKDAY(A380,E380,Dias_Sem_Compensacao!$A$2:$A$500)),"")</f>
        <v>46304</v>
      </c>
      <c r="H380" s="25">
        <v>0</v>
      </c>
      <c r="I380" s="28">
        <v>46303</v>
      </c>
      <c r="J380" t="s">
        <v>760</v>
      </c>
      <c r="K380" t="s">
        <v>761</v>
      </c>
    </row>
    <row r="381" spans="1:11" hidden="1">
      <c r="A381" s="28">
        <v>46303</v>
      </c>
      <c r="B381" t="s">
        <v>185</v>
      </c>
      <c r="C381" t="s">
        <v>202</v>
      </c>
      <c r="D381" t="s">
        <v>217</v>
      </c>
      <c r="E381">
        <f>IF(LEFT(D381,6)="CLIENT",IFERROR(VLOOKUP(C381,Config_Carteiras!$A:$B,2,FALSE),1),"")</f>
        <v>1</v>
      </c>
      <c r="F381" s="25">
        <v>400.2</v>
      </c>
      <c r="G381" s="28">
        <f>IF(LEFT(D381,6)="CLIENT",IF(E381=0,WORKDAY(A381-1,1,Dias_Sem_Compensacao!$A$2:$A$500),WORKDAY(A381,E381,Dias_Sem_Compensacao!$A$2:$A$500)),"")</f>
        <v>46304</v>
      </c>
      <c r="H381" s="25">
        <v>0</v>
      </c>
      <c r="I381" s="28">
        <v>46303</v>
      </c>
      <c r="J381" t="s">
        <v>477</v>
      </c>
      <c r="K381" t="s">
        <v>478</v>
      </c>
    </row>
    <row r="382" spans="1:11" hidden="1">
      <c r="A382" s="28">
        <v>46303</v>
      </c>
      <c r="B382" t="s">
        <v>185</v>
      </c>
      <c r="C382" t="s">
        <v>202</v>
      </c>
      <c r="D382" t="s">
        <v>217</v>
      </c>
      <c r="E382">
        <f>IF(LEFT(D382,6)="CLIENT",IFERROR(VLOOKUP(C382,Config_Carteiras!$A:$B,2,FALSE),1),"")</f>
        <v>1</v>
      </c>
      <c r="F382" s="25">
        <v>4700.9399999999996</v>
      </c>
      <c r="G382" s="28">
        <f>IF(LEFT(D382,6)="CLIENT",IF(E382=0,WORKDAY(A382-1,1,Dias_Sem_Compensacao!$A$2:$A$500),WORKDAY(A382,E382,Dias_Sem_Compensacao!$A$2:$A$500)),"")</f>
        <v>46304</v>
      </c>
      <c r="H382" s="25">
        <v>0</v>
      </c>
      <c r="I382" s="28">
        <v>46303</v>
      </c>
      <c r="J382" t="s">
        <v>479</v>
      </c>
      <c r="K382" t="s">
        <v>480</v>
      </c>
    </row>
    <row r="383" spans="1:11" hidden="1">
      <c r="A383" s="28">
        <v>46303</v>
      </c>
      <c r="B383" t="s">
        <v>185</v>
      </c>
      <c r="C383" t="s">
        <v>202</v>
      </c>
      <c r="D383" t="s">
        <v>217</v>
      </c>
      <c r="E383">
        <f>IF(LEFT(D383,6)="CLIENT",IFERROR(VLOOKUP(C383,Config_Carteiras!$A:$B,2,FALSE),1),"")</f>
        <v>1</v>
      </c>
      <c r="F383" s="25">
        <v>645.87</v>
      </c>
      <c r="G383" s="28">
        <f>IF(LEFT(D383,6)="CLIENT",IF(E383=0,WORKDAY(A383-1,1,Dias_Sem_Compensacao!$A$2:$A$500),WORKDAY(A383,E383,Dias_Sem_Compensacao!$A$2:$A$500)),"")</f>
        <v>46304</v>
      </c>
      <c r="H383" s="25">
        <v>0</v>
      </c>
      <c r="I383" s="28">
        <v>46303</v>
      </c>
      <c r="J383" t="s">
        <v>481</v>
      </c>
      <c r="K383" t="s">
        <v>482</v>
      </c>
    </row>
    <row r="384" spans="1:11" hidden="1">
      <c r="A384" s="28">
        <v>46303</v>
      </c>
      <c r="B384" t="s">
        <v>185</v>
      </c>
      <c r="C384" t="s">
        <v>202</v>
      </c>
      <c r="D384" t="s">
        <v>217</v>
      </c>
      <c r="E384">
        <f>IF(LEFT(D384,6)="CLIENT",IFERROR(VLOOKUP(C384,Config_Carteiras!$A:$B,2,FALSE),1),"")</f>
        <v>1</v>
      </c>
      <c r="F384" s="25">
        <v>2179.13</v>
      </c>
      <c r="G384" s="28">
        <f>IF(LEFT(D384,6)="CLIENT",IF(E384=0,WORKDAY(A384-1,1,Dias_Sem_Compensacao!$A$2:$A$500),WORKDAY(A384,E384,Dias_Sem_Compensacao!$A$2:$A$500)),"")</f>
        <v>46304</v>
      </c>
      <c r="H384" s="25">
        <v>0</v>
      </c>
      <c r="I384" s="28">
        <v>46303</v>
      </c>
      <c r="J384" t="s">
        <v>762</v>
      </c>
      <c r="K384" t="s">
        <v>763</v>
      </c>
    </row>
    <row r="385" spans="1:11" hidden="1">
      <c r="A385" s="28">
        <v>46303</v>
      </c>
      <c r="B385" t="s">
        <v>185</v>
      </c>
      <c r="C385" t="s">
        <v>202</v>
      </c>
      <c r="D385" t="s">
        <v>217</v>
      </c>
      <c r="E385">
        <f>IF(LEFT(D385,6)="CLIENT",IFERROR(VLOOKUP(C385,Config_Carteiras!$A:$B,2,FALSE),1),"")</f>
        <v>1</v>
      </c>
      <c r="F385" s="25">
        <v>21785</v>
      </c>
      <c r="G385" s="28">
        <f>IF(LEFT(D385,6)="CLIENT",IF(E385=0,WORKDAY(A385-1,1,Dias_Sem_Compensacao!$A$2:$A$500),WORKDAY(A385,E385,Dias_Sem_Compensacao!$A$2:$A$500)),"")</f>
        <v>46304</v>
      </c>
      <c r="H385" s="25">
        <v>0</v>
      </c>
      <c r="I385" s="28">
        <v>46303</v>
      </c>
      <c r="J385" t="s">
        <v>72</v>
      </c>
      <c r="K385" t="s">
        <v>764</v>
      </c>
    </row>
    <row r="386" spans="1:11" hidden="1">
      <c r="A386" s="28">
        <v>46303</v>
      </c>
      <c r="B386" t="s">
        <v>185</v>
      </c>
      <c r="C386" t="s">
        <v>202</v>
      </c>
      <c r="D386" t="s">
        <v>217</v>
      </c>
      <c r="E386">
        <f>IF(LEFT(D386,6)="CLIENT",IFERROR(VLOOKUP(C386,Config_Carteiras!$A:$B,2,FALSE),1),"")</f>
        <v>1</v>
      </c>
      <c r="F386" s="25">
        <v>379</v>
      </c>
      <c r="G386" s="28">
        <f>IF(LEFT(D386,6)="CLIENT",IF(E386=0,WORKDAY(A386-1,1,Dias_Sem_Compensacao!$A$2:$A$500),WORKDAY(A386,E386,Dias_Sem_Compensacao!$A$2:$A$500)),"")</f>
        <v>46304</v>
      </c>
      <c r="H386" s="25">
        <v>0</v>
      </c>
      <c r="I386" s="28">
        <v>46303</v>
      </c>
      <c r="J386" t="s">
        <v>765</v>
      </c>
      <c r="K386" t="s">
        <v>766</v>
      </c>
    </row>
    <row r="387" spans="1:11" hidden="1">
      <c r="A387" s="28">
        <v>46303</v>
      </c>
      <c r="B387" t="s">
        <v>185</v>
      </c>
      <c r="C387" t="s">
        <v>202</v>
      </c>
      <c r="D387" t="s">
        <v>217</v>
      </c>
      <c r="E387">
        <f>IF(LEFT(D387,6)="CLIENT",IFERROR(VLOOKUP(C387,Config_Carteiras!$A:$B,2,FALSE),1),"")</f>
        <v>1</v>
      </c>
      <c r="F387" s="25">
        <v>1345</v>
      </c>
      <c r="G387" s="28">
        <f>IF(LEFT(D387,6)="CLIENT",IF(E387=0,WORKDAY(A387-1,1,Dias_Sem_Compensacao!$A$2:$A$500),WORKDAY(A387,E387,Dias_Sem_Compensacao!$A$2:$A$500)),"")</f>
        <v>46304</v>
      </c>
      <c r="H387" s="25">
        <v>0</v>
      </c>
      <c r="I387" s="28">
        <v>46303</v>
      </c>
      <c r="J387" t="s">
        <v>483</v>
      </c>
      <c r="K387" t="s">
        <v>484</v>
      </c>
    </row>
    <row r="388" spans="1:11" hidden="1">
      <c r="A388" s="28">
        <v>46303</v>
      </c>
      <c r="B388" t="s">
        <v>185</v>
      </c>
      <c r="C388" t="s">
        <v>202</v>
      </c>
      <c r="D388" t="s">
        <v>217</v>
      </c>
      <c r="E388">
        <f>IF(LEFT(D388,6)="CLIENT",IFERROR(VLOOKUP(C388,Config_Carteiras!$A:$B,2,FALSE),1),"")</f>
        <v>1</v>
      </c>
      <c r="F388" s="25">
        <v>400</v>
      </c>
      <c r="G388" s="28">
        <f>IF(LEFT(D388,6)="CLIENT",IF(E388=0,WORKDAY(A388-1,1,Dias_Sem_Compensacao!$A$2:$A$500),WORKDAY(A388,E388,Dias_Sem_Compensacao!$A$2:$A$500)),"")</f>
        <v>46304</v>
      </c>
      <c r="H388" s="25">
        <v>0</v>
      </c>
      <c r="I388" s="28">
        <v>46303</v>
      </c>
      <c r="J388" t="s">
        <v>485</v>
      </c>
      <c r="K388" t="s">
        <v>486</v>
      </c>
    </row>
    <row r="389" spans="1:11" hidden="1">
      <c r="A389" s="28">
        <v>46303</v>
      </c>
      <c r="B389" t="s">
        <v>185</v>
      </c>
      <c r="C389" t="s">
        <v>202</v>
      </c>
      <c r="D389" t="s">
        <v>217</v>
      </c>
      <c r="E389">
        <f>IF(LEFT(D389,6)="CLIENT",IFERROR(VLOOKUP(C389,Config_Carteiras!$A:$B,2,FALSE),1),"")</f>
        <v>1</v>
      </c>
      <c r="F389" s="25">
        <v>418.4</v>
      </c>
      <c r="G389" s="28">
        <f>IF(LEFT(D389,6)="CLIENT",IF(E389=0,WORKDAY(A389-1,1,Dias_Sem_Compensacao!$A$2:$A$500),WORKDAY(A389,E389,Dias_Sem_Compensacao!$A$2:$A$500)),"")</f>
        <v>46304</v>
      </c>
      <c r="H389" s="25">
        <v>0</v>
      </c>
      <c r="I389" s="28">
        <v>46303</v>
      </c>
      <c r="J389" t="s">
        <v>487</v>
      </c>
      <c r="K389" t="s">
        <v>488</v>
      </c>
    </row>
    <row r="390" spans="1:11" hidden="1">
      <c r="A390" s="28">
        <v>46303</v>
      </c>
      <c r="B390" t="s">
        <v>185</v>
      </c>
      <c r="C390" t="s">
        <v>202</v>
      </c>
      <c r="D390" t="s">
        <v>217</v>
      </c>
      <c r="E390">
        <f>IF(LEFT(D390,6)="CLIENT",IFERROR(VLOOKUP(C390,Config_Carteiras!$A:$B,2,FALSE),1),"")</f>
        <v>1</v>
      </c>
      <c r="F390" s="25">
        <v>710.6</v>
      </c>
      <c r="G390" s="28">
        <f>IF(LEFT(D390,6)="CLIENT",IF(E390=0,WORKDAY(A390-1,1,Dias_Sem_Compensacao!$A$2:$A$500),WORKDAY(A390,E390,Dias_Sem_Compensacao!$A$2:$A$500)),"")</f>
        <v>46304</v>
      </c>
      <c r="H390" s="25">
        <v>0</v>
      </c>
      <c r="I390" s="28">
        <v>46303</v>
      </c>
      <c r="J390" t="s">
        <v>767</v>
      </c>
      <c r="K390" t="s">
        <v>768</v>
      </c>
    </row>
    <row r="391" spans="1:11" hidden="1">
      <c r="A391" s="28">
        <v>46303</v>
      </c>
      <c r="B391" t="s">
        <v>185</v>
      </c>
      <c r="C391" t="s">
        <v>202</v>
      </c>
      <c r="D391" t="s">
        <v>217</v>
      </c>
      <c r="E391">
        <f>IF(LEFT(D391,6)="CLIENT",IFERROR(VLOOKUP(C391,Config_Carteiras!$A:$B,2,FALSE),1),"")</f>
        <v>1</v>
      </c>
      <c r="F391" s="25">
        <v>2511</v>
      </c>
      <c r="G391" s="28">
        <f>IF(LEFT(D391,6)="CLIENT",IF(E391=0,WORKDAY(A391-1,1,Dias_Sem_Compensacao!$A$2:$A$500),WORKDAY(A391,E391,Dias_Sem_Compensacao!$A$2:$A$500)),"")</f>
        <v>46304</v>
      </c>
      <c r="H391" s="25">
        <v>0</v>
      </c>
      <c r="I391" s="28">
        <v>46303</v>
      </c>
      <c r="J391" t="s">
        <v>489</v>
      </c>
      <c r="K391" t="s">
        <v>490</v>
      </c>
    </row>
    <row r="392" spans="1:11" hidden="1">
      <c r="A392" s="28">
        <v>46303</v>
      </c>
      <c r="B392" t="s">
        <v>185</v>
      </c>
      <c r="C392" t="s">
        <v>202</v>
      </c>
      <c r="D392" t="s">
        <v>217</v>
      </c>
      <c r="E392">
        <f>IF(LEFT(D392,6)="CLIENT",IFERROR(VLOOKUP(C392,Config_Carteiras!$A:$B,2,FALSE),1),"")</f>
        <v>1</v>
      </c>
      <c r="F392" s="25">
        <v>5008</v>
      </c>
      <c r="G392" s="28">
        <f>IF(LEFT(D392,6)="CLIENT",IF(E392=0,WORKDAY(A392-1,1,Dias_Sem_Compensacao!$A$2:$A$500),WORKDAY(A392,E392,Dias_Sem_Compensacao!$A$2:$A$500)),"")</f>
        <v>46304</v>
      </c>
      <c r="H392" s="25">
        <v>0</v>
      </c>
      <c r="I392" s="28">
        <v>46303</v>
      </c>
      <c r="J392" t="s">
        <v>491</v>
      </c>
      <c r="K392" t="s">
        <v>492</v>
      </c>
    </row>
    <row r="393" spans="1:11" hidden="1">
      <c r="A393" s="28">
        <v>46303</v>
      </c>
      <c r="B393" t="s">
        <v>185</v>
      </c>
      <c r="C393" t="s">
        <v>202</v>
      </c>
      <c r="D393" t="s">
        <v>217</v>
      </c>
      <c r="E393">
        <f>IF(LEFT(D393,6)="CLIENT",IFERROR(VLOOKUP(C393,Config_Carteiras!$A:$B,2,FALSE),1),"")</f>
        <v>1</v>
      </c>
      <c r="F393" s="25">
        <v>634.29999999999995</v>
      </c>
      <c r="G393" s="28">
        <f>IF(LEFT(D393,6)="CLIENT",IF(E393=0,WORKDAY(A393-1,1,Dias_Sem_Compensacao!$A$2:$A$500),WORKDAY(A393,E393,Dias_Sem_Compensacao!$A$2:$A$500)),"")</f>
        <v>46304</v>
      </c>
      <c r="H393" s="25">
        <v>0</v>
      </c>
      <c r="I393" s="28">
        <v>46303</v>
      </c>
      <c r="J393" t="s">
        <v>769</v>
      </c>
      <c r="K393" t="s">
        <v>770</v>
      </c>
    </row>
    <row r="394" spans="1:11" hidden="1">
      <c r="A394" s="28">
        <v>46303</v>
      </c>
      <c r="B394" t="s">
        <v>185</v>
      </c>
      <c r="C394" t="s">
        <v>202</v>
      </c>
      <c r="D394" t="s">
        <v>217</v>
      </c>
      <c r="E394">
        <f>IF(LEFT(D394,6)="CLIENT",IFERROR(VLOOKUP(C394,Config_Carteiras!$A:$B,2,FALSE),1),"")</f>
        <v>1</v>
      </c>
      <c r="F394" s="25">
        <v>422.2</v>
      </c>
      <c r="G394" s="28">
        <f>IF(LEFT(D394,6)="CLIENT",IF(E394=0,WORKDAY(A394-1,1,Dias_Sem_Compensacao!$A$2:$A$500),WORKDAY(A394,E394,Dias_Sem_Compensacao!$A$2:$A$500)),"")</f>
        <v>46304</v>
      </c>
      <c r="H394" s="25">
        <v>0</v>
      </c>
      <c r="I394" s="28">
        <v>46303</v>
      </c>
      <c r="J394" t="s">
        <v>771</v>
      </c>
      <c r="K394" t="s">
        <v>772</v>
      </c>
    </row>
    <row r="395" spans="1:11" hidden="1">
      <c r="A395" s="28">
        <v>46303</v>
      </c>
      <c r="B395" t="s">
        <v>185</v>
      </c>
      <c r="C395" t="s">
        <v>202</v>
      </c>
      <c r="D395" t="s">
        <v>217</v>
      </c>
      <c r="E395">
        <f>IF(LEFT(D395,6)="CLIENT",IFERROR(VLOOKUP(C395,Config_Carteiras!$A:$B,2,FALSE),1),"")</f>
        <v>1</v>
      </c>
      <c r="F395" s="25">
        <v>660</v>
      </c>
      <c r="G395" s="28">
        <f>IF(LEFT(D395,6)="CLIENT",IF(E395=0,WORKDAY(A395-1,1,Dias_Sem_Compensacao!$A$2:$A$500),WORKDAY(A395,E395,Dias_Sem_Compensacao!$A$2:$A$500)),"")</f>
        <v>46304</v>
      </c>
      <c r="H395" s="25">
        <v>0</v>
      </c>
      <c r="I395" s="28">
        <v>46303</v>
      </c>
      <c r="J395" t="s">
        <v>234</v>
      </c>
      <c r="K395" t="s">
        <v>235</v>
      </c>
    </row>
    <row r="396" spans="1:11" hidden="1">
      <c r="A396" s="28">
        <v>46303</v>
      </c>
      <c r="B396" t="s">
        <v>185</v>
      </c>
      <c r="C396" t="s">
        <v>202</v>
      </c>
      <c r="D396" t="s">
        <v>217</v>
      </c>
      <c r="E396">
        <f>IF(LEFT(D396,6)="CLIENT",IFERROR(VLOOKUP(C396,Config_Carteiras!$A:$B,2,FALSE),1),"")</f>
        <v>1</v>
      </c>
      <c r="F396" s="25">
        <v>3150</v>
      </c>
      <c r="G396" s="28">
        <f>IF(LEFT(D396,6)="CLIENT",IF(E396=0,WORKDAY(A396-1,1,Dias_Sem_Compensacao!$A$2:$A$500),WORKDAY(A396,E396,Dias_Sem_Compensacao!$A$2:$A$500)),"")</f>
        <v>46304</v>
      </c>
      <c r="H396" s="25">
        <v>0</v>
      </c>
      <c r="I396" s="28">
        <v>46303</v>
      </c>
      <c r="J396" t="s">
        <v>493</v>
      </c>
      <c r="K396" t="s">
        <v>494</v>
      </c>
    </row>
    <row r="397" spans="1:11" hidden="1">
      <c r="A397" s="28">
        <v>46303</v>
      </c>
      <c r="B397" t="s">
        <v>185</v>
      </c>
      <c r="C397" t="s">
        <v>202</v>
      </c>
      <c r="D397" t="s">
        <v>217</v>
      </c>
      <c r="E397">
        <f>IF(LEFT(D397,6)="CLIENT",IFERROR(VLOOKUP(C397,Config_Carteiras!$A:$B,2,FALSE),1),"")</f>
        <v>1</v>
      </c>
      <c r="F397" s="25">
        <v>976.5</v>
      </c>
      <c r="G397" s="28">
        <f>IF(LEFT(D397,6)="CLIENT",IF(E397=0,WORKDAY(A397-1,1,Dias_Sem_Compensacao!$A$2:$A$500),WORKDAY(A397,E397,Dias_Sem_Compensacao!$A$2:$A$500)),"")</f>
        <v>46304</v>
      </c>
      <c r="H397" s="25">
        <v>0</v>
      </c>
      <c r="I397" s="28">
        <v>46303</v>
      </c>
      <c r="J397" t="s">
        <v>727</v>
      </c>
      <c r="K397" t="s">
        <v>773</v>
      </c>
    </row>
    <row r="398" spans="1:11" hidden="1">
      <c r="A398" s="28">
        <v>46303</v>
      </c>
      <c r="B398" t="s">
        <v>185</v>
      </c>
      <c r="C398" t="s">
        <v>202</v>
      </c>
      <c r="D398" t="s">
        <v>217</v>
      </c>
      <c r="E398">
        <f>IF(LEFT(D398,6)="CLIENT",IFERROR(VLOOKUP(C398,Config_Carteiras!$A:$B,2,FALSE),1),"")</f>
        <v>1</v>
      </c>
      <c r="F398" s="25">
        <v>408</v>
      </c>
      <c r="G398" s="28">
        <f>IF(LEFT(D398,6)="CLIENT",IF(E398=0,WORKDAY(A398-1,1,Dias_Sem_Compensacao!$A$2:$A$500),WORKDAY(A398,E398,Dias_Sem_Compensacao!$A$2:$A$500)),"")</f>
        <v>46304</v>
      </c>
      <c r="H398" s="25">
        <v>0</v>
      </c>
      <c r="I398" s="28">
        <v>46303</v>
      </c>
      <c r="J398" t="s">
        <v>497</v>
      </c>
      <c r="K398" t="s">
        <v>498</v>
      </c>
    </row>
    <row r="399" spans="1:11" hidden="1">
      <c r="A399" s="28">
        <v>46303</v>
      </c>
      <c r="B399" t="s">
        <v>185</v>
      </c>
      <c r="C399" t="s">
        <v>202</v>
      </c>
      <c r="D399" t="s">
        <v>217</v>
      </c>
      <c r="E399">
        <f>IF(LEFT(D399,6)="CLIENT",IFERROR(VLOOKUP(C399,Config_Carteiras!$A:$B,2,FALSE),1),"")</f>
        <v>1</v>
      </c>
      <c r="F399" s="25">
        <v>3576</v>
      </c>
      <c r="G399" s="28">
        <f>IF(LEFT(D399,6)="CLIENT",IF(E399=0,WORKDAY(A399-1,1,Dias_Sem_Compensacao!$A$2:$A$500),WORKDAY(A399,E399,Dias_Sem_Compensacao!$A$2:$A$500)),"")</f>
        <v>46304</v>
      </c>
      <c r="H399" s="25">
        <v>0</v>
      </c>
      <c r="I399" s="28">
        <v>46303</v>
      </c>
      <c r="J399" t="s">
        <v>501</v>
      </c>
      <c r="K399" t="s">
        <v>502</v>
      </c>
    </row>
    <row r="400" spans="1:11" hidden="1">
      <c r="A400" s="28">
        <v>46303</v>
      </c>
      <c r="B400" t="s">
        <v>185</v>
      </c>
      <c r="C400" t="s">
        <v>202</v>
      </c>
      <c r="D400" t="s">
        <v>217</v>
      </c>
      <c r="E400">
        <f>IF(LEFT(D400,6)="CLIENT",IFERROR(VLOOKUP(C400,Config_Carteiras!$A:$B,2,FALSE),1),"")</f>
        <v>1</v>
      </c>
      <c r="F400" s="25">
        <v>279.8</v>
      </c>
      <c r="G400" s="28">
        <f>IF(LEFT(D400,6)="CLIENT",IF(E400=0,WORKDAY(A400-1,1,Dias_Sem_Compensacao!$A$2:$A$500),WORKDAY(A400,E400,Dias_Sem_Compensacao!$A$2:$A$500)),"")</f>
        <v>46304</v>
      </c>
      <c r="H400" s="25">
        <v>0</v>
      </c>
      <c r="I400" s="28">
        <v>46303</v>
      </c>
      <c r="J400" t="s">
        <v>774</v>
      </c>
      <c r="K400" t="s">
        <v>775</v>
      </c>
    </row>
    <row r="401" spans="1:11" hidden="1">
      <c r="A401" s="28">
        <v>46303</v>
      </c>
      <c r="B401" t="s">
        <v>185</v>
      </c>
      <c r="C401" t="s">
        <v>202</v>
      </c>
      <c r="D401" t="s">
        <v>217</v>
      </c>
      <c r="E401">
        <f>IF(LEFT(D401,6)="CLIENT",IFERROR(VLOOKUP(C401,Config_Carteiras!$A:$B,2,FALSE),1),"")</f>
        <v>1</v>
      </c>
      <c r="F401" s="25">
        <v>991.5</v>
      </c>
      <c r="G401" s="28">
        <f>IF(LEFT(D401,6)="CLIENT",IF(E401=0,WORKDAY(A401-1,1,Dias_Sem_Compensacao!$A$2:$A$500),WORKDAY(A401,E401,Dias_Sem_Compensacao!$A$2:$A$500)),"")</f>
        <v>46304</v>
      </c>
      <c r="H401" s="25">
        <v>0</v>
      </c>
      <c r="I401" s="28">
        <v>46303</v>
      </c>
      <c r="J401" t="s">
        <v>509</v>
      </c>
      <c r="K401" t="s">
        <v>510</v>
      </c>
    </row>
    <row r="402" spans="1:11" hidden="1">
      <c r="A402" s="28">
        <v>46303</v>
      </c>
      <c r="B402" t="s">
        <v>185</v>
      </c>
      <c r="C402" t="s">
        <v>202</v>
      </c>
      <c r="D402" t="s">
        <v>217</v>
      </c>
      <c r="E402">
        <f>IF(LEFT(D402,6)="CLIENT",IFERROR(VLOOKUP(C402,Config_Carteiras!$A:$B,2,FALSE),1),"")</f>
        <v>1</v>
      </c>
      <c r="F402" s="25">
        <v>368</v>
      </c>
      <c r="G402" s="28">
        <f>IF(LEFT(D402,6)="CLIENT",IF(E402=0,WORKDAY(A402-1,1,Dias_Sem_Compensacao!$A$2:$A$500),WORKDAY(A402,E402,Dias_Sem_Compensacao!$A$2:$A$500)),"")</f>
        <v>46304</v>
      </c>
      <c r="H402" s="25">
        <v>0</v>
      </c>
      <c r="I402" s="28">
        <v>46303</v>
      </c>
      <c r="J402" t="s">
        <v>511</v>
      </c>
      <c r="K402" t="s">
        <v>512</v>
      </c>
    </row>
    <row r="403" spans="1:11" hidden="1">
      <c r="A403" s="28">
        <v>46303</v>
      </c>
      <c r="B403" t="s">
        <v>185</v>
      </c>
      <c r="C403" t="s">
        <v>202</v>
      </c>
      <c r="D403" t="s">
        <v>217</v>
      </c>
      <c r="E403">
        <f>IF(LEFT(D403,6)="CLIENT",IFERROR(VLOOKUP(C403,Config_Carteiras!$A:$B,2,FALSE),1),"")</f>
        <v>1</v>
      </c>
      <c r="F403" s="25">
        <v>658</v>
      </c>
      <c r="G403" s="28">
        <f>IF(LEFT(D403,6)="CLIENT",IF(E403=0,WORKDAY(A403-1,1,Dias_Sem_Compensacao!$A$2:$A$500),WORKDAY(A403,E403,Dias_Sem_Compensacao!$A$2:$A$500)),"")</f>
        <v>46304</v>
      </c>
      <c r="H403" s="25">
        <v>0</v>
      </c>
      <c r="I403" s="28">
        <v>46303</v>
      </c>
      <c r="J403" t="s">
        <v>513</v>
      </c>
      <c r="K403" t="s">
        <v>514</v>
      </c>
    </row>
    <row r="404" spans="1:11" hidden="1">
      <c r="A404" s="28">
        <v>46303</v>
      </c>
      <c r="B404" t="s">
        <v>185</v>
      </c>
      <c r="C404" t="s">
        <v>202</v>
      </c>
      <c r="D404" t="s">
        <v>217</v>
      </c>
      <c r="E404">
        <f>IF(LEFT(D404,6)="CLIENT",IFERROR(VLOOKUP(C404,Config_Carteiras!$A:$B,2,FALSE),1),"")</f>
        <v>1</v>
      </c>
      <c r="F404" s="25">
        <v>205</v>
      </c>
      <c r="G404" s="28">
        <f>IF(LEFT(D404,6)="CLIENT",IF(E404=0,WORKDAY(A404-1,1,Dias_Sem_Compensacao!$A$2:$A$500),WORKDAY(A404,E404,Dias_Sem_Compensacao!$A$2:$A$500)),"")</f>
        <v>46304</v>
      </c>
      <c r="H404" s="25">
        <v>0</v>
      </c>
      <c r="I404" s="28">
        <v>46303</v>
      </c>
      <c r="J404" t="s">
        <v>515</v>
      </c>
      <c r="K404" t="s">
        <v>516</v>
      </c>
    </row>
    <row r="405" spans="1:11" hidden="1">
      <c r="A405" s="28">
        <v>46303</v>
      </c>
      <c r="B405" t="s">
        <v>185</v>
      </c>
      <c r="C405" t="s">
        <v>202</v>
      </c>
      <c r="D405" t="s">
        <v>217</v>
      </c>
      <c r="E405">
        <f>IF(LEFT(D405,6)="CLIENT",IFERROR(VLOOKUP(C405,Config_Carteiras!$A:$B,2,FALSE),1),"")</f>
        <v>1</v>
      </c>
      <c r="F405" s="25">
        <v>1350</v>
      </c>
      <c r="G405" s="28">
        <f>IF(LEFT(D405,6)="CLIENT",IF(E405=0,WORKDAY(A405-1,1,Dias_Sem_Compensacao!$A$2:$A$500),WORKDAY(A405,E405,Dias_Sem_Compensacao!$A$2:$A$500)),"")</f>
        <v>46304</v>
      </c>
      <c r="H405" s="25">
        <v>0</v>
      </c>
      <c r="I405" s="28">
        <v>46303</v>
      </c>
      <c r="J405" t="s">
        <v>517</v>
      </c>
      <c r="K405" t="s">
        <v>518</v>
      </c>
    </row>
    <row r="406" spans="1:11" hidden="1">
      <c r="A406" s="28">
        <v>46303</v>
      </c>
      <c r="B406" t="s">
        <v>185</v>
      </c>
      <c r="C406" t="s">
        <v>202</v>
      </c>
      <c r="D406" t="s">
        <v>217</v>
      </c>
      <c r="E406">
        <f>IF(LEFT(D406,6)="CLIENT",IFERROR(VLOOKUP(C406,Config_Carteiras!$A:$B,2,FALSE),1),"")</f>
        <v>1</v>
      </c>
      <c r="F406" s="25">
        <v>3975</v>
      </c>
      <c r="G406" s="28">
        <f>IF(LEFT(D406,6)="CLIENT",IF(E406=0,WORKDAY(A406-1,1,Dias_Sem_Compensacao!$A$2:$A$500),WORKDAY(A406,E406,Dias_Sem_Compensacao!$A$2:$A$500)),"")</f>
        <v>46304</v>
      </c>
      <c r="H406" s="25">
        <v>0</v>
      </c>
      <c r="I406" s="28">
        <v>46303</v>
      </c>
      <c r="J406" t="s">
        <v>519</v>
      </c>
      <c r="K406" t="s">
        <v>520</v>
      </c>
    </row>
    <row r="407" spans="1:11" hidden="1">
      <c r="A407" s="28">
        <v>46303</v>
      </c>
      <c r="B407" t="s">
        <v>185</v>
      </c>
      <c r="C407" t="s">
        <v>202</v>
      </c>
      <c r="D407" t="s">
        <v>217</v>
      </c>
      <c r="E407">
        <f>IF(LEFT(D407,6)="CLIENT",IFERROR(VLOOKUP(C407,Config_Carteiras!$A:$B,2,FALSE),1),"")</f>
        <v>1</v>
      </c>
      <c r="F407" s="25">
        <v>1029.5899999999999</v>
      </c>
      <c r="G407" s="28">
        <f>IF(LEFT(D407,6)="CLIENT",IF(E407=0,WORKDAY(A407-1,1,Dias_Sem_Compensacao!$A$2:$A$500),WORKDAY(A407,E407,Dias_Sem_Compensacao!$A$2:$A$500)),"")</f>
        <v>46304</v>
      </c>
      <c r="H407" s="25">
        <v>0</v>
      </c>
      <c r="I407" s="28">
        <v>46303</v>
      </c>
      <c r="J407" t="s">
        <v>521</v>
      </c>
      <c r="K407" t="s">
        <v>522</v>
      </c>
    </row>
    <row r="408" spans="1:11" hidden="1">
      <c r="A408" s="28">
        <v>46303</v>
      </c>
      <c r="B408" t="s">
        <v>185</v>
      </c>
      <c r="C408" t="s">
        <v>202</v>
      </c>
      <c r="D408" t="s">
        <v>217</v>
      </c>
      <c r="E408">
        <f>IF(LEFT(D408,6)="CLIENT",IFERROR(VLOOKUP(C408,Config_Carteiras!$A:$B,2,FALSE),1),"")</f>
        <v>1</v>
      </c>
      <c r="F408" s="25">
        <v>499.5</v>
      </c>
      <c r="G408" s="28">
        <f>IF(LEFT(D408,6)="CLIENT",IF(E408=0,WORKDAY(A408-1,1,Dias_Sem_Compensacao!$A$2:$A$500),WORKDAY(A408,E408,Dias_Sem_Compensacao!$A$2:$A$500)),"")</f>
        <v>46304</v>
      </c>
      <c r="H408" s="25">
        <v>0</v>
      </c>
      <c r="I408" s="28">
        <v>46303</v>
      </c>
      <c r="J408" t="s">
        <v>776</v>
      </c>
      <c r="K408" t="s">
        <v>777</v>
      </c>
    </row>
    <row r="409" spans="1:11" hidden="1">
      <c r="A409" s="28">
        <v>46303</v>
      </c>
      <c r="B409" t="s">
        <v>185</v>
      </c>
      <c r="C409" t="s">
        <v>202</v>
      </c>
      <c r="D409" t="s">
        <v>217</v>
      </c>
      <c r="E409">
        <f>IF(LEFT(D409,6)="CLIENT",IFERROR(VLOOKUP(C409,Config_Carteiras!$A:$B,2,FALSE),1),"")</f>
        <v>1</v>
      </c>
      <c r="F409" s="25">
        <v>1260</v>
      </c>
      <c r="G409" s="28">
        <f>IF(LEFT(D409,6)="CLIENT",IF(E409=0,WORKDAY(A409-1,1,Dias_Sem_Compensacao!$A$2:$A$500),WORKDAY(A409,E409,Dias_Sem_Compensacao!$A$2:$A$500)),"")</f>
        <v>46304</v>
      </c>
      <c r="H409" s="25">
        <v>0</v>
      </c>
      <c r="I409" s="28">
        <v>46303</v>
      </c>
      <c r="J409" t="s">
        <v>527</v>
      </c>
      <c r="K409" t="s">
        <v>528</v>
      </c>
    </row>
    <row r="410" spans="1:11" hidden="1">
      <c r="A410" s="28">
        <v>46303</v>
      </c>
      <c r="B410" t="s">
        <v>185</v>
      </c>
      <c r="C410" t="s">
        <v>202</v>
      </c>
      <c r="D410" t="s">
        <v>217</v>
      </c>
      <c r="E410">
        <f>IF(LEFT(D410,6)="CLIENT",IFERROR(VLOOKUP(C410,Config_Carteiras!$A:$B,2,FALSE),1),"")</f>
        <v>1</v>
      </c>
      <c r="F410" s="25">
        <v>1450</v>
      </c>
      <c r="G410" s="28">
        <f>IF(LEFT(D410,6)="CLIENT",IF(E410=0,WORKDAY(A410-1,1,Dias_Sem_Compensacao!$A$2:$A$500),WORKDAY(A410,E410,Dias_Sem_Compensacao!$A$2:$A$500)),"")</f>
        <v>46304</v>
      </c>
      <c r="H410" s="25">
        <v>0</v>
      </c>
      <c r="I410" s="28">
        <v>46303</v>
      </c>
      <c r="J410" t="s">
        <v>778</v>
      </c>
      <c r="K410" t="s">
        <v>779</v>
      </c>
    </row>
    <row r="411" spans="1:11" hidden="1">
      <c r="A411" s="28">
        <v>46303</v>
      </c>
      <c r="B411" t="s">
        <v>185</v>
      </c>
      <c r="C411" t="s">
        <v>202</v>
      </c>
      <c r="D411" t="s">
        <v>217</v>
      </c>
      <c r="E411">
        <f>IF(LEFT(D411,6)="CLIENT",IFERROR(VLOOKUP(C411,Config_Carteiras!$A:$B,2,FALSE),1),"")</f>
        <v>1</v>
      </c>
      <c r="F411" s="25">
        <v>15670</v>
      </c>
      <c r="G411" s="28">
        <f>IF(LEFT(D411,6)="CLIENT",IF(E411=0,WORKDAY(A411-1,1,Dias_Sem_Compensacao!$A$2:$A$500),WORKDAY(A411,E411,Dias_Sem_Compensacao!$A$2:$A$500)),"")</f>
        <v>46304</v>
      </c>
      <c r="H411" s="25">
        <v>0</v>
      </c>
      <c r="I411" s="28">
        <v>46303</v>
      </c>
      <c r="J411" t="s">
        <v>169</v>
      </c>
      <c r="K411" t="s">
        <v>531</v>
      </c>
    </row>
    <row r="412" spans="1:11" hidden="1">
      <c r="A412" s="28">
        <v>46303</v>
      </c>
      <c r="B412" t="s">
        <v>185</v>
      </c>
      <c r="C412" t="s">
        <v>202</v>
      </c>
      <c r="D412" t="s">
        <v>217</v>
      </c>
      <c r="E412">
        <f>IF(LEFT(D412,6)="CLIENT",IFERROR(VLOOKUP(C412,Config_Carteiras!$A:$B,2,FALSE),1),"")</f>
        <v>1</v>
      </c>
      <c r="F412" s="25">
        <v>2084</v>
      </c>
      <c r="G412" s="28">
        <f>IF(LEFT(D412,6)="CLIENT",IF(E412=0,WORKDAY(A412-1,1,Dias_Sem_Compensacao!$A$2:$A$500),WORKDAY(A412,E412,Dias_Sem_Compensacao!$A$2:$A$500)),"")</f>
        <v>46304</v>
      </c>
      <c r="H412" s="25">
        <v>0</v>
      </c>
      <c r="I412" s="28">
        <v>46303</v>
      </c>
      <c r="K412" t="s">
        <v>532</v>
      </c>
    </row>
    <row r="413" spans="1:11" hidden="1">
      <c r="A413" s="28">
        <v>46303</v>
      </c>
      <c r="B413" t="s">
        <v>185</v>
      </c>
      <c r="C413" t="s">
        <v>202</v>
      </c>
      <c r="D413" t="s">
        <v>217</v>
      </c>
      <c r="E413">
        <f>IF(LEFT(D413,6)="CLIENT",IFERROR(VLOOKUP(C413,Config_Carteiras!$A:$B,2,FALSE),1),"")</f>
        <v>1</v>
      </c>
      <c r="F413" s="25">
        <v>2468</v>
      </c>
      <c r="G413" s="28">
        <f>IF(LEFT(D413,6)="CLIENT",IF(E413=0,WORKDAY(A413-1,1,Dias_Sem_Compensacao!$A$2:$A$500),WORKDAY(A413,E413,Dias_Sem_Compensacao!$A$2:$A$500)),"")</f>
        <v>46304</v>
      </c>
      <c r="H413" s="25">
        <v>0</v>
      </c>
      <c r="I413" s="28">
        <v>46303</v>
      </c>
      <c r="J413" t="s">
        <v>533</v>
      </c>
      <c r="K413" t="s">
        <v>534</v>
      </c>
    </row>
    <row r="414" spans="1:11" hidden="1">
      <c r="A414" s="28">
        <v>46303</v>
      </c>
      <c r="B414" t="s">
        <v>185</v>
      </c>
      <c r="C414" t="s">
        <v>202</v>
      </c>
      <c r="D414" t="s">
        <v>217</v>
      </c>
      <c r="E414">
        <f>IF(LEFT(D414,6)="CLIENT",IFERROR(VLOOKUP(C414,Config_Carteiras!$A:$B,2,FALSE),1),"")</f>
        <v>1</v>
      </c>
      <c r="F414" s="25">
        <v>682</v>
      </c>
      <c r="G414" s="28">
        <f>IF(LEFT(D414,6)="CLIENT",IF(E414=0,WORKDAY(A414-1,1,Dias_Sem_Compensacao!$A$2:$A$500),WORKDAY(A414,E414,Dias_Sem_Compensacao!$A$2:$A$500)),"")</f>
        <v>46304</v>
      </c>
      <c r="H414" s="25">
        <v>0</v>
      </c>
      <c r="I414" s="28">
        <v>46303</v>
      </c>
      <c r="J414" t="s">
        <v>535</v>
      </c>
      <c r="K414" t="s">
        <v>536</v>
      </c>
    </row>
    <row r="415" spans="1:11" hidden="1">
      <c r="A415" s="28">
        <v>46303</v>
      </c>
      <c r="B415" t="s">
        <v>185</v>
      </c>
      <c r="C415" t="s">
        <v>202</v>
      </c>
      <c r="D415" t="s">
        <v>217</v>
      </c>
      <c r="E415">
        <f>IF(LEFT(D415,6)="CLIENT",IFERROR(VLOOKUP(C415,Config_Carteiras!$A:$B,2,FALSE),1),"")</f>
        <v>1</v>
      </c>
      <c r="F415" s="25">
        <v>751</v>
      </c>
      <c r="G415" s="28">
        <f>IF(LEFT(D415,6)="CLIENT",IF(E415=0,WORKDAY(A415-1,1,Dias_Sem_Compensacao!$A$2:$A$500),WORKDAY(A415,E415,Dias_Sem_Compensacao!$A$2:$A$500)),"")</f>
        <v>46304</v>
      </c>
      <c r="H415" s="25">
        <v>0</v>
      </c>
      <c r="I415" s="28">
        <v>46303</v>
      </c>
      <c r="J415" t="s">
        <v>780</v>
      </c>
      <c r="K415" t="s">
        <v>781</v>
      </c>
    </row>
    <row r="416" spans="1:11" hidden="1">
      <c r="A416" s="28">
        <v>46303</v>
      </c>
      <c r="B416" t="s">
        <v>185</v>
      </c>
      <c r="C416" t="s">
        <v>202</v>
      </c>
      <c r="D416" t="s">
        <v>217</v>
      </c>
      <c r="E416">
        <f>IF(LEFT(D416,6)="CLIENT",IFERROR(VLOOKUP(C416,Config_Carteiras!$A:$B,2,FALSE),1),"")</f>
        <v>1</v>
      </c>
      <c r="F416" s="25">
        <v>1975.99</v>
      </c>
      <c r="G416" s="28">
        <f>IF(LEFT(D416,6)="CLIENT",IF(E416=0,WORKDAY(A416-1,1,Dias_Sem_Compensacao!$A$2:$A$500),WORKDAY(A416,E416,Dias_Sem_Compensacao!$A$2:$A$500)),"")</f>
        <v>46304</v>
      </c>
      <c r="H416" s="25">
        <v>0</v>
      </c>
      <c r="I416" s="28">
        <v>46303</v>
      </c>
      <c r="J416" t="s">
        <v>537</v>
      </c>
      <c r="K416" t="s">
        <v>538</v>
      </c>
    </row>
    <row r="417" spans="1:11" hidden="1">
      <c r="A417" s="28">
        <v>46304</v>
      </c>
      <c r="B417" t="s">
        <v>185</v>
      </c>
      <c r="C417" t="s">
        <v>202</v>
      </c>
      <c r="D417" t="s">
        <v>217</v>
      </c>
      <c r="E417">
        <f>IF(LEFT(D417,6)="CLIENT",IFERROR(VLOOKUP(C417,Config_Carteiras!$A:$B,2,FALSE),1),"")</f>
        <v>1</v>
      </c>
      <c r="F417" s="25">
        <v>600</v>
      </c>
      <c r="G417" s="28">
        <f>IF(LEFT(D417,6)="CLIENT",IF(E417=0,WORKDAY(A417-1,1,Dias_Sem_Compensacao!$A$2:$A$500),WORKDAY(A417,E417,Dias_Sem_Compensacao!$A$2:$A$500)),"")</f>
        <v>46307</v>
      </c>
      <c r="H417" s="25">
        <v>0</v>
      </c>
      <c r="I417" s="28">
        <v>46304</v>
      </c>
      <c r="J417" t="s">
        <v>539</v>
      </c>
      <c r="K417" t="s">
        <v>540</v>
      </c>
    </row>
    <row r="418" spans="1:11" hidden="1">
      <c r="A418" s="28">
        <v>46304</v>
      </c>
      <c r="B418" t="s">
        <v>185</v>
      </c>
      <c r="C418" t="s">
        <v>202</v>
      </c>
      <c r="D418" t="s">
        <v>217</v>
      </c>
      <c r="E418">
        <f>IF(LEFT(D418,6)="CLIENT",IFERROR(VLOOKUP(C418,Config_Carteiras!$A:$B,2,FALSE),1),"")</f>
        <v>1</v>
      </c>
      <c r="F418" s="25">
        <v>672</v>
      </c>
      <c r="G418" s="28">
        <f>IF(LEFT(D418,6)="CLIENT",IF(E418=0,WORKDAY(A418-1,1,Dias_Sem_Compensacao!$A$2:$A$500),WORKDAY(A418,E418,Dias_Sem_Compensacao!$A$2:$A$500)),"")</f>
        <v>46307</v>
      </c>
      <c r="H418" s="25">
        <v>0</v>
      </c>
      <c r="I418" s="28">
        <v>46304</v>
      </c>
      <c r="J418" t="s">
        <v>232</v>
      </c>
      <c r="K418" t="s">
        <v>236</v>
      </c>
    </row>
    <row r="419" spans="1:11" hidden="1">
      <c r="A419" s="28">
        <v>46304</v>
      </c>
      <c r="B419" t="s">
        <v>185</v>
      </c>
      <c r="C419" t="s">
        <v>202</v>
      </c>
      <c r="D419" t="s">
        <v>217</v>
      </c>
      <c r="E419">
        <f>IF(LEFT(D419,6)="CLIENT",IFERROR(VLOOKUP(C419,Config_Carteiras!$A:$B,2,FALSE),1),"")</f>
        <v>1</v>
      </c>
      <c r="F419" s="25">
        <v>284.12</v>
      </c>
      <c r="G419" s="28">
        <f>IF(LEFT(D419,6)="CLIENT",IF(E419=0,WORKDAY(A419-1,1,Dias_Sem_Compensacao!$A$2:$A$500),WORKDAY(A419,E419,Dias_Sem_Compensacao!$A$2:$A$500)),"")</f>
        <v>46307</v>
      </c>
      <c r="H419" s="25">
        <v>0</v>
      </c>
      <c r="I419" s="28">
        <v>46304</v>
      </c>
      <c r="J419" t="s">
        <v>399</v>
      </c>
      <c r="K419" t="s">
        <v>547</v>
      </c>
    </row>
    <row r="420" spans="1:11" hidden="1">
      <c r="A420" s="28">
        <v>46304</v>
      </c>
      <c r="B420" t="s">
        <v>185</v>
      </c>
      <c r="C420" t="s">
        <v>202</v>
      </c>
      <c r="D420" t="s">
        <v>217</v>
      </c>
      <c r="E420">
        <f>IF(LEFT(D420,6)="CLIENT",IFERROR(VLOOKUP(C420,Config_Carteiras!$A:$B,2,FALSE),1),"")</f>
        <v>1</v>
      </c>
      <c r="F420" s="25">
        <v>1394</v>
      </c>
      <c r="G420" s="28">
        <f>IF(LEFT(D420,6)="CLIENT",IF(E420=0,WORKDAY(A420-1,1,Dias_Sem_Compensacao!$A$2:$A$500),WORKDAY(A420,E420,Dias_Sem_Compensacao!$A$2:$A$500)),"")</f>
        <v>46307</v>
      </c>
      <c r="H420" s="25">
        <v>0</v>
      </c>
      <c r="I420" s="28">
        <v>46304</v>
      </c>
      <c r="J420" t="s">
        <v>550</v>
      </c>
      <c r="K420" t="s">
        <v>551</v>
      </c>
    </row>
    <row r="421" spans="1:11" hidden="1">
      <c r="A421" s="28">
        <v>46304</v>
      </c>
      <c r="B421" t="s">
        <v>185</v>
      </c>
      <c r="C421" t="s">
        <v>202</v>
      </c>
      <c r="D421" t="s">
        <v>217</v>
      </c>
      <c r="E421">
        <f>IF(LEFT(D421,6)="CLIENT",IFERROR(VLOOKUP(C421,Config_Carteiras!$A:$B,2,FALSE),1),"")</f>
        <v>1</v>
      </c>
      <c r="F421" s="25">
        <v>7233</v>
      </c>
      <c r="G421" s="28">
        <f>IF(LEFT(D421,6)="CLIENT",IF(E421=0,WORKDAY(A421-1,1,Dias_Sem_Compensacao!$A$2:$A$500),WORKDAY(A421,E421,Dias_Sem_Compensacao!$A$2:$A$500)),"")</f>
        <v>46307</v>
      </c>
      <c r="H421" s="25">
        <v>0</v>
      </c>
      <c r="I421" s="28">
        <v>46304</v>
      </c>
      <c r="J421" t="s">
        <v>782</v>
      </c>
      <c r="K421" t="s">
        <v>783</v>
      </c>
    </row>
    <row r="422" spans="1:11" hidden="1">
      <c r="A422" s="28">
        <v>46304</v>
      </c>
      <c r="B422" t="s">
        <v>185</v>
      </c>
      <c r="C422" t="s">
        <v>202</v>
      </c>
      <c r="D422" t="s">
        <v>217</v>
      </c>
      <c r="E422">
        <f>IF(LEFT(D422,6)="CLIENT",IFERROR(VLOOKUP(C422,Config_Carteiras!$A:$B,2,FALSE),1),"")</f>
        <v>1</v>
      </c>
      <c r="F422" s="25">
        <v>350</v>
      </c>
      <c r="G422" s="28">
        <f>IF(LEFT(D422,6)="CLIENT",IF(E422=0,WORKDAY(A422-1,1,Dias_Sem_Compensacao!$A$2:$A$500),WORKDAY(A422,E422,Dias_Sem_Compensacao!$A$2:$A$500)),"")</f>
        <v>46307</v>
      </c>
      <c r="H422" s="25">
        <v>0</v>
      </c>
      <c r="I422" s="28">
        <v>46304</v>
      </c>
      <c r="J422" t="s">
        <v>552</v>
      </c>
      <c r="K422" t="s">
        <v>553</v>
      </c>
    </row>
    <row r="423" spans="1:11" hidden="1">
      <c r="A423" s="28">
        <v>46304</v>
      </c>
      <c r="B423" t="s">
        <v>185</v>
      </c>
      <c r="C423" t="s">
        <v>202</v>
      </c>
      <c r="D423" t="s">
        <v>217</v>
      </c>
      <c r="E423">
        <f>IF(LEFT(D423,6)="CLIENT",IFERROR(VLOOKUP(C423,Config_Carteiras!$A:$B,2,FALSE),1),"")</f>
        <v>1</v>
      </c>
      <c r="F423" s="25">
        <v>351.1</v>
      </c>
      <c r="G423" s="28">
        <f>IF(LEFT(D423,6)="CLIENT",IF(E423=0,WORKDAY(A423-1,1,Dias_Sem_Compensacao!$A$2:$A$500),WORKDAY(A423,E423,Dias_Sem_Compensacao!$A$2:$A$500)),"")</f>
        <v>46307</v>
      </c>
      <c r="H423" s="25">
        <v>0</v>
      </c>
      <c r="I423" s="28">
        <v>46304</v>
      </c>
      <c r="J423" t="s">
        <v>784</v>
      </c>
      <c r="K423" t="s">
        <v>785</v>
      </c>
    </row>
    <row r="424" spans="1:11" hidden="1">
      <c r="A424" s="28">
        <v>46304</v>
      </c>
      <c r="B424" t="s">
        <v>185</v>
      </c>
      <c r="C424" t="s">
        <v>202</v>
      </c>
      <c r="D424" t="s">
        <v>217</v>
      </c>
      <c r="E424">
        <f>IF(LEFT(D424,6)="CLIENT",IFERROR(VLOOKUP(C424,Config_Carteiras!$A:$B,2,FALSE),1),"")</f>
        <v>1</v>
      </c>
      <c r="F424" s="25">
        <v>328.5</v>
      </c>
      <c r="G424" s="28">
        <f>IF(LEFT(D424,6)="CLIENT",IF(E424=0,WORKDAY(A424-1,1,Dias_Sem_Compensacao!$A$2:$A$500),WORKDAY(A424,E424,Dias_Sem_Compensacao!$A$2:$A$500)),"")</f>
        <v>46307</v>
      </c>
      <c r="H424" s="25">
        <v>0</v>
      </c>
      <c r="I424" s="28">
        <v>46304</v>
      </c>
      <c r="J424" t="s">
        <v>786</v>
      </c>
      <c r="K424" t="s">
        <v>787</v>
      </c>
    </row>
    <row r="425" spans="1:11" hidden="1">
      <c r="A425" s="28">
        <v>46304</v>
      </c>
      <c r="B425" t="s">
        <v>185</v>
      </c>
      <c r="C425" t="s">
        <v>202</v>
      </c>
      <c r="D425" t="s">
        <v>217</v>
      </c>
      <c r="E425">
        <f>IF(LEFT(D425,6)="CLIENT",IFERROR(VLOOKUP(C425,Config_Carteiras!$A:$B,2,FALSE),1),"")</f>
        <v>1</v>
      </c>
      <c r="F425" s="25">
        <v>1330</v>
      </c>
      <c r="G425" s="28">
        <f>IF(LEFT(D425,6)="CLIENT",IF(E425=0,WORKDAY(A425-1,1,Dias_Sem_Compensacao!$A$2:$A$500),WORKDAY(A425,E425,Dias_Sem_Compensacao!$A$2:$A$500)),"")</f>
        <v>46307</v>
      </c>
      <c r="H425" s="25">
        <v>0</v>
      </c>
      <c r="I425" s="28">
        <v>46304</v>
      </c>
      <c r="J425" t="s">
        <v>788</v>
      </c>
      <c r="K425" t="s">
        <v>789</v>
      </c>
    </row>
    <row r="426" spans="1:11" hidden="1">
      <c r="A426" s="28">
        <v>46304</v>
      </c>
      <c r="B426" t="s">
        <v>185</v>
      </c>
      <c r="C426" t="s">
        <v>202</v>
      </c>
      <c r="D426" t="s">
        <v>217</v>
      </c>
      <c r="E426">
        <f>IF(LEFT(D426,6)="CLIENT",IFERROR(VLOOKUP(C426,Config_Carteiras!$A:$B,2,FALSE),1),"")</f>
        <v>1</v>
      </c>
      <c r="F426" s="25">
        <v>933</v>
      </c>
      <c r="G426" s="28">
        <f>IF(LEFT(D426,6)="CLIENT",IF(E426=0,WORKDAY(A426-1,1,Dias_Sem_Compensacao!$A$2:$A$500),WORKDAY(A426,E426,Dias_Sem_Compensacao!$A$2:$A$500)),"")</f>
        <v>46307</v>
      </c>
      <c r="H426" s="25">
        <v>0</v>
      </c>
      <c r="I426" s="28">
        <v>46304</v>
      </c>
      <c r="J426" t="s">
        <v>562</v>
      </c>
      <c r="K426" t="s">
        <v>563</v>
      </c>
    </row>
    <row r="427" spans="1:11" hidden="1">
      <c r="A427" s="28">
        <v>46304</v>
      </c>
      <c r="B427" t="s">
        <v>185</v>
      </c>
      <c r="C427" t="s">
        <v>202</v>
      </c>
      <c r="D427" t="s">
        <v>217</v>
      </c>
      <c r="E427">
        <f>IF(LEFT(D427,6)="CLIENT",IFERROR(VLOOKUP(C427,Config_Carteiras!$A:$B,2,FALSE),1),"")</f>
        <v>1</v>
      </c>
      <c r="F427" s="25">
        <v>398.8</v>
      </c>
      <c r="G427" s="28">
        <f>IF(LEFT(D427,6)="CLIENT",IF(E427=0,WORKDAY(A427-1,1,Dias_Sem_Compensacao!$A$2:$A$500),WORKDAY(A427,E427,Dias_Sem_Compensacao!$A$2:$A$500)),"")</f>
        <v>46307</v>
      </c>
      <c r="H427" s="25">
        <v>0</v>
      </c>
      <c r="I427" s="28">
        <v>46304</v>
      </c>
      <c r="J427" t="s">
        <v>564</v>
      </c>
      <c r="K427" t="s">
        <v>565</v>
      </c>
    </row>
    <row r="428" spans="1:11" hidden="1">
      <c r="A428" s="28">
        <v>46304</v>
      </c>
      <c r="B428" t="s">
        <v>185</v>
      </c>
      <c r="C428" t="s">
        <v>202</v>
      </c>
      <c r="D428" t="s">
        <v>217</v>
      </c>
      <c r="E428">
        <f>IF(LEFT(D428,6)="CLIENT",IFERROR(VLOOKUP(C428,Config_Carteiras!$A:$B,2,FALSE),1),"")</f>
        <v>1</v>
      </c>
      <c r="F428" s="25">
        <v>439</v>
      </c>
      <c r="G428" s="28">
        <f>IF(LEFT(D428,6)="CLIENT",IF(E428=0,WORKDAY(A428-1,1,Dias_Sem_Compensacao!$A$2:$A$500),WORKDAY(A428,E428,Dias_Sem_Compensacao!$A$2:$A$500)),"")</f>
        <v>46307</v>
      </c>
      <c r="H428" s="25">
        <v>0</v>
      </c>
      <c r="I428" s="28">
        <v>46304</v>
      </c>
      <c r="J428" t="s">
        <v>568</v>
      </c>
      <c r="K428" t="s">
        <v>569</v>
      </c>
    </row>
    <row r="429" spans="1:11" hidden="1">
      <c r="A429" s="28">
        <v>46304</v>
      </c>
      <c r="B429" t="s">
        <v>185</v>
      </c>
      <c r="C429" t="s">
        <v>202</v>
      </c>
      <c r="D429" t="s">
        <v>217</v>
      </c>
      <c r="E429">
        <f>IF(LEFT(D429,6)="CLIENT",IFERROR(VLOOKUP(C429,Config_Carteiras!$A:$B,2,FALSE),1),"")</f>
        <v>1</v>
      </c>
      <c r="F429" s="25">
        <v>369.5</v>
      </c>
      <c r="G429" s="28">
        <f>IF(LEFT(D429,6)="CLIENT",IF(E429=0,WORKDAY(A429-1,1,Dias_Sem_Compensacao!$A$2:$A$500),WORKDAY(A429,E429,Dias_Sem_Compensacao!$A$2:$A$500)),"")</f>
        <v>46307</v>
      </c>
      <c r="H429" s="25">
        <v>0</v>
      </c>
      <c r="I429" s="28">
        <v>46304</v>
      </c>
      <c r="J429" t="s">
        <v>790</v>
      </c>
      <c r="K429" t="s">
        <v>791</v>
      </c>
    </row>
    <row r="430" spans="1:11" hidden="1">
      <c r="A430" s="28">
        <v>46304</v>
      </c>
      <c r="B430" t="s">
        <v>185</v>
      </c>
      <c r="C430" t="s">
        <v>202</v>
      </c>
      <c r="D430" t="s">
        <v>217</v>
      </c>
      <c r="E430">
        <f>IF(LEFT(D430,6)="CLIENT",IFERROR(VLOOKUP(C430,Config_Carteiras!$A:$B,2,FALSE),1),"")</f>
        <v>1</v>
      </c>
      <c r="F430" s="25">
        <v>372.5</v>
      </c>
      <c r="G430" s="28">
        <f>IF(LEFT(D430,6)="CLIENT",IF(E430=0,WORKDAY(A430-1,1,Dias_Sem_Compensacao!$A$2:$A$500),WORKDAY(A430,E430,Dias_Sem_Compensacao!$A$2:$A$500)),"")</f>
        <v>46307</v>
      </c>
      <c r="H430" s="25">
        <v>0</v>
      </c>
      <c r="I430" s="28">
        <v>46304</v>
      </c>
      <c r="J430" t="s">
        <v>792</v>
      </c>
      <c r="K430" t="s">
        <v>793</v>
      </c>
    </row>
    <row r="431" spans="1:11" hidden="1">
      <c r="A431" s="28">
        <v>46304</v>
      </c>
      <c r="B431" t="s">
        <v>185</v>
      </c>
      <c r="C431" t="s">
        <v>202</v>
      </c>
      <c r="D431" t="s">
        <v>217</v>
      </c>
      <c r="E431">
        <f>IF(LEFT(D431,6)="CLIENT",IFERROR(VLOOKUP(C431,Config_Carteiras!$A:$B,2,FALSE),1),"")</f>
        <v>1</v>
      </c>
      <c r="F431" s="25">
        <v>1050</v>
      </c>
      <c r="G431" s="28">
        <f>IF(LEFT(D431,6)="CLIENT",IF(E431=0,WORKDAY(A431-1,1,Dias_Sem_Compensacao!$A$2:$A$500),WORKDAY(A431,E431,Dias_Sem_Compensacao!$A$2:$A$500)),"")</f>
        <v>46307</v>
      </c>
      <c r="H431" s="25">
        <v>0</v>
      </c>
      <c r="I431" s="28">
        <v>46304</v>
      </c>
      <c r="J431" t="s">
        <v>371</v>
      </c>
      <c r="K431" t="s">
        <v>572</v>
      </c>
    </row>
    <row r="432" spans="1:11" hidden="1">
      <c r="A432" s="28">
        <v>46304</v>
      </c>
      <c r="B432" t="s">
        <v>185</v>
      </c>
      <c r="C432" t="s">
        <v>202</v>
      </c>
      <c r="D432" t="s">
        <v>217</v>
      </c>
      <c r="E432">
        <f>IF(LEFT(D432,6)="CLIENT",IFERROR(VLOOKUP(C432,Config_Carteiras!$A:$B,2,FALSE),1),"")</f>
        <v>1</v>
      </c>
      <c r="F432" s="25">
        <v>2770</v>
      </c>
      <c r="G432" s="28">
        <f>IF(LEFT(D432,6)="CLIENT",IF(E432=0,WORKDAY(A432-1,1,Dias_Sem_Compensacao!$A$2:$A$500),WORKDAY(A432,E432,Dias_Sem_Compensacao!$A$2:$A$500)),"")</f>
        <v>46307</v>
      </c>
      <c r="H432" s="25">
        <v>0</v>
      </c>
      <c r="I432" s="28">
        <v>46304</v>
      </c>
      <c r="J432" t="s">
        <v>573</v>
      </c>
      <c r="K432" t="s">
        <v>574</v>
      </c>
    </row>
    <row r="433" spans="1:11" hidden="1">
      <c r="A433" s="28">
        <v>46308</v>
      </c>
      <c r="B433" t="s">
        <v>185</v>
      </c>
      <c r="C433" t="s">
        <v>202</v>
      </c>
      <c r="D433" t="s">
        <v>217</v>
      </c>
      <c r="E433">
        <f>IF(LEFT(D433,6)="CLIENT",IFERROR(VLOOKUP(C433,Config_Carteiras!$A:$B,2,FALSE),1),"")</f>
        <v>1</v>
      </c>
      <c r="F433" s="25">
        <v>495.5</v>
      </c>
      <c r="G433" s="28">
        <f>IF(LEFT(D433,6)="CLIENT",IF(E433=0,WORKDAY(A433-1,1,Dias_Sem_Compensacao!$A$2:$A$500),WORKDAY(A433,E433,Dias_Sem_Compensacao!$A$2:$A$500)),"")</f>
        <v>46309</v>
      </c>
      <c r="H433" s="25">
        <v>0</v>
      </c>
      <c r="I433" s="28">
        <v>46308</v>
      </c>
      <c r="J433" t="s">
        <v>640</v>
      </c>
      <c r="K433" t="s">
        <v>641</v>
      </c>
    </row>
    <row r="434" spans="1:11" hidden="1">
      <c r="A434" s="28">
        <v>46308</v>
      </c>
      <c r="B434" t="s">
        <v>185</v>
      </c>
      <c r="C434" t="s">
        <v>202</v>
      </c>
      <c r="D434" t="s">
        <v>217</v>
      </c>
      <c r="E434">
        <f>IF(LEFT(D434,6)="CLIENT",IFERROR(VLOOKUP(C434,Config_Carteiras!$A:$B,2,FALSE),1),"")</f>
        <v>1</v>
      </c>
      <c r="F434" s="25">
        <v>385</v>
      </c>
      <c r="G434" s="28">
        <f>IF(LEFT(D434,6)="CLIENT",IF(E434=0,WORKDAY(A434-1,1,Dias_Sem_Compensacao!$A$2:$A$500),WORKDAY(A434,E434,Dias_Sem_Compensacao!$A$2:$A$500)),"")</f>
        <v>46309</v>
      </c>
      <c r="H434" s="25">
        <v>0</v>
      </c>
      <c r="I434" s="28">
        <v>46308</v>
      </c>
      <c r="J434" t="s">
        <v>642</v>
      </c>
      <c r="K434" t="s">
        <v>643</v>
      </c>
    </row>
    <row r="435" spans="1:11" hidden="1">
      <c r="A435" s="28">
        <v>46308</v>
      </c>
      <c r="B435" t="s">
        <v>185</v>
      </c>
      <c r="C435" t="s">
        <v>202</v>
      </c>
      <c r="D435" t="s">
        <v>217</v>
      </c>
      <c r="E435">
        <f>IF(LEFT(D435,6)="CLIENT",IFERROR(VLOOKUP(C435,Config_Carteiras!$A:$B,2,FALSE),1),"")</f>
        <v>1</v>
      </c>
      <c r="F435" s="25">
        <v>666</v>
      </c>
      <c r="G435" s="28">
        <f>IF(LEFT(D435,6)="CLIENT",IF(E435=0,WORKDAY(A435-1,1,Dias_Sem_Compensacao!$A$2:$A$500),WORKDAY(A435,E435,Dias_Sem_Compensacao!$A$2:$A$500)),"")</f>
        <v>46309</v>
      </c>
      <c r="H435" s="25">
        <v>0</v>
      </c>
      <c r="I435" s="28">
        <v>46308</v>
      </c>
      <c r="J435" t="s">
        <v>253</v>
      </c>
      <c r="K435" t="s">
        <v>575</v>
      </c>
    </row>
    <row r="436" spans="1:11" hidden="1">
      <c r="A436" s="28">
        <v>46308</v>
      </c>
      <c r="B436" t="s">
        <v>185</v>
      </c>
      <c r="C436" t="s">
        <v>202</v>
      </c>
      <c r="D436" t="s">
        <v>217</v>
      </c>
      <c r="E436">
        <f>IF(LEFT(D436,6)="CLIENT",IFERROR(VLOOKUP(C436,Config_Carteiras!$A:$B,2,FALSE),1),"")</f>
        <v>1</v>
      </c>
      <c r="F436" s="25">
        <v>897</v>
      </c>
      <c r="G436" s="28">
        <f>IF(LEFT(D436,6)="CLIENT",IF(E436=0,WORKDAY(A436-1,1,Dias_Sem_Compensacao!$A$2:$A$500),WORKDAY(A436,E436,Dias_Sem_Compensacao!$A$2:$A$500)),"")</f>
        <v>46309</v>
      </c>
      <c r="H436" s="25">
        <v>0</v>
      </c>
      <c r="I436" s="28">
        <v>46308</v>
      </c>
      <c r="K436" t="s">
        <v>644</v>
      </c>
    </row>
    <row r="437" spans="1:11" hidden="1">
      <c r="A437" s="28">
        <v>46308</v>
      </c>
      <c r="B437" t="s">
        <v>185</v>
      </c>
      <c r="C437" t="s">
        <v>202</v>
      </c>
      <c r="D437" t="s">
        <v>217</v>
      </c>
      <c r="E437">
        <f>IF(LEFT(D437,6)="CLIENT",IFERROR(VLOOKUP(C437,Config_Carteiras!$A:$B,2,FALSE),1),"")</f>
        <v>1</v>
      </c>
      <c r="F437" s="25">
        <v>608</v>
      </c>
      <c r="G437" s="28">
        <f>IF(LEFT(D437,6)="CLIENT",IF(E437=0,WORKDAY(A437-1,1,Dias_Sem_Compensacao!$A$2:$A$500),WORKDAY(A437,E437,Dias_Sem_Compensacao!$A$2:$A$500)),"")</f>
        <v>46309</v>
      </c>
      <c r="H437" s="25">
        <v>0</v>
      </c>
      <c r="I437" s="28">
        <v>46308</v>
      </c>
      <c r="J437" t="s">
        <v>794</v>
      </c>
      <c r="K437" t="s">
        <v>795</v>
      </c>
    </row>
    <row r="438" spans="1:11" hidden="1">
      <c r="A438" s="28">
        <v>46308</v>
      </c>
      <c r="B438" t="s">
        <v>185</v>
      </c>
      <c r="C438" t="s">
        <v>202</v>
      </c>
      <c r="D438" t="s">
        <v>217</v>
      </c>
      <c r="E438">
        <f>IF(LEFT(D438,6)="CLIENT",IFERROR(VLOOKUP(C438,Config_Carteiras!$A:$B,2,FALSE),1),"")</f>
        <v>1</v>
      </c>
      <c r="F438" s="25">
        <v>351.4</v>
      </c>
      <c r="G438" s="28">
        <f>IF(LEFT(D438,6)="CLIENT",IF(E438=0,WORKDAY(A438-1,1,Dias_Sem_Compensacao!$A$2:$A$500),WORKDAY(A438,E438,Dias_Sem_Compensacao!$A$2:$A$500)),"")</f>
        <v>46309</v>
      </c>
      <c r="H438" s="25">
        <v>0</v>
      </c>
      <c r="I438" s="28">
        <v>46308</v>
      </c>
      <c r="J438" t="s">
        <v>237</v>
      </c>
      <c r="K438" t="s">
        <v>238</v>
      </c>
    </row>
    <row r="439" spans="1:11" hidden="1">
      <c r="A439" s="28">
        <v>46308</v>
      </c>
      <c r="B439" t="s">
        <v>185</v>
      </c>
      <c r="C439" t="s">
        <v>202</v>
      </c>
      <c r="D439" t="s">
        <v>217</v>
      </c>
      <c r="E439">
        <f>IF(LEFT(D439,6)="CLIENT",IFERROR(VLOOKUP(C439,Config_Carteiras!$A:$B,2,FALSE),1),"")</f>
        <v>1</v>
      </c>
      <c r="F439" s="25">
        <v>659</v>
      </c>
      <c r="G439" s="28">
        <f>IF(LEFT(D439,6)="CLIENT",IF(E439=0,WORKDAY(A439-1,1,Dias_Sem_Compensacao!$A$2:$A$500),WORKDAY(A439,E439,Dias_Sem_Compensacao!$A$2:$A$500)),"")</f>
        <v>46309</v>
      </c>
      <c r="H439" s="25">
        <v>0</v>
      </c>
      <c r="I439" s="28">
        <v>46308</v>
      </c>
      <c r="J439" t="s">
        <v>576</v>
      </c>
      <c r="K439" t="s">
        <v>577</v>
      </c>
    </row>
    <row r="440" spans="1:11" hidden="1">
      <c r="A440" s="28">
        <v>46308</v>
      </c>
      <c r="B440" t="s">
        <v>185</v>
      </c>
      <c r="C440" t="s">
        <v>202</v>
      </c>
      <c r="D440" t="s">
        <v>217</v>
      </c>
      <c r="E440">
        <f>IF(LEFT(D440,6)="CLIENT",IFERROR(VLOOKUP(C440,Config_Carteiras!$A:$B,2,FALSE),1),"")</f>
        <v>1</v>
      </c>
      <c r="F440" s="25">
        <v>274.8</v>
      </c>
      <c r="G440" s="28">
        <f>IF(LEFT(D440,6)="CLIENT",IF(E440=0,WORKDAY(A440-1,1,Dias_Sem_Compensacao!$A$2:$A$500),WORKDAY(A440,E440,Dias_Sem_Compensacao!$A$2:$A$500)),"")</f>
        <v>46309</v>
      </c>
      <c r="H440" s="25">
        <v>0</v>
      </c>
      <c r="I440" s="28">
        <v>46308</v>
      </c>
      <c r="J440" t="s">
        <v>796</v>
      </c>
      <c r="K440" t="s">
        <v>797</v>
      </c>
    </row>
    <row r="441" spans="1:11" hidden="1">
      <c r="A441" s="28">
        <v>46308</v>
      </c>
      <c r="B441" t="s">
        <v>185</v>
      </c>
      <c r="C441" t="s">
        <v>202</v>
      </c>
      <c r="D441" t="s">
        <v>217</v>
      </c>
      <c r="E441">
        <f>IF(LEFT(D441,6)="CLIENT",IFERROR(VLOOKUP(C441,Config_Carteiras!$A:$B,2,FALSE),1),"")</f>
        <v>1</v>
      </c>
      <c r="F441" s="25">
        <v>398.4</v>
      </c>
      <c r="G441" s="28">
        <f>IF(LEFT(D441,6)="CLIENT",IF(E441=0,WORKDAY(A441-1,1,Dias_Sem_Compensacao!$A$2:$A$500),WORKDAY(A441,E441,Dias_Sem_Compensacao!$A$2:$A$500)),"")</f>
        <v>46309</v>
      </c>
      <c r="H441" s="25">
        <v>0</v>
      </c>
      <c r="I441" s="28">
        <v>46308</v>
      </c>
      <c r="J441" t="s">
        <v>645</v>
      </c>
      <c r="K441" t="s">
        <v>646</v>
      </c>
    </row>
    <row r="442" spans="1:11" hidden="1">
      <c r="A442" s="28">
        <v>46308</v>
      </c>
      <c r="B442" t="s">
        <v>185</v>
      </c>
      <c r="C442" t="s">
        <v>202</v>
      </c>
      <c r="D442" t="s">
        <v>217</v>
      </c>
      <c r="E442">
        <f>IF(LEFT(D442,6)="CLIENT",IFERROR(VLOOKUP(C442,Config_Carteiras!$A:$B,2,FALSE),1),"")</f>
        <v>1</v>
      </c>
      <c r="F442" s="25">
        <v>781.2</v>
      </c>
      <c r="G442" s="28">
        <f>IF(LEFT(D442,6)="CLIENT",IF(E442=0,WORKDAY(A442-1,1,Dias_Sem_Compensacao!$A$2:$A$500),WORKDAY(A442,E442,Dias_Sem_Compensacao!$A$2:$A$500)),"")</f>
        <v>46309</v>
      </c>
      <c r="H442" s="25">
        <v>0</v>
      </c>
      <c r="I442" s="28">
        <v>46308</v>
      </c>
      <c r="J442" t="s">
        <v>798</v>
      </c>
      <c r="K442" t="s">
        <v>799</v>
      </c>
    </row>
    <row r="443" spans="1:11" hidden="1">
      <c r="A443" s="28">
        <v>46308</v>
      </c>
      <c r="B443" t="s">
        <v>185</v>
      </c>
      <c r="C443" t="s">
        <v>202</v>
      </c>
      <c r="D443" t="s">
        <v>217</v>
      </c>
      <c r="E443">
        <f>IF(LEFT(D443,6)="CLIENT",IFERROR(VLOOKUP(C443,Config_Carteiras!$A:$B,2,FALSE),1),"")</f>
        <v>1</v>
      </c>
      <c r="F443" s="25">
        <v>351</v>
      </c>
      <c r="G443" s="28">
        <f>IF(LEFT(D443,6)="CLIENT",IF(E443=0,WORKDAY(A443-1,1,Dias_Sem_Compensacao!$A$2:$A$500),WORKDAY(A443,E443,Dias_Sem_Compensacao!$A$2:$A$500)),"")</f>
        <v>46309</v>
      </c>
      <c r="H443" s="25">
        <v>0</v>
      </c>
      <c r="I443" s="28">
        <v>46308</v>
      </c>
      <c r="J443" t="s">
        <v>647</v>
      </c>
      <c r="K443" t="s">
        <v>648</v>
      </c>
    </row>
    <row r="444" spans="1:11" hidden="1">
      <c r="A444" s="28">
        <v>46308</v>
      </c>
      <c r="B444" t="s">
        <v>185</v>
      </c>
      <c r="C444" t="s">
        <v>202</v>
      </c>
      <c r="D444" t="s">
        <v>217</v>
      </c>
      <c r="E444">
        <f>IF(LEFT(D444,6)="CLIENT",IFERROR(VLOOKUP(C444,Config_Carteiras!$A:$B,2,FALSE),1),"")</f>
        <v>1</v>
      </c>
      <c r="F444" s="25">
        <v>552</v>
      </c>
      <c r="G444" s="28">
        <f>IF(LEFT(D444,6)="CLIENT",IF(E444=0,WORKDAY(A444-1,1,Dias_Sem_Compensacao!$A$2:$A$500),WORKDAY(A444,E444,Dias_Sem_Compensacao!$A$2:$A$500)),"")</f>
        <v>46309</v>
      </c>
      <c r="H444" s="25">
        <v>0</v>
      </c>
      <c r="I444" s="28">
        <v>46308</v>
      </c>
      <c r="J444" t="s">
        <v>800</v>
      </c>
      <c r="K444" t="s">
        <v>801</v>
      </c>
    </row>
    <row r="445" spans="1:11" hidden="1">
      <c r="A445" s="28">
        <v>46308</v>
      </c>
      <c r="B445" t="s">
        <v>185</v>
      </c>
      <c r="C445" t="s">
        <v>202</v>
      </c>
      <c r="D445" t="s">
        <v>217</v>
      </c>
      <c r="E445">
        <f>IF(LEFT(D445,6)="CLIENT",IFERROR(VLOOKUP(C445,Config_Carteiras!$A:$B,2,FALSE),1),"")</f>
        <v>1</v>
      </c>
      <c r="F445" s="25">
        <v>558</v>
      </c>
      <c r="G445" s="28">
        <f>IF(LEFT(D445,6)="CLIENT",IF(E445=0,WORKDAY(A445-1,1,Dias_Sem_Compensacao!$A$2:$A$500),WORKDAY(A445,E445,Dias_Sem_Compensacao!$A$2:$A$500)),"")</f>
        <v>46309</v>
      </c>
      <c r="H445" s="25">
        <v>0</v>
      </c>
      <c r="I445" s="28">
        <v>46308</v>
      </c>
      <c r="J445" t="s">
        <v>578</v>
      </c>
      <c r="K445" t="s">
        <v>579</v>
      </c>
    </row>
    <row r="446" spans="1:11" hidden="1">
      <c r="A446" s="28">
        <v>46308</v>
      </c>
      <c r="B446" t="s">
        <v>185</v>
      </c>
      <c r="C446" t="s">
        <v>202</v>
      </c>
      <c r="D446" t="s">
        <v>217</v>
      </c>
      <c r="E446">
        <f>IF(LEFT(D446,6)="CLIENT",IFERROR(VLOOKUP(C446,Config_Carteiras!$A:$B,2,FALSE),1),"")</f>
        <v>1</v>
      </c>
      <c r="F446" s="25">
        <v>497</v>
      </c>
      <c r="G446" s="28">
        <f>IF(LEFT(D446,6)="CLIENT",IF(E446=0,WORKDAY(A446-1,1,Dias_Sem_Compensacao!$A$2:$A$500),WORKDAY(A446,E446,Dias_Sem_Compensacao!$A$2:$A$500)),"")</f>
        <v>46309</v>
      </c>
      <c r="H446" s="25">
        <v>0</v>
      </c>
      <c r="I446" s="28">
        <v>46308</v>
      </c>
      <c r="J446" t="s">
        <v>802</v>
      </c>
      <c r="K446" t="s">
        <v>803</v>
      </c>
    </row>
    <row r="447" spans="1:11" hidden="1">
      <c r="A447" s="28">
        <v>46308</v>
      </c>
      <c r="B447" t="s">
        <v>185</v>
      </c>
      <c r="C447" t="s">
        <v>202</v>
      </c>
      <c r="D447" t="s">
        <v>217</v>
      </c>
      <c r="E447">
        <f>IF(LEFT(D447,6)="CLIENT",IFERROR(VLOOKUP(C447,Config_Carteiras!$A:$B,2,FALSE),1),"")</f>
        <v>1</v>
      </c>
      <c r="F447" s="25">
        <v>1441.22</v>
      </c>
      <c r="G447" s="28">
        <f>IF(LEFT(D447,6)="CLIENT",IF(E447=0,WORKDAY(A447-1,1,Dias_Sem_Compensacao!$A$2:$A$500),WORKDAY(A447,E447,Dias_Sem_Compensacao!$A$2:$A$500)),"")</f>
        <v>46309</v>
      </c>
      <c r="H447" s="25">
        <v>0</v>
      </c>
      <c r="I447" s="28">
        <v>46308</v>
      </c>
      <c r="J447" t="s">
        <v>580</v>
      </c>
      <c r="K447" t="s">
        <v>581</v>
      </c>
    </row>
    <row r="448" spans="1:11" hidden="1">
      <c r="A448" s="28">
        <v>46308</v>
      </c>
      <c r="B448" t="s">
        <v>185</v>
      </c>
      <c r="C448" t="s">
        <v>202</v>
      </c>
      <c r="D448" t="s">
        <v>217</v>
      </c>
      <c r="E448">
        <f>IF(LEFT(D448,6)="CLIENT",IFERROR(VLOOKUP(C448,Config_Carteiras!$A:$B,2,FALSE),1),"")</f>
        <v>1</v>
      </c>
      <c r="F448" s="25">
        <v>400</v>
      </c>
      <c r="G448" s="28">
        <f>IF(LEFT(D448,6)="CLIENT",IF(E448=0,WORKDAY(A448-1,1,Dias_Sem_Compensacao!$A$2:$A$500),WORKDAY(A448,E448,Dias_Sem_Compensacao!$A$2:$A$500)),"")</f>
        <v>46309</v>
      </c>
      <c r="H448" s="25">
        <v>0</v>
      </c>
      <c r="I448" s="28">
        <v>46308</v>
      </c>
      <c r="J448" t="s">
        <v>804</v>
      </c>
      <c r="K448" t="s">
        <v>805</v>
      </c>
    </row>
    <row r="449" spans="1:11" hidden="1">
      <c r="A449" s="28">
        <v>46308</v>
      </c>
      <c r="B449" t="s">
        <v>185</v>
      </c>
      <c r="C449" t="s">
        <v>202</v>
      </c>
      <c r="D449" t="s">
        <v>217</v>
      </c>
      <c r="E449">
        <f>IF(LEFT(D449,6)="CLIENT",IFERROR(VLOOKUP(C449,Config_Carteiras!$A:$B,2,FALSE),1),"")</f>
        <v>1</v>
      </c>
      <c r="F449" s="25">
        <v>659.5</v>
      </c>
      <c r="G449" s="28">
        <f>IF(LEFT(D449,6)="CLIENT",IF(E449=0,WORKDAY(A449-1,1,Dias_Sem_Compensacao!$A$2:$A$500),WORKDAY(A449,E449,Dias_Sem_Compensacao!$A$2:$A$500)),"")</f>
        <v>46309</v>
      </c>
      <c r="H449" s="25">
        <v>0</v>
      </c>
      <c r="I449" s="28">
        <v>46308</v>
      </c>
      <c r="J449" t="s">
        <v>269</v>
      </c>
      <c r="K449" t="s">
        <v>270</v>
      </c>
    </row>
    <row r="450" spans="1:11" hidden="1">
      <c r="A450" s="28">
        <v>46308</v>
      </c>
      <c r="B450" t="s">
        <v>185</v>
      </c>
      <c r="C450" t="s">
        <v>202</v>
      </c>
      <c r="D450" t="s">
        <v>217</v>
      </c>
      <c r="E450">
        <f>IF(LEFT(D450,6)="CLIENT",IFERROR(VLOOKUP(C450,Config_Carteiras!$A:$B,2,FALSE),1),"")</f>
        <v>1</v>
      </c>
      <c r="F450" s="25">
        <v>436.9</v>
      </c>
      <c r="G450" s="28">
        <f>IF(LEFT(D450,6)="CLIENT",IF(E450=0,WORKDAY(A450-1,1,Dias_Sem_Compensacao!$A$2:$A$500),WORKDAY(A450,E450,Dias_Sem_Compensacao!$A$2:$A$500)),"")</f>
        <v>46309</v>
      </c>
      <c r="H450" s="25">
        <v>0</v>
      </c>
      <c r="I450" s="28">
        <v>46308</v>
      </c>
      <c r="J450" t="s">
        <v>806</v>
      </c>
      <c r="K450" t="s">
        <v>807</v>
      </c>
    </row>
    <row r="451" spans="1:11" hidden="1">
      <c r="A451" s="28">
        <v>46308</v>
      </c>
      <c r="B451" t="s">
        <v>185</v>
      </c>
      <c r="C451" t="s">
        <v>202</v>
      </c>
      <c r="D451" t="s">
        <v>217</v>
      </c>
      <c r="E451">
        <f>IF(LEFT(D451,6)="CLIENT",IFERROR(VLOOKUP(C451,Config_Carteiras!$A:$B,2,FALSE),1),"")</f>
        <v>1</v>
      </c>
      <c r="F451" s="25">
        <v>2130</v>
      </c>
      <c r="G451" s="28">
        <f>IF(LEFT(D451,6)="CLIENT",IF(E451=0,WORKDAY(A451-1,1,Dias_Sem_Compensacao!$A$2:$A$500),WORKDAY(A451,E451,Dias_Sem_Compensacao!$A$2:$A$500)),"")</f>
        <v>46309</v>
      </c>
      <c r="H451" s="25">
        <v>0</v>
      </c>
      <c r="I451" s="28">
        <v>46308</v>
      </c>
      <c r="J451" t="s">
        <v>271</v>
      </c>
      <c r="K451" t="s">
        <v>808</v>
      </c>
    </row>
    <row r="452" spans="1:11" hidden="1">
      <c r="A452" s="28">
        <v>46308</v>
      </c>
      <c r="B452" t="s">
        <v>185</v>
      </c>
      <c r="C452" t="s">
        <v>202</v>
      </c>
      <c r="D452" t="s">
        <v>217</v>
      </c>
      <c r="E452">
        <f>IF(LEFT(D452,6)="CLIENT",IFERROR(VLOOKUP(C452,Config_Carteiras!$A:$B,2,FALSE),1),"")</f>
        <v>1</v>
      </c>
      <c r="F452" s="25">
        <v>373.2</v>
      </c>
      <c r="G452" s="28">
        <f>IF(LEFT(D452,6)="CLIENT",IF(E452=0,WORKDAY(A452-1,1,Dias_Sem_Compensacao!$A$2:$A$500),WORKDAY(A452,E452,Dias_Sem_Compensacao!$A$2:$A$500)),"")</f>
        <v>46309</v>
      </c>
      <c r="H452" s="25">
        <v>0</v>
      </c>
      <c r="I452" s="28">
        <v>46308</v>
      </c>
      <c r="J452" t="s">
        <v>809</v>
      </c>
      <c r="K452" t="s">
        <v>810</v>
      </c>
    </row>
    <row r="453" spans="1:11" hidden="1">
      <c r="A453" s="28">
        <v>46308</v>
      </c>
      <c r="B453" t="s">
        <v>185</v>
      </c>
      <c r="C453" t="s">
        <v>202</v>
      </c>
      <c r="D453" t="s">
        <v>217</v>
      </c>
      <c r="E453">
        <f>IF(LEFT(D453,6)="CLIENT",IFERROR(VLOOKUP(C453,Config_Carteiras!$A:$B,2,FALSE),1),"")</f>
        <v>1</v>
      </c>
      <c r="F453" s="25">
        <v>496</v>
      </c>
      <c r="G453" s="28">
        <f>IF(LEFT(D453,6)="CLIENT",IF(E453=0,WORKDAY(A453-1,1,Dias_Sem_Compensacao!$A$2:$A$500),WORKDAY(A453,E453,Dias_Sem_Compensacao!$A$2:$A$500)),"")</f>
        <v>46309</v>
      </c>
      <c r="H453" s="25">
        <v>0</v>
      </c>
      <c r="I453" s="28">
        <v>46308</v>
      </c>
      <c r="J453" t="s">
        <v>811</v>
      </c>
      <c r="K453" t="s">
        <v>812</v>
      </c>
    </row>
    <row r="454" spans="1:11" hidden="1">
      <c r="A454" s="28">
        <v>46308</v>
      </c>
      <c r="B454" t="s">
        <v>185</v>
      </c>
      <c r="C454" t="s">
        <v>202</v>
      </c>
      <c r="D454" t="s">
        <v>217</v>
      </c>
      <c r="E454">
        <f>IF(LEFT(D454,6)="CLIENT",IFERROR(VLOOKUP(C454,Config_Carteiras!$A:$B,2,FALSE),1),"")</f>
        <v>1</v>
      </c>
      <c r="F454" s="25">
        <v>621</v>
      </c>
      <c r="G454" s="28">
        <f>IF(LEFT(D454,6)="CLIENT",IF(E454=0,WORKDAY(A454-1,1,Dias_Sem_Compensacao!$A$2:$A$500),WORKDAY(A454,E454,Dias_Sem_Compensacao!$A$2:$A$500)),"")</f>
        <v>46309</v>
      </c>
      <c r="H454" s="25">
        <v>0</v>
      </c>
      <c r="I454" s="28">
        <v>46308</v>
      </c>
      <c r="J454" t="s">
        <v>813</v>
      </c>
      <c r="K454" t="s">
        <v>814</v>
      </c>
    </row>
    <row r="455" spans="1:11" hidden="1">
      <c r="A455" s="28">
        <v>46308</v>
      </c>
      <c r="B455" t="s">
        <v>185</v>
      </c>
      <c r="C455" t="s">
        <v>202</v>
      </c>
      <c r="D455" t="s">
        <v>217</v>
      </c>
      <c r="E455">
        <f>IF(LEFT(D455,6)="CLIENT",IFERROR(VLOOKUP(C455,Config_Carteiras!$A:$B,2,FALSE),1),"")</f>
        <v>1</v>
      </c>
      <c r="F455" s="25">
        <v>430.2</v>
      </c>
      <c r="G455" s="28">
        <f>IF(LEFT(D455,6)="CLIENT",IF(E455=0,WORKDAY(A455-1,1,Dias_Sem_Compensacao!$A$2:$A$500),WORKDAY(A455,E455,Dias_Sem_Compensacao!$A$2:$A$500)),"")</f>
        <v>46309</v>
      </c>
      <c r="H455" s="25">
        <v>0</v>
      </c>
      <c r="I455" s="28">
        <v>46308</v>
      </c>
      <c r="J455" t="s">
        <v>273</v>
      </c>
      <c r="K455" t="s">
        <v>815</v>
      </c>
    </row>
    <row r="456" spans="1:11" hidden="1">
      <c r="A456" s="28">
        <v>46308</v>
      </c>
      <c r="B456" t="s">
        <v>185</v>
      </c>
      <c r="C456" t="s">
        <v>202</v>
      </c>
      <c r="D456" t="s">
        <v>217</v>
      </c>
      <c r="E456">
        <f>IF(LEFT(D456,6)="CLIENT",IFERROR(VLOOKUP(C456,Config_Carteiras!$A:$B,2,FALSE),1),"")</f>
        <v>1</v>
      </c>
      <c r="F456" s="25">
        <v>2509.5</v>
      </c>
      <c r="G456" s="28">
        <f>IF(LEFT(D456,6)="CLIENT",IF(E456=0,WORKDAY(A456-1,1,Dias_Sem_Compensacao!$A$2:$A$500),WORKDAY(A456,E456,Dias_Sem_Compensacao!$A$2:$A$500)),"")</f>
        <v>46309</v>
      </c>
      <c r="H456" s="25">
        <v>0</v>
      </c>
      <c r="I456" s="28">
        <v>46308</v>
      </c>
      <c r="J456" t="s">
        <v>816</v>
      </c>
      <c r="K456" t="s">
        <v>817</v>
      </c>
    </row>
    <row r="457" spans="1:11" hidden="1">
      <c r="A457" s="28">
        <v>46308</v>
      </c>
      <c r="B457" t="s">
        <v>185</v>
      </c>
      <c r="C457" t="s">
        <v>202</v>
      </c>
      <c r="D457" t="s">
        <v>217</v>
      </c>
      <c r="E457">
        <f>IF(LEFT(D457,6)="CLIENT",IFERROR(VLOOKUP(C457,Config_Carteiras!$A:$B,2,FALSE),1),"")</f>
        <v>1</v>
      </c>
      <c r="F457" s="25">
        <v>577.04999999999995</v>
      </c>
      <c r="G457" s="28">
        <f>IF(LEFT(D457,6)="CLIENT",IF(E457=0,WORKDAY(A457-1,1,Dias_Sem_Compensacao!$A$2:$A$500),WORKDAY(A457,E457,Dias_Sem_Compensacao!$A$2:$A$500)),"")</f>
        <v>46309</v>
      </c>
      <c r="H457" s="25">
        <v>0</v>
      </c>
      <c r="I457" s="28">
        <v>46308</v>
      </c>
      <c r="J457" t="s">
        <v>280</v>
      </c>
      <c r="K457" t="s">
        <v>281</v>
      </c>
    </row>
    <row r="458" spans="1:11" hidden="1">
      <c r="A458" s="28">
        <v>46308</v>
      </c>
      <c r="B458" t="s">
        <v>185</v>
      </c>
      <c r="C458" t="s">
        <v>202</v>
      </c>
      <c r="D458" t="s">
        <v>217</v>
      </c>
      <c r="E458">
        <f>IF(LEFT(D458,6)="CLIENT",IFERROR(VLOOKUP(C458,Config_Carteiras!$A:$B,2,FALSE),1),"")</f>
        <v>1</v>
      </c>
      <c r="F458" s="25">
        <v>537.6</v>
      </c>
      <c r="G458" s="28">
        <f>IF(LEFT(D458,6)="CLIENT",IF(E458=0,WORKDAY(A458-1,1,Dias_Sem_Compensacao!$A$2:$A$500),WORKDAY(A458,E458,Dias_Sem_Compensacao!$A$2:$A$500)),"")</f>
        <v>46309</v>
      </c>
      <c r="H458" s="25">
        <v>0</v>
      </c>
      <c r="I458" s="28">
        <v>46308</v>
      </c>
      <c r="J458" t="s">
        <v>818</v>
      </c>
      <c r="K458" t="s">
        <v>819</v>
      </c>
    </row>
    <row r="459" spans="1:11" hidden="1">
      <c r="A459" s="28">
        <v>46308</v>
      </c>
      <c r="B459" t="s">
        <v>185</v>
      </c>
      <c r="C459" t="s">
        <v>202</v>
      </c>
      <c r="D459" t="s">
        <v>217</v>
      </c>
      <c r="E459">
        <f>IF(LEFT(D459,6)="CLIENT",IFERROR(VLOOKUP(C459,Config_Carteiras!$A:$B,2,FALSE),1),"")</f>
        <v>1</v>
      </c>
      <c r="F459" s="25">
        <v>330</v>
      </c>
      <c r="G459" s="28">
        <f>IF(LEFT(D459,6)="CLIENT",IF(E459=0,WORKDAY(A459-1,1,Dias_Sem_Compensacao!$A$2:$A$500),WORKDAY(A459,E459,Dias_Sem_Compensacao!$A$2:$A$500)),"")</f>
        <v>46309</v>
      </c>
      <c r="H459" s="25">
        <v>0</v>
      </c>
      <c r="I459" s="28">
        <v>46308</v>
      </c>
      <c r="J459" t="s">
        <v>820</v>
      </c>
      <c r="K459" t="s">
        <v>821</v>
      </c>
    </row>
    <row r="460" spans="1:11" hidden="1">
      <c r="A460" s="28">
        <v>46308</v>
      </c>
      <c r="B460" t="s">
        <v>185</v>
      </c>
      <c r="C460" t="s">
        <v>202</v>
      </c>
      <c r="D460" t="s">
        <v>217</v>
      </c>
      <c r="E460">
        <f>IF(LEFT(D460,6)="CLIENT",IFERROR(VLOOKUP(C460,Config_Carteiras!$A:$B,2,FALSE),1),"")</f>
        <v>1</v>
      </c>
      <c r="F460" s="25">
        <v>716</v>
      </c>
      <c r="G460" s="28">
        <f>IF(LEFT(D460,6)="CLIENT",IF(E460=0,WORKDAY(A460-1,1,Dias_Sem_Compensacao!$A$2:$A$500),WORKDAY(A460,E460,Dias_Sem_Compensacao!$A$2:$A$500)),"")</f>
        <v>46309</v>
      </c>
      <c r="H460" s="25">
        <v>0</v>
      </c>
      <c r="I460" s="28">
        <v>46308</v>
      </c>
      <c r="J460" t="s">
        <v>294</v>
      </c>
      <c r="K460" t="s">
        <v>822</v>
      </c>
    </row>
    <row r="461" spans="1:11" hidden="1">
      <c r="A461" s="28">
        <v>46308</v>
      </c>
      <c r="B461" t="s">
        <v>185</v>
      </c>
      <c r="C461" t="s">
        <v>202</v>
      </c>
      <c r="D461" t="s">
        <v>217</v>
      </c>
      <c r="E461">
        <f>IF(LEFT(D461,6)="CLIENT",IFERROR(VLOOKUP(C461,Config_Carteiras!$A:$B,2,FALSE),1),"")</f>
        <v>1</v>
      </c>
      <c r="F461" s="25">
        <v>1244</v>
      </c>
      <c r="G461" s="28">
        <f>IF(LEFT(D461,6)="CLIENT",IF(E461=0,WORKDAY(A461-1,1,Dias_Sem_Compensacao!$A$2:$A$500),WORKDAY(A461,E461,Dias_Sem_Compensacao!$A$2:$A$500)),"")</f>
        <v>46309</v>
      </c>
      <c r="H461" s="25">
        <v>0</v>
      </c>
      <c r="I461" s="28">
        <v>46308</v>
      </c>
      <c r="J461" t="s">
        <v>245</v>
      </c>
      <c r="K461" t="s">
        <v>246</v>
      </c>
    </row>
    <row r="462" spans="1:11" hidden="1">
      <c r="A462" s="28">
        <v>46308</v>
      </c>
      <c r="B462" t="s">
        <v>185</v>
      </c>
      <c r="C462" t="s">
        <v>202</v>
      </c>
      <c r="D462" t="s">
        <v>217</v>
      </c>
      <c r="E462">
        <f>IF(LEFT(D462,6)="CLIENT",IFERROR(VLOOKUP(C462,Config_Carteiras!$A:$B,2,FALSE),1),"")</f>
        <v>1</v>
      </c>
      <c r="F462" s="25">
        <v>677</v>
      </c>
      <c r="G462" s="28">
        <f>IF(LEFT(D462,6)="CLIENT",IF(E462=0,WORKDAY(A462-1,1,Dias_Sem_Compensacao!$A$2:$A$500),WORKDAY(A462,E462,Dias_Sem_Compensacao!$A$2:$A$500)),"")</f>
        <v>46309</v>
      </c>
      <c r="H462" s="25">
        <v>0</v>
      </c>
      <c r="I462" s="28">
        <v>46308</v>
      </c>
      <c r="J462" t="s">
        <v>300</v>
      </c>
      <c r="K462" t="s">
        <v>823</v>
      </c>
    </row>
    <row r="463" spans="1:11" hidden="1">
      <c r="A463" s="28">
        <v>46308</v>
      </c>
      <c r="B463" t="s">
        <v>185</v>
      </c>
      <c r="C463" t="s">
        <v>202</v>
      </c>
      <c r="D463" t="s">
        <v>217</v>
      </c>
      <c r="E463">
        <f>IF(LEFT(D463,6)="CLIENT",IFERROR(VLOOKUP(C463,Config_Carteiras!$A:$B,2,FALSE),1),"")</f>
        <v>1</v>
      </c>
      <c r="F463" s="25">
        <v>2534</v>
      </c>
      <c r="G463" s="28">
        <f>IF(LEFT(D463,6)="CLIENT",IF(E463=0,WORKDAY(A463-1,1,Dias_Sem_Compensacao!$A$2:$A$500),WORKDAY(A463,E463,Dias_Sem_Compensacao!$A$2:$A$500)),"")</f>
        <v>46309</v>
      </c>
      <c r="H463" s="25">
        <v>0</v>
      </c>
      <c r="I463" s="28">
        <v>46308</v>
      </c>
      <c r="J463" t="s">
        <v>302</v>
      </c>
      <c r="K463" t="s">
        <v>303</v>
      </c>
    </row>
    <row r="464" spans="1:11" hidden="1">
      <c r="A464" s="28">
        <v>46308</v>
      </c>
      <c r="B464" t="s">
        <v>185</v>
      </c>
      <c r="C464" t="s">
        <v>202</v>
      </c>
      <c r="D464" t="s">
        <v>217</v>
      </c>
      <c r="E464">
        <f>IF(LEFT(D464,6)="CLIENT",IFERROR(VLOOKUP(C464,Config_Carteiras!$A:$B,2,FALSE),1),"")</f>
        <v>1</v>
      </c>
      <c r="F464" s="25">
        <v>393</v>
      </c>
      <c r="G464" s="28">
        <f>IF(LEFT(D464,6)="CLIENT",IF(E464=0,WORKDAY(A464-1,1,Dias_Sem_Compensacao!$A$2:$A$500),WORKDAY(A464,E464,Dias_Sem_Compensacao!$A$2:$A$500)),"")</f>
        <v>46309</v>
      </c>
      <c r="H464" s="25">
        <v>0</v>
      </c>
      <c r="I464" s="28">
        <v>46308</v>
      </c>
      <c r="J464" t="s">
        <v>591</v>
      </c>
      <c r="K464" t="s">
        <v>592</v>
      </c>
    </row>
    <row r="465" spans="1:11" hidden="1">
      <c r="A465" s="28">
        <v>46308</v>
      </c>
      <c r="B465" t="s">
        <v>185</v>
      </c>
      <c r="C465" t="s">
        <v>202</v>
      </c>
      <c r="D465" t="s">
        <v>217</v>
      </c>
      <c r="E465">
        <f>IF(LEFT(D465,6)="CLIENT",IFERROR(VLOOKUP(C465,Config_Carteiras!$A:$B,2,FALSE),1),"")</f>
        <v>1</v>
      </c>
      <c r="F465" s="25">
        <v>556</v>
      </c>
      <c r="G465" s="28">
        <f>IF(LEFT(D465,6)="CLIENT",IF(E465=0,WORKDAY(A465-1,1,Dias_Sem_Compensacao!$A$2:$A$500),WORKDAY(A465,E465,Dias_Sem_Compensacao!$A$2:$A$500)),"")</f>
        <v>46309</v>
      </c>
      <c r="H465" s="25">
        <v>0</v>
      </c>
      <c r="I465" s="28">
        <v>46308</v>
      </c>
      <c r="J465" t="s">
        <v>824</v>
      </c>
      <c r="K465" t="s">
        <v>825</v>
      </c>
    </row>
    <row r="466" spans="1:11" hidden="1">
      <c r="A466" s="28">
        <v>46308</v>
      </c>
      <c r="B466" t="s">
        <v>185</v>
      </c>
      <c r="C466" t="s">
        <v>202</v>
      </c>
      <c r="D466" t="s">
        <v>217</v>
      </c>
      <c r="E466">
        <f>IF(LEFT(D466,6)="CLIENT",IFERROR(VLOOKUP(C466,Config_Carteiras!$A:$B,2,FALSE),1),"")</f>
        <v>1</v>
      </c>
      <c r="F466" s="25">
        <v>421</v>
      </c>
      <c r="G466" s="28">
        <f>IF(LEFT(D466,6)="CLIENT",IF(E466=0,WORKDAY(A466-1,1,Dias_Sem_Compensacao!$A$2:$A$500),WORKDAY(A466,E466,Dias_Sem_Compensacao!$A$2:$A$500)),"")</f>
        <v>46309</v>
      </c>
      <c r="H466" s="25">
        <v>0</v>
      </c>
      <c r="I466" s="28">
        <v>46308</v>
      </c>
      <c r="J466" t="s">
        <v>595</v>
      </c>
      <c r="K466" t="s">
        <v>596</v>
      </c>
    </row>
    <row r="467" spans="1:11" hidden="1">
      <c r="A467" s="28">
        <v>46308</v>
      </c>
      <c r="B467" t="s">
        <v>185</v>
      </c>
      <c r="C467" t="s">
        <v>202</v>
      </c>
      <c r="D467" t="s">
        <v>217</v>
      </c>
      <c r="E467">
        <f>IF(LEFT(D467,6)="CLIENT",IFERROR(VLOOKUP(C467,Config_Carteiras!$A:$B,2,FALSE),1),"")</f>
        <v>1</v>
      </c>
      <c r="F467" s="25">
        <v>840</v>
      </c>
      <c r="G467" s="28">
        <f>IF(LEFT(D467,6)="CLIENT",IF(E467=0,WORKDAY(A467-1,1,Dias_Sem_Compensacao!$A$2:$A$500),WORKDAY(A467,E467,Dias_Sem_Compensacao!$A$2:$A$500)),"")</f>
        <v>46309</v>
      </c>
      <c r="H467" s="25">
        <v>0</v>
      </c>
      <c r="I467" s="28">
        <v>46308</v>
      </c>
      <c r="J467" t="s">
        <v>826</v>
      </c>
      <c r="K467" t="s">
        <v>827</v>
      </c>
    </row>
    <row r="468" spans="1:11" hidden="1">
      <c r="A468" s="28">
        <v>46308</v>
      </c>
      <c r="B468" t="s">
        <v>185</v>
      </c>
      <c r="C468" t="s">
        <v>202</v>
      </c>
      <c r="D468" t="s">
        <v>217</v>
      </c>
      <c r="E468">
        <f>IF(LEFT(D468,6)="CLIENT",IFERROR(VLOOKUP(C468,Config_Carteiras!$A:$B,2,FALSE),1),"")</f>
        <v>1</v>
      </c>
      <c r="F468" s="25">
        <v>1374</v>
      </c>
      <c r="G468" s="28">
        <f>IF(LEFT(D468,6)="CLIENT",IF(E468=0,WORKDAY(A468-1,1,Dias_Sem_Compensacao!$A$2:$A$500),WORKDAY(A468,E468,Dias_Sem_Compensacao!$A$2:$A$500)),"")</f>
        <v>46309</v>
      </c>
      <c r="H468" s="25">
        <v>0</v>
      </c>
      <c r="I468" s="28">
        <v>46308</v>
      </c>
      <c r="J468" t="s">
        <v>654</v>
      </c>
      <c r="K468" t="s">
        <v>655</v>
      </c>
    </row>
    <row r="469" spans="1:11" hidden="1">
      <c r="A469" s="28">
        <v>46308</v>
      </c>
      <c r="B469" t="s">
        <v>185</v>
      </c>
      <c r="C469" t="s">
        <v>202</v>
      </c>
      <c r="D469" t="s">
        <v>217</v>
      </c>
      <c r="E469">
        <f>IF(LEFT(D469,6)="CLIENT",IFERROR(VLOOKUP(C469,Config_Carteiras!$A:$B,2,FALSE),1),"")</f>
        <v>1</v>
      </c>
      <c r="F469" s="25">
        <v>1040.5</v>
      </c>
      <c r="G469" s="28">
        <f>IF(LEFT(D469,6)="CLIENT",IF(E469=0,WORKDAY(A469-1,1,Dias_Sem_Compensacao!$A$2:$A$500),WORKDAY(A469,E469,Dias_Sem_Compensacao!$A$2:$A$500)),"")</f>
        <v>46309</v>
      </c>
      <c r="H469" s="25">
        <v>0</v>
      </c>
      <c r="I469" s="28">
        <v>46308</v>
      </c>
      <c r="J469" t="s">
        <v>656</v>
      </c>
      <c r="K469" t="s">
        <v>657</v>
      </c>
    </row>
    <row r="470" spans="1:11" hidden="1">
      <c r="A470" s="28">
        <v>46308</v>
      </c>
      <c r="B470" t="s">
        <v>185</v>
      </c>
      <c r="C470" t="s">
        <v>202</v>
      </c>
      <c r="D470" t="s">
        <v>217</v>
      </c>
      <c r="E470">
        <f>IF(LEFT(D470,6)="CLIENT",IFERROR(VLOOKUP(C470,Config_Carteiras!$A:$B,2,FALSE),1),"")</f>
        <v>1</v>
      </c>
      <c r="F470" s="25">
        <v>468</v>
      </c>
      <c r="G470" s="28">
        <f>IF(LEFT(D470,6)="CLIENT",IF(E470=0,WORKDAY(A470-1,1,Dias_Sem_Compensacao!$A$2:$A$500),WORKDAY(A470,E470,Dias_Sem_Compensacao!$A$2:$A$500)),"")</f>
        <v>46309</v>
      </c>
      <c r="H470" s="25">
        <v>0</v>
      </c>
      <c r="I470" s="28">
        <v>46308</v>
      </c>
      <c r="J470" t="s">
        <v>828</v>
      </c>
      <c r="K470" t="s">
        <v>829</v>
      </c>
    </row>
    <row r="471" spans="1:11" hidden="1">
      <c r="A471" s="28">
        <v>46308</v>
      </c>
      <c r="B471" t="s">
        <v>185</v>
      </c>
      <c r="C471" t="s">
        <v>202</v>
      </c>
      <c r="D471" t="s">
        <v>217</v>
      </c>
      <c r="E471">
        <f>IF(LEFT(D471,6)="CLIENT",IFERROR(VLOOKUP(C471,Config_Carteiras!$A:$B,2,FALSE),1),"")</f>
        <v>1</v>
      </c>
      <c r="F471" s="25">
        <v>487</v>
      </c>
      <c r="G471" s="28">
        <f>IF(LEFT(D471,6)="CLIENT",IF(E471=0,WORKDAY(A471-1,1,Dias_Sem_Compensacao!$A$2:$A$500),WORKDAY(A471,E471,Dias_Sem_Compensacao!$A$2:$A$500)),"")</f>
        <v>46309</v>
      </c>
      <c r="H471" s="25">
        <v>0</v>
      </c>
      <c r="I471" s="28">
        <v>46308</v>
      </c>
      <c r="J471" t="s">
        <v>552</v>
      </c>
      <c r="K471" t="s">
        <v>830</v>
      </c>
    </row>
    <row r="472" spans="1:11" hidden="1">
      <c r="A472" s="28">
        <v>46308</v>
      </c>
      <c r="B472" t="s">
        <v>185</v>
      </c>
      <c r="C472" t="s">
        <v>202</v>
      </c>
      <c r="D472" t="s">
        <v>217</v>
      </c>
      <c r="E472">
        <f>IF(LEFT(D472,6)="CLIENT",IFERROR(VLOOKUP(C472,Config_Carteiras!$A:$B,2,FALSE),1),"")</f>
        <v>1</v>
      </c>
      <c r="F472" s="25">
        <v>441.3</v>
      </c>
      <c r="G472" s="28">
        <f>IF(LEFT(D472,6)="CLIENT",IF(E472=0,WORKDAY(A472-1,1,Dias_Sem_Compensacao!$A$2:$A$500),WORKDAY(A472,E472,Dias_Sem_Compensacao!$A$2:$A$500)),"")</f>
        <v>46309</v>
      </c>
      <c r="H472" s="25">
        <v>0</v>
      </c>
      <c r="I472" s="28">
        <v>46308</v>
      </c>
      <c r="J472" t="s">
        <v>658</v>
      </c>
      <c r="K472" t="s">
        <v>659</v>
      </c>
    </row>
    <row r="473" spans="1:11" hidden="1">
      <c r="A473" s="28">
        <v>46308</v>
      </c>
      <c r="B473" t="s">
        <v>185</v>
      </c>
      <c r="C473" t="s">
        <v>202</v>
      </c>
      <c r="D473" t="s">
        <v>217</v>
      </c>
      <c r="E473">
        <f>IF(LEFT(D473,6)="CLIENT",IFERROR(VLOOKUP(C473,Config_Carteiras!$A:$B,2,FALSE),1),"")</f>
        <v>1</v>
      </c>
      <c r="F473" s="25">
        <v>541</v>
      </c>
      <c r="G473" s="28">
        <f>IF(LEFT(D473,6)="CLIENT",IF(E473=0,WORKDAY(A473-1,1,Dias_Sem_Compensacao!$A$2:$A$500),WORKDAY(A473,E473,Dias_Sem_Compensacao!$A$2:$A$500)),"")</f>
        <v>46309</v>
      </c>
      <c r="H473" s="25">
        <v>0</v>
      </c>
      <c r="I473" s="28">
        <v>46308</v>
      </c>
      <c r="J473" t="s">
        <v>660</v>
      </c>
      <c r="K473" t="s">
        <v>661</v>
      </c>
    </row>
    <row r="474" spans="1:11" hidden="1">
      <c r="A474" s="28">
        <v>46308</v>
      </c>
      <c r="B474" t="s">
        <v>185</v>
      </c>
      <c r="C474" t="s">
        <v>202</v>
      </c>
      <c r="D474" t="s">
        <v>217</v>
      </c>
      <c r="E474">
        <f>IF(LEFT(D474,6)="CLIENT",IFERROR(VLOOKUP(C474,Config_Carteiras!$A:$B,2,FALSE),1),"")</f>
        <v>1</v>
      </c>
      <c r="F474" s="25">
        <v>720.2</v>
      </c>
      <c r="G474" s="28">
        <f>IF(LEFT(D474,6)="CLIENT",IF(E474=0,WORKDAY(A474-1,1,Dias_Sem_Compensacao!$A$2:$A$500),WORKDAY(A474,E474,Dias_Sem_Compensacao!$A$2:$A$500)),"")</f>
        <v>46309</v>
      </c>
      <c r="H474" s="25">
        <v>0</v>
      </c>
      <c r="I474" s="28">
        <v>46308</v>
      </c>
      <c r="J474" t="s">
        <v>601</v>
      </c>
      <c r="K474" t="s">
        <v>602</v>
      </c>
    </row>
    <row r="475" spans="1:11" hidden="1">
      <c r="A475" s="28">
        <v>46308</v>
      </c>
      <c r="B475" t="s">
        <v>185</v>
      </c>
      <c r="C475" t="s">
        <v>202</v>
      </c>
      <c r="D475" t="s">
        <v>217</v>
      </c>
      <c r="E475">
        <f>IF(LEFT(D475,6)="CLIENT",IFERROR(VLOOKUP(C475,Config_Carteiras!$A:$B,2,FALSE),1),"")</f>
        <v>1</v>
      </c>
      <c r="F475" s="25">
        <v>719</v>
      </c>
      <c r="G475" s="28">
        <f>IF(LEFT(D475,6)="CLIENT",IF(E475=0,WORKDAY(A475-1,1,Dias_Sem_Compensacao!$A$2:$A$500),WORKDAY(A475,E475,Dias_Sem_Compensacao!$A$2:$A$500)),"")</f>
        <v>46309</v>
      </c>
      <c r="H475" s="25">
        <v>0</v>
      </c>
      <c r="I475" s="28">
        <v>46308</v>
      </c>
      <c r="K475" t="s">
        <v>662</v>
      </c>
    </row>
    <row r="476" spans="1:11" hidden="1">
      <c r="A476" s="28">
        <v>46308</v>
      </c>
      <c r="B476" t="s">
        <v>185</v>
      </c>
      <c r="C476" t="s">
        <v>202</v>
      </c>
      <c r="D476" t="s">
        <v>217</v>
      </c>
      <c r="E476">
        <f>IF(LEFT(D476,6)="CLIENT",IFERROR(VLOOKUP(C476,Config_Carteiras!$A:$B,2,FALSE),1),"")</f>
        <v>1</v>
      </c>
      <c r="F476" s="25">
        <v>640</v>
      </c>
      <c r="G476" s="28">
        <f>IF(LEFT(D476,6)="CLIENT",IF(E476=0,WORKDAY(A476-1,1,Dias_Sem_Compensacao!$A$2:$A$500),WORKDAY(A476,E476,Dias_Sem_Compensacao!$A$2:$A$500)),"")</f>
        <v>46309</v>
      </c>
      <c r="H476" s="25">
        <v>0</v>
      </c>
      <c r="I476" s="28">
        <v>46308</v>
      </c>
      <c r="J476" t="s">
        <v>554</v>
      </c>
      <c r="K476" t="s">
        <v>831</v>
      </c>
    </row>
    <row r="477" spans="1:11" hidden="1">
      <c r="A477" s="28">
        <v>46308</v>
      </c>
      <c r="B477" t="s">
        <v>185</v>
      </c>
      <c r="C477" t="s">
        <v>202</v>
      </c>
      <c r="D477" t="s">
        <v>217</v>
      </c>
      <c r="E477">
        <f>IF(LEFT(D477,6)="CLIENT",IFERROR(VLOOKUP(C477,Config_Carteiras!$A:$B,2,FALSE),1),"")</f>
        <v>1</v>
      </c>
      <c r="F477" s="25">
        <v>398</v>
      </c>
      <c r="G477" s="28">
        <f>IF(LEFT(D477,6)="CLIENT",IF(E477=0,WORKDAY(A477-1,1,Dias_Sem_Compensacao!$A$2:$A$500),WORKDAY(A477,E477,Dias_Sem_Compensacao!$A$2:$A$500)),"")</f>
        <v>46309</v>
      </c>
      <c r="H477" s="25">
        <v>0</v>
      </c>
      <c r="I477" s="28">
        <v>46308</v>
      </c>
      <c r="J477" t="s">
        <v>663</v>
      </c>
      <c r="K477" t="s">
        <v>664</v>
      </c>
    </row>
    <row r="478" spans="1:11" hidden="1">
      <c r="A478" s="28">
        <v>46308</v>
      </c>
      <c r="B478" t="s">
        <v>185</v>
      </c>
      <c r="C478" t="s">
        <v>202</v>
      </c>
      <c r="D478" t="s">
        <v>217</v>
      </c>
      <c r="E478">
        <f>IF(LEFT(D478,6)="CLIENT",IFERROR(VLOOKUP(C478,Config_Carteiras!$A:$B,2,FALSE),1),"")</f>
        <v>1</v>
      </c>
      <c r="F478" s="25">
        <v>516.6</v>
      </c>
      <c r="G478" s="28">
        <f>IF(LEFT(D478,6)="CLIENT",IF(E478=0,WORKDAY(A478-1,1,Dias_Sem_Compensacao!$A$2:$A$500),WORKDAY(A478,E478,Dias_Sem_Compensacao!$A$2:$A$500)),"")</f>
        <v>46309</v>
      </c>
      <c r="H478" s="25">
        <v>0</v>
      </c>
      <c r="I478" s="28">
        <v>46308</v>
      </c>
      <c r="J478" t="s">
        <v>314</v>
      </c>
      <c r="K478" t="s">
        <v>315</v>
      </c>
    </row>
    <row r="479" spans="1:11" hidden="1">
      <c r="A479" s="28">
        <v>46308</v>
      </c>
      <c r="B479" t="s">
        <v>185</v>
      </c>
      <c r="C479" t="s">
        <v>202</v>
      </c>
      <c r="D479" t="s">
        <v>217</v>
      </c>
      <c r="E479">
        <f>IF(LEFT(D479,6)="CLIENT",IFERROR(VLOOKUP(C479,Config_Carteiras!$A:$B,2,FALSE),1),"")</f>
        <v>1</v>
      </c>
      <c r="F479" s="25">
        <v>357</v>
      </c>
      <c r="G479" s="28">
        <f>IF(LEFT(D479,6)="CLIENT",IF(E479=0,WORKDAY(A479-1,1,Dias_Sem_Compensacao!$A$2:$A$500),WORKDAY(A479,E479,Dias_Sem_Compensacao!$A$2:$A$500)),"")</f>
        <v>46309</v>
      </c>
      <c r="H479" s="25">
        <v>0</v>
      </c>
      <c r="I479" s="28">
        <v>46308</v>
      </c>
      <c r="J479" t="s">
        <v>832</v>
      </c>
      <c r="K479" t="s">
        <v>833</v>
      </c>
    </row>
    <row r="480" spans="1:11" hidden="1">
      <c r="A480" s="28">
        <v>46308</v>
      </c>
      <c r="B480" t="s">
        <v>185</v>
      </c>
      <c r="C480" t="s">
        <v>202</v>
      </c>
      <c r="D480" t="s">
        <v>217</v>
      </c>
      <c r="E480">
        <f>IF(LEFT(D480,6)="CLIENT",IFERROR(VLOOKUP(C480,Config_Carteiras!$A:$B,2,FALSE),1),"")</f>
        <v>1</v>
      </c>
      <c r="F480" s="25">
        <v>796</v>
      </c>
      <c r="G480" s="28">
        <f>IF(LEFT(D480,6)="CLIENT",IF(E480=0,WORKDAY(A480-1,1,Dias_Sem_Compensacao!$A$2:$A$500),WORKDAY(A480,E480,Dias_Sem_Compensacao!$A$2:$A$500)),"")</f>
        <v>46309</v>
      </c>
      <c r="H480" s="25">
        <v>0</v>
      </c>
      <c r="I480" s="28">
        <v>46308</v>
      </c>
      <c r="J480" t="s">
        <v>667</v>
      </c>
      <c r="K480" t="s">
        <v>834</v>
      </c>
    </row>
    <row r="481" spans="1:11" hidden="1">
      <c r="A481" s="28">
        <v>46308</v>
      </c>
      <c r="B481" t="s">
        <v>185</v>
      </c>
      <c r="C481" t="s">
        <v>202</v>
      </c>
      <c r="D481" t="s">
        <v>217</v>
      </c>
      <c r="E481">
        <f>IF(LEFT(D481,6)="CLIENT",IFERROR(VLOOKUP(C481,Config_Carteiras!$A:$B,2,FALSE),1),"")</f>
        <v>1</v>
      </c>
      <c r="F481" s="25">
        <v>457</v>
      </c>
      <c r="G481" s="28">
        <f>IF(LEFT(D481,6)="CLIENT",IF(E481=0,WORKDAY(A481-1,1,Dias_Sem_Compensacao!$A$2:$A$500),WORKDAY(A481,E481,Dias_Sem_Compensacao!$A$2:$A$500)),"")</f>
        <v>46309</v>
      </c>
      <c r="H481" s="25">
        <v>0</v>
      </c>
      <c r="I481" s="28">
        <v>46308</v>
      </c>
      <c r="J481" t="s">
        <v>605</v>
      </c>
      <c r="K481" t="s">
        <v>606</v>
      </c>
    </row>
    <row r="482" spans="1:11" hidden="1">
      <c r="A482" s="28">
        <v>46308</v>
      </c>
      <c r="B482" t="s">
        <v>185</v>
      </c>
      <c r="C482" t="s">
        <v>202</v>
      </c>
      <c r="D482" t="s">
        <v>217</v>
      </c>
      <c r="E482">
        <f>IF(LEFT(D482,6)="CLIENT",IFERROR(VLOOKUP(C482,Config_Carteiras!$A:$B,2,FALSE),1),"")</f>
        <v>1</v>
      </c>
      <c r="F482" s="25">
        <v>1192</v>
      </c>
      <c r="G482" s="28">
        <f>IF(LEFT(D482,6)="CLIENT",IF(E482=0,WORKDAY(A482-1,1,Dias_Sem_Compensacao!$A$2:$A$500),WORKDAY(A482,E482,Dias_Sem_Compensacao!$A$2:$A$500)),"")</f>
        <v>46309</v>
      </c>
      <c r="H482" s="25">
        <v>0</v>
      </c>
      <c r="I482" s="28">
        <v>46308</v>
      </c>
      <c r="J482" t="s">
        <v>607</v>
      </c>
      <c r="K482" t="s">
        <v>608</v>
      </c>
    </row>
    <row r="483" spans="1:11" hidden="1">
      <c r="A483" s="28">
        <v>46308</v>
      </c>
      <c r="B483" t="s">
        <v>185</v>
      </c>
      <c r="C483" t="s">
        <v>202</v>
      </c>
      <c r="D483" t="s">
        <v>217</v>
      </c>
      <c r="E483">
        <f>IF(LEFT(D483,6)="CLIENT",IFERROR(VLOOKUP(C483,Config_Carteiras!$A:$B,2,FALSE),1),"")</f>
        <v>1</v>
      </c>
      <c r="F483" s="25">
        <v>1075</v>
      </c>
      <c r="G483" s="28">
        <f>IF(LEFT(D483,6)="CLIENT",IF(E483=0,WORKDAY(A483-1,1,Dias_Sem_Compensacao!$A$2:$A$500),WORKDAY(A483,E483,Dias_Sem_Compensacao!$A$2:$A$500)),"")</f>
        <v>46309</v>
      </c>
      <c r="H483" s="25">
        <v>0</v>
      </c>
      <c r="I483" s="28">
        <v>46308</v>
      </c>
      <c r="J483" t="s">
        <v>609</v>
      </c>
      <c r="K483" t="s">
        <v>610</v>
      </c>
    </row>
    <row r="484" spans="1:11" hidden="1">
      <c r="A484" s="28">
        <v>46308</v>
      </c>
      <c r="B484" t="s">
        <v>185</v>
      </c>
      <c r="C484" t="s">
        <v>202</v>
      </c>
      <c r="D484" t="s">
        <v>217</v>
      </c>
      <c r="E484">
        <f>IF(LEFT(D484,6)="CLIENT",IFERROR(VLOOKUP(C484,Config_Carteiras!$A:$B,2,FALSE),1),"")</f>
        <v>1</v>
      </c>
      <c r="F484" s="25">
        <v>667</v>
      </c>
      <c r="G484" s="28">
        <f>IF(LEFT(D484,6)="CLIENT",IF(E484=0,WORKDAY(A484-1,1,Dias_Sem_Compensacao!$A$2:$A$500),WORKDAY(A484,E484,Dias_Sem_Compensacao!$A$2:$A$500)),"")</f>
        <v>46309</v>
      </c>
      <c r="H484" s="25">
        <v>0</v>
      </c>
      <c r="I484" s="28">
        <v>46308</v>
      </c>
      <c r="J484" t="s">
        <v>835</v>
      </c>
      <c r="K484" t="s">
        <v>836</v>
      </c>
    </row>
    <row r="485" spans="1:11" hidden="1">
      <c r="A485" s="28">
        <v>46308</v>
      </c>
      <c r="B485" t="s">
        <v>185</v>
      </c>
      <c r="C485" t="s">
        <v>202</v>
      </c>
      <c r="D485" t="s">
        <v>217</v>
      </c>
      <c r="E485">
        <f>IF(LEFT(D485,6)="CLIENT",IFERROR(VLOOKUP(C485,Config_Carteiras!$A:$B,2,FALSE),1),"")</f>
        <v>1</v>
      </c>
      <c r="F485" s="25">
        <v>953</v>
      </c>
      <c r="G485" s="28">
        <f>IF(LEFT(D485,6)="CLIENT",IF(E485=0,WORKDAY(A485-1,1,Dias_Sem_Compensacao!$A$2:$A$500),WORKDAY(A485,E485,Dias_Sem_Compensacao!$A$2:$A$500)),"")</f>
        <v>46309</v>
      </c>
      <c r="H485" s="25">
        <v>0</v>
      </c>
      <c r="I485" s="28">
        <v>46308</v>
      </c>
      <c r="J485" t="s">
        <v>837</v>
      </c>
      <c r="K485" t="s">
        <v>838</v>
      </c>
    </row>
    <row r="486" spans="1:11" hidden="1">
      <c r="A486" s="28">
        <v>46308</v>
      </c>
      <c r="B486" t="s">
        <v>185</v>
      </c>
      <c r="C486" t="s">
        <v>202</v>
      </c>
      <c r="D486" t="s">
        <v>217</v>
      </c>
      <c r="E486">
        <f>IF(LEFT(D486,6)="CLIENT",IFERROR(VLOOKUP(C486,Config_Carteiras!$A:$B,2,FALSE),1),"")</f>
        <v>1</v>
      </c>
      <c r="F486" s="25">
        <v>402.7</v>
      </c>
      <c r="G486" s="28">
        <f>IF(LEFT(D486,6)="CLIENT",IF(E486=0,WORKDAY(A486-1,1,Dias_Sem_Compensacao!$A$2:$A$500),WORKDAY(A486,E486,Dias_Sem_Compensacao!$A$2:$A$500)),"")</f>
        <v>46309</v>
      </c>
      <c r="H486" s="25">
        <v>0</v>
      </c>
      <c r="I486" s="28">
        <v>46308</v>
      </c>
      <c r="J486" t="s">
        <v>839</v>
      </c>
      <c r="K486" t="s">
        <v>840</v>
      </c>
    </row>
    <row r="487" spans="1:11" hidden="1">
      <c r="A487" s="28">
        <v>46308</v>
      </c>
      <c r="B487" t="s">
        <v>185</v>
      </c>
      <c r="C487" t="s">
        <v>202</v>
      </c>
      <c r="D487" t="s">
        <v>217</v>
      </c>
      <c r="E487">
        <f>IF(LEFT(D487,6)="CLIENT",IFERROR(VLOOKUP(C487,Config_Carteiras!$A:$B,2,FALSE),1),"")</f>
        <v>1</v>
      </c>
      <c r="F487" s="25">
        <v>1067</v>
      </c>
      <c r="G487" s="28">
        <f>IF(LEFT(D487,6)="CLIENT",IF(E487=0,WORKDAY(A487-1,1,Dias_Sem_Compensacao!$A$2:$A$500),WORKDAY(A487,E487,Dias_Sem_Compensacao!$A$2:$A$500)),"")</f>
        <v>46309</v>
      </c>
      <c r="H487" s="25">
        <v>0</v>
      </c>
      <c r="I487" s="28">
        <v>46308</v>
      </c>
      <c r="J487" t="s">
        <v>671</v>
      </c>
      <c r="K487" t="s">
        <v>672</v>
      </c>
    </row>
    <row r="488" spans="1:11" hidden="1">
      <c r="A488" s="28">
        <v>46308</v>
      </c>
      <c r="B488" t="s">
        <v>185</v>
      </c>
      <c r="C488" t="s">
        <v>202</v>
      </c>
      <c r="D488" t="s">
        <v>217</v>
      </c>
      <c r="E488">
        <f>IF(LEFT(D488,6)="CLIENT",IFERROR(VLOOKUP(C488,Config_Carteiras!$A:$B,2,FALSE),1),"")</f>
        <v>1</v>
      </c>
      <c r="F488" s="25">
        <v>908</v>
      </c>
      <c r="G488" s="28">
        <f>IF(LEFT(D488,6)="CLIENT",IF(E488=0,WORKDAY(A488-1,1,Dias_Sem_Compensacao!$A$2:$A$500),WORKDAY(A488,E488,Dias_Sem_Compensacao!$A$2:$A$500)),"")</f>
        <v>46309</v>
      </c>
      <c r="H488" s="25">
        <v>0</v>
      </c>
      <c r="I488" s="28">
        <v>46308</v>
      </c>
      <c r="J488" t="s">
        <v>841</v>
      </c>
      <c r="K488" t="s">
        <v>842</v>
      </c>
    </row>
    <row r="489" spans="1:11" hidden="1">
      <c r="A489" s="28">
        <v>46308</v>
      </c>
      <c r="B489" t="s">
        <v>185</v>
      </c>
      <c r="C489" t="s">
        <v>202</v>
      </c>
      <c r="D489" t="s">
        <v>217</v>
      </c>
      <c r="E489">
        <f>IF(LEFT(D489,6)="CLIENT",IFERROR(VLOOKUP(C489,Config_Carteiras!$A:$B,2,FALSE),1),"")</f>
        <v>1</v>
      </c>
      <c r="F489" s="25">
        <v>615</v>
      </c>
      <c r="G489" s="28">
        <f>IF(LEFT(D489,6)="CLIENT",IF(E489=0,WORKDAY(A489-1,1,Dias_Sem_Compensacao!$A$2:$A$500),WORKDAY(A489,E489,Dias_Sem_Compensacao!$A$2:$A$500)),"")</f>
        <v>46309</v>
      </c>
      <c r="H489" s="25">
        <v>0</v>
      </c>
      <c r="I489" s="28">
        <v>46308</v>
      </c>
      <c r="J489" t="s">
        <v>326</v>
      </c>
      <c r="K489" t="s">
        <v>327</v>
      </c>
    </row>
    <row r="490" spans="1:11" hidden="1">
      <c r="A490" s="28">
        <v>46308</v>
      </c>
      <c r="B490" t="s">
        <v>185</v>
      </c>
      <c r="C490" t="s">
        <v>202</v>
      </c>
      <c r="D490" t="s">
        <v>217</v>
      </c>
      <c r="E490">
        <f>IF(LEFT(D490,6)="CLIENT",IFERROR(VLOOKUP(C490,Config_Carteiras!$A:$B,2,FALSE),1),"")</f>
        <v>1</v>
      </c>
      <c r="F490" s="25">
        <v>505.1</v>
      </c>
      <c r="G490" s="28">
        <f>IF(LEFT(D490,6)="CLIENT",IF(E490=0,WORKDAY(A490-1,1,Dias_Sem_Compensacao!$A$2:$A$500),WORKDAY(A490,E490,Dias_Sem_Compensacao!$A$2:$A$500)),"")</f>
        <v>46309</v>
      </c>
      <c r="H490" s="25">
        <v>0</v>
      </c>
      <c r="I490" s="28">
        <v>46308</v>
      </c>
      <c r="J490" t="s">
        <v>843</v>
      </c>
      <c r="K490" t="s">
        <v>844</v>
      </c>
    </row>
    <row r="491" spans="1:11" hidden="1">
      <c r="A491" s="28">
        <v>46308</v>
      </c>
      <c r="B491" t="s">
        <v>185</v>
      </c>
      <c r="C491" t="s">
        <v>202</v>
      </c>
      <c r="D491" t="s">
        <v>217</v>
      </c>
      <c r="E491">
        <f>IF(LEFT(D491,6)="CLIENT",IFERROR(VLOOKUP(C491,Config_Carteiras!$A:$B,2,FALSE),1),"")</f>
        <v>1</v>
      </c>
      <c r="F491" s="25">
        <v>675</v>
      </c>
      <c r="G491" s="28">
        <f>IF(LEFT(D491,6)="CLIENT",IF(E491=0,WORKDAY(A491-1,1,Dias_Sem_Compensacao!$A$2:$A$500),WORKDAY(A491,E491,Dias_Sem_Compensacao!$A$2:$A$500)),"")</f>
        <v>46309</v>
      </c>
      <c r="H491" s="25">
        <v>0</v>
      </c>
      <c r="I491" s="28">
        <v>46308</v>
      </c>
      <c r="J491" t="s">
        <v>330</v>
      </c>
      <c r="K491" t="s">
        <v>845</v>
      </c>
    </row>
    <row r="492" spans="1:11" hidden="1">
      <c r="A492" s="28">
        <v>46308</v>
      </c>
      <c r="B492" t="s">
        <v>185</v>
      </c>
      <c r="C492" t="s">
        <v>202</v>
      </c>
      <c r="D492" t="s">
        <v>217</v>
      </c>
      <c r="E492">
        <f>IF(LEFT(D492,6)="CLIENT",IFERROR(VLOOKUP(C492,Config_Carteiras!$A:$B,2,FALSE),1),"")</f>
        <v>1</v>
      </c>
      <c r="F492" s="25">
        <v>467</v>
      </c>
      <c r="G492" s="28">
        <f>IF(LEFT(D492,6)="CLIENT",IF(E492=0,WORKDAY(A492-1,1,Dias_Sem_Compensacao!$A$2:$A$500),WORKDAY(A492,E492,Dias_Sem_Compensacao!$A$2:$A$500)),"")</f>
        <v>46309</v>
      </c>
      <c r="H492" s="25">
        <v>0</v>
      </c>
      <c r="I492" s="28">
        <v>46308</v>
      </c>
      <c r="J492" t="s">
        <v>611</v>
      </c>
      <c r="K492" t="s">
        <v>612</v>
      </c>
    </row>
    <row r="493" spans="1:11" hidden="1">
      <c r="A493" s="28">
        <v>46308</v>
      </c>
      <c r="B493" t="s">
        <v>185</v>
      </c>
      <c r="C493" t="s">
        <v>202</v>
      </c>
      <c r="D493" t="s">
        <v>217</v>
      </c>
      <c r="E493">
        <f>IF(LEFT(D493,6)="CLIENT",IFERROR(VLOOKUP(C493,Config_Carteiras!$A:$B,2,FALSE),1),"")</f>
        <v>1</v>
      </c>
      <c r="F493" s="25">
        <v>661.5</v>
      </c>
      <c r="G493" s="28">
        <f>IF(LEFT(D493,6)="CLIENT",IF(E493=0,WORKDAY(A493-1,1,Dias_Sem_Compensacao!$A$2:$A$500),WORKDAY(A493,E493,Dias_Sem_Compensacao!$A$2:$A$500)),"")</f>
        <v>46309</v>
      </c>
      <c r="H493" s="25">
        <v>0</v>
      </c>
      <c r="I493" s="28">
        <v>46308</v>
      </c>
      <c r="J493" t="s">
        <v>846</v>
      </c>
      <c r="K493" t="s">
        <v>847</v>
      </c>
    </row>
    <row r="494" spans="1:11" hidden="1">
      <c r="A494" s="28">
        <v>46308</v>
      </c>
      <c r="B494" t="s">
        <v>185</v>
      </c>
      <c r="C494" t="s">
        <v>202</v>
      </c>
      <c r="D494" t="s">
        <v>217</v>
      </c>
      <c r="E494">
        <f>IF(LEFT(D494,6)="CLIENT",IFERROR(VLOOKUP(C494,Config_Carteiras!$A:$B,2,FALSE),1),"")</f>
        <v>1</v>
      </c>
      <c r="F494" s="25">
        <v>644</v>
      </c>
      <c r="G494" s="28">
        <f>IF(LEFT(D494,6)="CLIENT",IF(E494=0,WORKDAY(A494-1,1,Dias_Sem_Compensacao!$A$2:$A$500),WORKDAY(A494,E494,Dias_Sem_Compensacao!$A$2:$A$500)),"")</f>
        <v>46309</v>
      </c>
      <c r="H494" s="25">
        <v>0</v>
      </c>
      <c r="I494" s="28">
        <v>46308</v>
      </c>
      <c r="J494" t="s">
        <v>427</v>
      </c>
      <c r="K494" t="s">
        <v>848</v>
      </c>
    </row>
    <row r="495" spans="1:11" hidden="1">
      <c r="A495" s="28">
        <v>46308</v>
      </c>
      <c r="B495" t="s">
        <v>185</v>
      </c>
      <c r="C495" t="s">
        <v>202</v>
      </c>
      <c r="D495" t="s">
        <v>217</v>
      </c>
      <c r="E495">
        <f>IF(LEFT(D495,6)="CLIENT",IFERROR(VLOOKUP(C495,Config_Carteiras!$A:$B,2,FALSE),1),"")</f>
        <v>1</v>
      </c>
      <c r="F495" s="25">
        <v>870</v>
      </c>
      <c r="G495" s="28">
        <f>IF(LEFT(D495,6)="CLIENT",IF(E495=0,WORKDAY(A495-1,1,Dias_Sem_Compensacao!$A$2:$A$500),WORKDAY(A495,E495,Dias_Sem_Compensacao!$A$2:$A$500)),"")</f>
        <v>46309</v>
      </c>
      <c r="H495" s="25">
        <v>0</v>
      </c>
      <c r="I495" s="28">
        <v>46308</v>
      </c>
      <c r="J495" t="s">
        <v>336</v>
      </c>
      <c r="K495" t="s">
        <v>337</v>
      </c>
    </row>
    <row r="496" spans="1:11" hidden="1">
      <c r="A496" s="28">
        <v>46308</v>
      </c>
      <c r="B496" t="s">
        <v>185</v>
      </c>
      <c r="C496" t="s">
        <v>202</v>
      </c>
      <c r="D496" t="s">
        <v>217</v>
      </c>
      <c r="E496">
        <f>IF(LEFT(D496,6)="CLIENT",IFERROR(VLOOKUP(C496,Config_Carteiras!$A:$B,2,FALSE),1),"")</f>
        <v>1</v>
      </c>
      <c r="F496" s="25">
        <v>625</v>
      </c>
      <c r="G496" s="28">
        <f>IF(LEFT(D496,6)="CLIENT",IF(E496=0,WORKDAY(A496-1,1,Dias_Sem_Compensacao!$A$2:$A$500),WORKDAY(A496,E496,Dias_Sem_Compensacao!$A$2:$A$500)),"")</f>
        <v>46309</v>
      </c>
      <c r="H496" s="25">
        <v>0</v>
      </c>
      <c r="I496" s="28">
        <v>46308</v>
      </c>
      <c r="J496" t="s">
        <v>613</v>
      </c>
      <c r="K496" t="s">
        <v>614</v>
      </c>
    </row>
    <row r="497" spans="1:11" hidden="1">
      <c r="A497" s="28">
        <v>46308</v>
      </c>
      <c r="B497" t="s">
        <v>185</v>
      </c>
      <c r="C497" t="s">
        <v>202</v>
      </c>
      <c r="D497" t="s">
        <v>217</v>
      </c>
      <c r="E497">
        <f>IF(LEFT(D497,6)="CLIENT",IFERROR(VLOOKUP(C497,Config_Carteiras!$A:$B,2,FALSE),1),"")</f>
        <v>1</v>
      </c>
      <c r="F497" s="25">
        <v>365</v>
      </c>
      <c r="G497" s="28">
        <f>IF(LEFT(D497,6)="CLIENT",IF(E497=0,WORKDAY(A497-1,1,Dias_Sem_Compensacao!$A$2:$A$500),WORKDAY(A497,E497,Dias_Sem_Compensacao!$A$2:$A$500)),"")</f>
        <v>46309</v>
      </c>
      <c r="H497" s="25">
        <v>0</v>
      </c>
      <c r="I497" s="28">
        <v>46308</v>
      </c>
      <c r="J497" t="s">
        <v>849</v>
      </c>
      <c r="K497" t="s">
        <v>850</v>
      </c>
    </row>
    <row r="498" spans="1:11" hidden="1">
      <c r="A498" s="28">
        <v>46308</v>
      </c>
      <c r="B498" t="s">
        <v>185</v>
      </c>
      <c r="C498" t="s">
        <v>202</v>
      </c>
      <c r="D498" t="s">
        <v>217</v>
      </c>
      <c r="E498">
        <f>IF(LEFT(D498,6)="CLIENT",IFERROR(VLOOKUP(C498,Config_Carteiras!$A:$B,2,FALSE),1),"")</f>
        <v>1</v>
      </c>
      <c r="F498" s="25">
        <v>667.58</v>
      </c>
      <c r="G498" s="28">
        <f>IF(LEFT(D498,6)="CLIENT",IF(E498=0,WORKDAY(A498-1,1,Dias_Sem_Compensacao!$A$2:$A$500),WORKDAY(A498,E498,Dias_Sem_Compensacao!$A$2:$A$500)),"")</f>
        <v>46309</v>
      </c>
      <c r="H498" s="25">
        <v>0</v>
      </c>
      <c r="I498" s="28">
        <v>46308</v>
      </c>
      <c r="J498" t="s">
        <v>615</v>
      </c>
      <c r="K498" t="s">
        <v>616</v>
      </c>
    </row>
    <row r="499" spans="1:11" hidden="1">
      <c r="A499" s="28">
        <v>46308</v>
      </c>
      <c r="B499" t="s">
        <v>185</v>
      </c>
      <c r="C499" t="s">
        <v>202</v>
      </c>
      <c r="D499" t="s">
        <v>217</v>
      </c>
      <c r="E499">
        <f>IF(LEFT(D499,6)="CLIENT",IFERROR(VLOOKUP(C499,Config_Carteiras!$A:$B,2,FALSE),1),"")</f>
        <v>1</v>
      </c>
      <c r="F499" s="25">
        <v>434</v>
      </c>
      <c r="G499" s="28">
        <f>IF(LEFT(D499,6)="CLIENT",IF(E499=0,WORKDAY(A499-1,1,Dias_Sem_Compensacao!$A$2:$A$500),WORKDAY(A499,E499,Dias_Sem_Compensacao!$A$2:$A$500)),"")</f>
        <v>46309</v>
      </c>
      <c r="H499" s="25">
        <v>0</v>
      </c>
      <c r="I499" s="28">
        <v>46308</v>
      </c>
      <c r="J499" t="s">
        <v>851</v>
      </c>
      <c r="K499" t="s">
        <v>852</v>
      </c>
    </row>
    <row r="500" spans="1:11" hidden="1">
      <c r="A500" s="28">
        <v>46308</v>
      </c>
      <c r="B500" t="s">
        <v>185</v>
      </c>
      <c r="C500" t="s">
        <v>202</v>
      </c>
      <c r="D500" t="s">
        <v>217</v>
      </c>
      <c r="E500">
        <f>IF(LEFT(D500,6)="CLIENT",IFERROR(VLOOKUP(C500,Config_Carteiras!$A:$B,2,FALSE),1),"")</f>
        <v>1</v>
      </c>
      <c r="F500" s="25">
        <v>450</v>
      </c>
      <c r="G500" s="28">
        <f>IF(LEFT(D500,6)="CLIENT",IF(E500=0,WORKDAY(A500-1,1,Dias_Sem_Compensacao!$A$2:$A$500),WORKDAY(A500,E500,Dias_Sem_Compensacao!$A$2:$A$500)),"")</f>
        <v>46309</v>
      </c>
      <c r="H500" s="25">
        <v>0</v>
      </c>
      <c r="I500" s="28">
        <v>46308</v>
      </c>
      <c r="J500" t="s">
        <v>853</v>
      </c>
      <c r="K500" t="s">
        <v>854</v>
      </c>
    </row>
    <row r="501" spans="1:11" hidden="1">
      <c r="A501" s="28">
        <v>46308</v>
      </c>
      <c r="B501" t="s">
        <v>185</v>
      </c>
      <c r="C501" t="s">
        <v>202</v>
      </c>
      <c r="D501" t="s">
        <v>217</v>
      </c>
      <c r="E501">
        <f>IF(LEFT(D501,6)="CLIENT",IFERROR(VLOOKUP(C501,Config_Carteiras!$A:$B,2,FALSE),1),"")</f>
        <v>1</v>
      </c>
      <c r="F501" s="25">
        <v>448</v>
      </c>
      <c r="G501" s="28">
        <f>IF(LEFT(D501,6)="CLIENT",IF(E501=0,WORKDAY(A501-1,1,Dias_Sem_Compensacao!$A$2:$A$500),WORKDAY(A501,E501,Dias_Sem_Compensacao!$A$2:$A$500)),"")</f>
        <v>46309</v>
      </c>
      <c r="H501" s="25">
        <v>0</v>
      </c>
      <c r="I501" s="28">
        <v>46308</v>
      </c>
      <c r="J501" t="s">
        <v>440</v>
      </c>
      <c r="K501" t="s">
        <v>680</v>
      </c>
    </row>
    <row r="502" spans="1:11" hidden="1">
      <c r="A502" s="28">
        <v>46308</v>
      </c>
      <c r="B502" t="s">
        <v>185</v>
      </c>
      <c r="C502" t="s">
        <v>202</v>
      </c>
      <c r="D502" t="s">
        <v>217</v>
      </c>
      <c r="E502">
        <f>IF(LEFT(D502,6)="CLIENT",IFERROR(VLOOKUP(C502,Config_Carteiras!$A:$B,2,FALSE),1),"")</f>
        <v>1</v>
      </c>
      <c r="F502" s="25">
        <v>1513.5</v>
      </c>
      <c r="G502" s="28">
        <f>IF(LEFT(D502,6)="CLIENT",IF(E502=0,WORKDAY(A502-1,1,Dias_Sem_Compensacao!$A$2:$A$500),WORKDAY(A502,E502,Dias_Sem_Compensacao!$A$2:$A$500)),"")</f>
        <v>46309</v>
      </c>
      <c r="H502" s="25">
        <v>0</v>
      </c>
      <c r="I502" s="28">
        <v>46308</v>
      </c>
      <c r="J502" t="s">
        <v>342</v>
      </c>
      <c r="K502" t="s">
        <v>343</v>
      </c>
    </row>
    <row r="503" spans="1:11" hidden="1">
      <c r="A503" s="28">
        <v>46308</v>
      </c>
      <c r="B503" t="s">
        <v>185</v>
      </c>
      <c r="C503" t="s">
        <v>202</v>
      </c>
      <c r="D503" t="s">
        <v>217</v>
      </c>
      <c r="E503">
        <f>IF(LEFT(D503,6)="CLIENT",IFERROR(VLOOKUP(C503,Config_Carteiras!$A:$B,2,FALSE),1),"")</f>
        <v>1</v>
      </c>
      <c r="F503" s="25">
        <v>1265</v>
      </c>
      <c r="G503" s="28">
        <f>IF(LEFT(D503,6)="CLIENT",IF(E503=0,WORKDAY(A503-1,1,Dias_Sem_Compensacao!$A$2:$A$500),WORKDAY(A503,E503,Dias_Sem_Compensacao!$A$2:$A$500)),"")</f>
        <v>46309</v>
      </c>
      <c r="H503" s="25">
        <v>0</v>
      </c>
      <c r="I503" s="28">
        <v>46308</v>
      </c>
      <c r="J503" t="s">
        <v>617</v>
      </c>
      <c r="K503" t="s">
        <v>618</v>
      </c>
    </row>
    <row r="504" spans="1:11" hidden="1">
      <c r="A504" s="28">
        <v>46308</v>
      </c>
      <c r="B504" t="s">
        <v>185</v>
      </c>
      <c r="C504" t="s">
        <v>202</v>
      </c>
      <c r="D504" t="s">
        <v>217</v>
      </c>
      <c r="E504">
        <f>IF(LEFT(D504,6)="CLIENT",IFERROR(VLOOKUP(C504,Config_Carteiras!$A:$B,2,FALSE),1),"")</f>
        <v>1</v>
      </c>
      <c r="F504" s="25">
        <v>630.79999999999995</v>
      </c>
      <c r="G504" s="28">
        <f>IF(LEFT(D504,6)="CLIENT",IF(E504=0,WORKDAY(A504-1,1,Dias_Sem_Compensacao!$A$2:$A$500),WORKDAY(A504,E504,Dias_Sem_Compensacao!$A$2:$A$500)),"")</f>
        <v>46309</v>
      </c>
      <c r="H504" s="25">
        <v>0</v>
      </c>
      <c r="I504" s="28">
        <v>46308</v>
      </c>
      <c r="J504" t="s">
        <v>683</v>
      </c>
      <c r="K504" t="s">
        <v>684</v>
      </c>
    </row>
    <row r="505" spans="1:11" hidden="1">
      <c r="A505" s="28">
        <v>46308</v>
      </c>
      <c r="B505" t="s">
        <v>185</v>
      </c>
      <c r="C505" t="s">
        <v>202</v>
      </c>
      <c r="D505" t="s">
        <v>217</v>
      </c>
      <c r="E505">
        <f>IF(LEFT(D505,6)="CLIENT",IFERROR(VLOOKUP(C505,Config_Carteiras!$A:$B,2,FALSE),1),"")</f>
        <v>1</v>
      </c>
      <c r="F505" s="25">
        <v>596</v>
      </c>
      <c r="G505" s="28">
        <f>IF(LEFT(D505,6)="CLIENT",IF(E505=0,WORKDAY(A505-1,1,Dias_Sem_Compensacao!$A$2:$A$500),WORKDAY(A505,E505,Dias_Sem_Compensacao!$A$2:$A$500)),"")</f>
        <v>46309</v>
      </c>
      <c r="H505" s="25">
        <v>0</v>
      </c>
      <c r="I505" s="28">
        <v>46308</v>
      </c>
      <c r="J505" t="s">
        <v>855</v>
      </c>
      <c r="K505" t="s">
        <v>856</v>
      </c>
    </row>
    <row r="506" spans="1:11" hidden="1">
      <c r="A506" s="28">
        <v>46308</v>
      </c>
      <c r="B506" t="s">
        <v>185</v>
      </c>
      <c r="C506" t="s">
        <v>202</v>
      </c>
      <c r="D506" t="s">
        <v>217</v>
      </c>
      <c r="E506">
        <f>IF(LEFT(D506,6)="CLIENT",IFERROR(VLOOKUP(C506,Config_Carteiras!$A:$B,2,FALSE),1),"")</f>
        <v>1</v>
      </c>
      <c r="F506" s="25">
        <v>3753</v>
      </c>
      <c r="G506" s="28">
        <f>IF(LEFT(D506,6)="CLIENT",IF(E506=0,WORKDAY(A506-1,1,Dias_Sem_Compensacao!$A$2:$A$500),WORKDAY(A506,E506,Dias_Sem_Compensacao!$A$2:$A$500)),"")</f>
        <v>46309</v>
      </c>
      <c r="H506" s="25">
        <v>0</v>
      </c>
      <c r="I506" s="28">
        <v>46308</v>
      </c>
      <c r="J506" t="s">
        <v>619</v>
      </c>
      <c r="K506" t="s">
        <v>620</v>
      </c>
    </row>
    <row r="507" spans="1:11" hidden="1">
      <c r="A507" s="28">
        <v>46308</v>
      </c>
      <c r="B507" t="s">
        <v>185</v>
      </c>
      <c r="C507" t="s">
        <v>202</v>
      </c>
      <c r="D507" t="s">
        <v>217</v>
      </c>
      <c r="E507">
        <f>IF(LEFT(D507,6)="CLIENT",IFERROR(VLOOKUP(C507,Config_Carteiras!$A:$B,2,FALSE),1),"")</f>
        <v>1</v>
      </c>
      <c r="F507" s="25">
        <v>1272</v>
      </c>
      <c r="G507" s="28">
        <f>IF(LEFT(D507,6)="CLIENT",IF(E507=0,WORKDAY(A507-1,1,Dias_Sem_Compensacao!$A$2:$A$500),WORKDAY(A507,E507,Dias_Sem_Compensacao!$A$2:$A$500)),"")</f>
        <v>46309</v>
      </c>
      <c r="H507" s="25">
        <v>0</v>
      </c>
      <c r="I507" s="28">
        <v>46308</v>
      </c>
      <c r="J507" t="s">
        <v>857</v>
      </c>
      <c r="K507" t="s">
        <v>858</v>
      </c>
    </row>
    <row r="508" spans="1:11" hidden="1">
      <c r="A508" s="28">
        <v>46308</v>
      </c>
      <c r="B508" t="s">
        <v>185</v>
      </c>
      <c r="C508" t="s">
        <v>202</v>
      </c>
      <c r="D508" t="s">
        <v>217</v>
      </c>
      <c r="E508">
        <f>IF(LEFT(D508,6)="CLIENT",IFERROR(VLOOKUP(C508,Config_Carteiras!$A:$B,2,FALSE),1),"")</f>
        <v>1</v>
      </c>
      <c r="F508" s="25">
        <v>1799</v>
      </c>
      <c r="G508" s="28">
        <f>IF(LEFT(D508,6)="CLIENT",IF(E508=0,WORKDAY(A508-1,1,Dias_Sem_Compensacao!$A$2:$A$500),WORKDAY(A508,E508,Dias_Sem_Compensacao!$A$2:$A$500)),"")</f>
        <v>46309</v>
      </c>
      <c r="H508" s="25">
        <v>0</v>
      </c>
      <c r="I508" s="28">
        <v>46308</v>
      </c>
      <c r="J508" t="s">
        <v>350</v>
      </c>
      <c r="K508" t="s">
        <v>351</v>
      </c>
    </row>
    <row r="509" spans="1:11" hidden="1">
      <c r="A509" s="28">
        <v>46308</v>
      </c>
      <c r="B509" t="s">
        <v>185</v>
      </c>
      <c r="C509" t="s">
        <v>202</v>
      </c>
      <c r="D509" t="s">
        <v>217</v>
      </c>
      <c r="E509">
        <f>IF(LEFT(D509,6)="CLIENT",IFERROR(VLOOKUP(C509,Config_Carteiras!$A:$B,2,FALSE),1),"")</f>
        <v>1</v>
      </c>
      <c r="F509" s="25">
        <v>531</v>
      </c>
      <c r="G509" s="28">
        <f>IF(LEFT(D509,6)="CLIENT",IF(E509=0,WORKDAY(A509-1,1,Dias_Sem_Compensacao!$A$2:$A$500),WORKDAY(A509,E509,Dias_Sem_Compensacao!$A$2:$A$500)),"")</f>
        <v>46309</v>
      </c>
      <c r="H509" s="25">
        <v>0</v>
      </c>
      <c r="I509" s="28">
        <v>46308</v>
      </c>
      <c r="J509" t="s">
        <v>859</v>
      </c>
      <c r="K509" t="s">
        <v>860</v>
      </c>
    </row>
    <row r="510" spans="1:11" hidden="1">
      <c r="A510" s="28">
        <v>46308</v>
      </c>
      <c r="B510" t="s">
        <v>185</v>
      </c>
      <c r="C510" t="s">
        <v>202</v>
      </c>
      <c r="D510" t="s">
        <v>217</v>
      </c>
      <c r="E510">
        <f>IF(LEFT(D510,6)="CLIENT",IFERROR(VLOOKUP(C510,Config_Carteiras!$A:$B,2,FALSE),1),"")</f>
        <v>1</v>
      </c>
      <c r="F510" s="25">
        <v>596</v>
      </c>
      <c r="G510" s="28">
        <f>IF(LEFT(D510,6)="CLIENT",IF(E510=0,WORKDAY(A510-1,1,Dias_Sem_Compensacao!$A$2:$A$500),WORKDAY(A510,E510,Dias_Sem_Compensacao!$A$2:$A$500)),"")</f>
        <v>46309</v>
      </c>
      <c r="H510" s="25">
        <v>0</v>
      </c>
      <c r="I510" s="28">
        <v>46308</v>
      </c>
      <c r="J510" t="s">
        <v>861</v>
      </c>
      <c r="K510" t="s">
        <v>862</v>
      </c>
    </row>
    <row r="511" spans="1:11" hidden="1">
      <c r="A511" s="28">
        <v>46308</v>
      </c>
      <c r="B511" t="s">
        <v>185</v>
      </c>
      <c r="C511" t="s">
        <v>202</v>
      </c>
      <c r="D511" t="s">
        <v>217</v>
      </c>
      <c r="E511">
        <f>IF(LEFT(D511,6)="CLIENT",IFERROR(VLOOKUP(C511,Config_Carteiras!$A:$B,2,FALSE),1),"")</f>
        <v>1</v>
      </c>
      <c r="F511" s="25">
        <v>892.5</v>
      </c>
      <c r="G511" s="28">
        <f>IF(LEFT(D511,6)="CLIENT",IF(E511=0,WORKDAY(A511-1,1,Dias_Sem_Compensacao!$A$2:$A$500),WORKDAY(A511,E511,Dias_Sem_Compensacao!$A$2:$A$500)),"")</f>
        <v>46309</v>
      </c>
      <c r="H511" s="25">
        <v>0</v>
      </c>
      <c r="I511" s="28">
        <v>46308</v>
      </c>
      <c r="J511" t="s">
        <v>621</v>
      </c>
      <c r="K511" t="s">
        <v>622</v>
      </c>
    </row>
    <row r="512" spans="1:11" hidden="1">
      <c r="A512" s="28">
        <v>46308</v>
      </c>
      <c r="B512" t="s">
        <v>185</v>
      </c>
      <c r="C512" t="s">
        <v>202</v>
      </c>
      <c r="D512" t="s">
        <v>217</v>
      </c>
      <c r="E512">
        <f>IF(LEFT(D512,6)="CLIENT",IFERROR(VLOOKUP(C512,Config_Carteiras!$A:$B,2,FALSE),1),"")</f>
        <v>1</v>
      </c>
      <c r="F512" s="25">
        <v>495</v>
      </c>
      <c r="G512" s="28">
        <f>IF(LEFT(D512,6)="CLIENT",IF(E512=0,WORKDAY(A512-1,1,Dias_Sem_Compensacao!$A$2:$A$500),WORKDAY(A512,E512,Dias_Sem_Compensacao!$A$2:$A$500)),"")</f>
        <v>46309</v>
      </c>
      <c r="H512" s="25">
        <v>0</v>
      </c>
      <c r="I512" s="28">
        <v>46308</v>
      </c>
      <c r="J512" t="s">
        <v>21</v>
      </c>
      <c r="K512" t="s">
        <v>863</v>
      </c>
    </row>
    <row r="513" spans="1:11" hidden="1">
      <c r="A513" s="28">
        <v>46308</v>
      </c>
      <c r="B513" t="s">
        <v>185</v>
      </c>
      <c r="C513" t="s">
        <v>202</v>
      </c>
      <c r="D513" t="s">
        <v>217</v>
      </c>
      <c r="E513">
        <f>IF(LEFT(D513,6)="CLIENT",IFERROR(VLOOKUP(C513,Config_Carteiras!$A:$B,2,FALSE),1),"")</f>
        <v>1</v>
      </c>
      <c r="F513" s="25">
        <v>357</v>
      </c>
      <c r="G513" s="28">
        <f>IF(LEFT(D513,6)="CLIENT",IF(E513=0,WORKDAY(A513-1,1,Dias_Sem_Compensacao!$A$2:$A$500),WORKDAY(A513,E513,Dias_Sem_Compensacao!$A$2:$A$500)),"")</f>
        <v>46309</v>
      </c>
      <c r="H513" s="25">
        <v>0</v>
      </c>
      <c r="I513" s="28">
        <v>46308</v>
      </c>
      <c r="J513" t="s">
        <v>864</v>
      </c>
      <c r="K513" t="s">
        <v>865</v>
      </c>
    </row>
    <row r="514" spans="1:11" hidden="1">
      <c r="A514" s="28">
        <v>46308</v>
      </c>
      <c r="B514" t="s">
        <v>185</v>
      </c>
      <c r="C514" t="s">
        <v>202</v>
      </c>
      <c r="D514" t="s">
        <v>217</v>
      </c>
      <c r="E514">
        <f>IF(LEFT(D514,6)="CLIENT",IFERROR(VLOOKUP(C514,Config_Carteiras!$A:$B,2,FALSE),1),"")</f>
        <v>1</v>
      </c>
      <c r="F514" s="25">
        <v>1230</v>
      </c>
      <c r="G514" s="28">
        <f>IF(LEFT(D514,6)="CLIENT",IF(E514=0,WORKDAY(A514-1,1,Dias_Sem_Compensacao!$A$2:$A$500),WORKDAY(A514,E514,Dias_Sem_Compensacao!$A$2:$A$500)),"")</f>
        <v>46309</v>
      </c>
      <c r="H514" s="25">
        <v>0</v>
      </c>
      <c r="I514" s="28">
        <v>46308</v>
      </c>
      <c r="J514" t="s">
        <v>352</v>
      </c>
      <c r="K514" t="s">
        <v>353</v>
      </c>
    </row>
    <row r="515" spans="1:11" hidden="1">
      <c r="A515" s="28">
        <v>46308</v>
      </c>
      <c r="B515" t="s">
        <v>185</v>
      </c>
      <c r="C515" t="s">
        <v>202</v>
      </c>
      <c r="D515" t="s">
        <v>217</v>
      </c>
      <c r="E515">
        <f>IF(LEFT(D515,6)="CLIENT",IFERROR(VLOOKUP(C515,Config_Carteiras!$A:$B,2,FALSE),1),"")</f>
        <v>1</v>
      </c>
      <c r="F515" s="25">
        <v>352</v>
      </c>
      <c r="G515" s="28">
        <f>IF(LEFT(D515,6)="CLIENT",IF(E515=0,WORKDAY(A515-1,1,Dias_Sem_Compensacao!$A$2:$A$500),WORKDAY(A515,E515,Dias_Sem_Compensacao!$A$2:$A$500)),"")</f>
        <v>46309</v>
      </c>
      <c r="H515" s="25">
        <v>0</v>
      </c>
      <c r="I515" s="28">
        <v>46308</v>
      </c>
      <c r="J515" t="s">
        <v>623</v>
      </c>
      <c r="K515" t="s">
        <v>624</v>
      </c>
    </row>
    <row r="516" spans="1:11" hidden="1">
      <c r="A516" s="28">
        <v>46308</v>
      </c>
      <c r="B516" t="s">
        <v>185</v>
      </c>
      <c r="C516" t="s">
        <v>202</v>
      </c>
      <c r="D516" t="s">
        <v>217</v>
      </c>
      <c r="E516">
        <f>IF(LEFT(D516,6)="CLIENT",IFERROR(VLOOKUP(C516,Config_Carteiras!$A:$B,2,FALSE),1),"")</f>
        <v>1</v>
      </c>
      <c r="F516" s="25">
        <v>390.6</v>
      </c>
      <c r="G516" s="28">
        <f>IF(LEFT(D516,6)="CLIENT",IF(E516=0,WORKDAY(A516-1,1,Dias_Sem_Compensacao!$A$2:$A$500),WORKDAY(A516,E516,Dias_Sem_Compensacao!$A$2:$A$500)),"")</f>
        <v>46309</v>
      </c>
      <c r="H516" s="25">
        <v>0</v>
      </c>
      <c r="I516" s="28">
        <v>46308</v>
      </c>
      <c r="J516" t="s">
        <v>251</v>
      </c>
      <c r="K516" t="s">
        <v>252</v>
      </c>
    </row>
    <row r="517" spans="1:11" hidden="1">
      <c r="A517" s="28">
        <v>46308</v>
      </c>
      <c r="B517" t="s">
        <v>185</v>
      </c>
      <c r="C517" t="s">
        <v>202</v>
      </c>
      <c r="D517" t="s">
        <v>217</v>
      </c>
      <c r="E517">
        <f>IF(LEFT(D517,6)="CLIENT",IFERROR(VLOOKUP(C517,Config_Carteiras!$A:$B,2,FALSE),1),"")</f>
        <v>1</v>
      </c>
      <c r="F517" s="25">
        <v>410</v>
      </c>
      <c r="G517" s="28">
        <f>IF(LEFT(D517,6)="CLIENT",IF(E517=0,WORKDAY(A517-1,1,Dias_Sem_Compensacao!$A$2:$A$500),WORKDAY(A517,E517,Dias_Sem_Compensacao!$A$2:$A$500)),"")</f>
        <v>46309</v>
      </c>
      <c r="H517" s="25">
        <v>0</v>
      </c>
      <c r="I517" s="28">
        <v>46308</v>
      </c>
      <c r="J517" t="s">
        <v>866</v>
      </c>
      <c r="K517" t="s">
        <v>867</v>
      </c>
    </row>
    <row r="518" spans="1:11" hidden="1">
      <c r="A518" s="28">
        <v>46308</v>
      </c>
      <c r="B518" t="s">
        <v>185</v>
      </c>
      <c r="C518" t="s">
        <v>202</v>
      </c>
      <c r="D518" t="s">
        <v>217</v>
      </c>
      <c r="E518">
        <f>IF(LEFT(D518,6)="CLIENT",IFERROR(VLOOKUP(C518,Config_Carteiras!$A:$B,2,FALSE),1),"")</f>
        <v>1</v>
      </c>
      <c r="F518" s="25">
        <v>360</v>
      </c>
      <c r="G518" s="28">
        <f>IF(LEFT(D518,6)="CLIENT",IF(E518=0,WORKDAY(A518-1,1,Dias_Sem_Compensacao!$A$2:$A$500),WORKDAY(A518,E518,Dias_Sem_Compensacao!$A$2:$A$500)),"")</f>
        <v>46309</v>
      </c>
      <c r="H518" s="25">
        <v>0</v>
      </c>
      <c r="I518" s="28">
        <v>46308</v>
      </c>
      <c r="J518" t="s">
        <v>354</v>
      </c>
      <c r="K518" t="s">
        <v>355</v>
      </c>
    </row>
    <row r="519" spans="1:11" hidden="1">
      <c r="A519" s="28">
        <v>46308</v>
      </c>
      <c r="B519" t="s">
        <v>185</v>
      </c>
      <c r="C519" t="s">
        <v>202</v>
      </c>
      <c r="D519" t="s">
        <v>217</v>
      </c>
      <c r="E519">
        <f>IF(LEFT(D519,6)="CLIENT",IFERROR(VLOOKUP(C519,Config_Carteiras!$A:$B,2,FALSE),1),"")</f>
        <v>1</v>
      </c>
      <c r="F519" s="25">
        <v>360</v>
      </c>
      <c r="G519" s="28">
        <f>IF(LEFT(D519,6)="CLIENT",IF(E519=0,WORKDAY(A519-1,1,Dias_Sem_Compensacao!$A$2:$A$500),WORKDAY(A519,E519,Dias_Sem_Compensacao!$A$2:$A$500)),"")</f>
        <v>46309</v>
      </c>
      <c r="H519" s="25">
        <v>0</v>
      </c>
      <c r="I519" s="28">
        <v>46308</v>
      </c>
      <c r="K519" t="s">
        <v>625</v>
      </c>
    </row>
    <row r="520" spans="1:11" hidden="1">
      <c r="A520" s="28">
        <v>46308</v>
      </c>
      <c r="B520" t="s">
        <v>185</v>
      </c>
      <c r="C520" t="s">
        <v>202</v>
      </c>
      <c r="D520" t="s">
        <v>217</v>
      </c>
      <c r="E520">
        <f>IF(LEFT(D520,6)="CLIENT",IFERROR(VLOOKUP(C520,Config_Carteiras!$A:$B,2,FALSE),1),"")</f>
        <v>1</v>
      </c>
      <c r="F520" s="25">
        <v>480</v>
      </c>
      <c r="G520" s="28">
        <f>IF(LEFT(D520,6)="CLIENT",IF(E520=0,WORKDAY(A520-1,1,Dias_Sem_Compensacao!$A$2:$A$500),WORKDAY(A520,E520,Dias_Sem_Compensacao!$A$2:$A$500)),"")</f>
        <v>46309</v>
      </c>
      <c r="H520" s="25">
        <v>0</v>
      </c>
      <c r="I520" s="28">
        <v>46308</v>
      </c>
      <c r="K520" t="s">
        <v>626</v>
      </c>
    </row>
    <row r="521" spans="1:11" hidden="1">
      <c r="A521" s="28">
        <v>46308</v>
      </c>
      <c r="B521" t="s">
        <v>185</v>
      </c>
      <c r="C521" t="s">
        <v>202</v>
      </c>
      <c r="D521" t="s">
        <v>217</v>
      </c>
      <c r="E521">
        <f>IF(LEFT(D521,6)="CLIENT",IFERROR(VLOOKUP(C521,Config_Carteiras!$A:$B,2,FALSE),1),"")</f>
        <v>1</v>
      </c>
      <c r="F521" s="25">
        <v>1264</v>
      </c>
      <c r="G521" s="28">
        <f>IF(LEFT(D521,6)="CLIENT",IF(E521=0,WORKDAY(A521-1,1,Dias_Sem_Compensacao!$A$2:$A$500),WORKDAY(A521,E521,Dias_Sem_Compensacao!$A$2:$A$500)),"")</f>
        <v>46309</v>
      </c>
      <c r="H521" s="25">
        <v>0</v>
      </c>
      <c r="I521" s="28">
        <v>46308</v>
      </c>
      <c r="J521" t="s">
        <v>356</v>
      </c>
      <c r="K521" t="s">
        <v>357</v>
      </c>
    </row>
    <row r="522" spans="1:11" hidden="1">
      <c r="A522" s="28">
        <v>46308</v>
      </c>
      <c r="B522" t="s">
        <v>185</v>
      </c>
      <c r="C522" t="s">
        <v>202</v>
      </c>
      <c r="D522" t="s">
        <v>217</v>
      </c>
      <c r="E522">
        <f>IF(LEFT(D522,6)="CLIENT",IFERROR(VLOOKUP(C522,Config_Carteiras!$A:$B,2,FALSE),1),"")</f>
        <v>1</v>
      </c>
      <c r="F522" s="25">
        <v>656</v>
      </c>
      <c r="G522" s="28">
        <f>IF(LEFT(D522,6)="CLIENT",IF(E522=0,WORKDAY(A522-1,1,Dias_Sem_Compensacao!$A$2:$A$500),WORKDAY(A522,E522,Dias_Sem_Compensacao!$A$2:$A$500)),"")</f>
        <v>46309</v>
      </c>
      <c r="H522" s="25">
        <v>0</v>
      </c>
      <c r="I522" s="28">
        <v>46308</v>
      </c>
      <c r="J522" t="s">
        <v>360</v>
      </c>
      <c r="K522" t="s">
        <v>361</v>
      </c>
    </row>
    <row r="523" spans="1:11" hidden="1">
      <c r="A523" s="28">
        <v>46308</v>
      </c>
      <c r="B523" t="s">
        <v>185</v>
      </c>
      <c r="C523" t="s">
        <v>202</v>
      </c>
      <c r="D523" t="s">
        <v>217</v>
      </c>
      <c r="E523">
        <f>IF(LEFT(D523,6)="CLIENT",IFERROR(VLOOKUP(C523,Config_Carteiras!$A:$B,2,FALSE),1),"")</f>
        <v>1</v>
      </c>
      <c r="F523" s="25">
        <v>406</v>
      </c>
      <c r="G523" s="28">
        <f>IF(LEFT(D523,6)="CLIENT",IF(E523=0,WORKDAY(A523-1,1,Dias_Sem_Compensacao!$A$2:$A$500),WORKDAY(A523,E523,Dias_Sem_Compensacao!$A$2:$A$500)),"")</f>
        <v>46309</v>
      </c>
      <c r="H523" s="25">
        <v>0</v>
      </c>
      <c r="I523" s="28">
        <v>46308</v>
      </c>
      <c r="J523" t="s">
        <v>868</v>
      </c>
      <c r="K523" t="s">
        <v>869</v>
      </c>
    </row>
    <row r="524" spans="1:11" hidden="1">
      <c r="A524" s="28">
        <v>46308</v>
      </c>
      <c r="B524" t="s">
        <v>185</v>
      </c>
      <c r="C524" t="s">
        <v>202</v>
      </c>
      <c r="D524" t="s">
        <v>217</v>
      </c>
      <c r="E524">
        <f>IF(LEFT(D524,6)="CLIENT",IFERROR(VLOOKUP(C524,Config_Carteiras!$A:$B,2,FALSE),1),"")</f>
        <v>1</v>
      </c>
      <c r="F524" s="25">
        <v>5308.12</v>
      </c>
      <c r="G524" s="28">
        <f>IF(LEFT(D524,6)="CLIENT",IF(E524=0,WORKDAY(A524-1,1,Dias_Sem_Compensacao!$A$2:$A$500),WORKDAY(A524,E524,Dias_Sem_Compensacao!$A$2:$A$500)),"")</f>
        <v>46309</v>
      </c>
      <c r="H524" s="25">
        <v>0</v>
      </c>
      <c r="I524" s="28">
        <v>46308</v>
      </c>
      <c r="J524" t="s">
        <v>98</v>
      </c>
      <c r="K524" t="s">
        <v>363</v>
      </c>
    </row>
    <row r="525" spans="1:11" hidden="1">
      <c r="A525" s="28">
        <v>46308</v>
      </c>
      <c r="B525" t="s">
        <v>185</v>
      </c>
      <c r="C525" t="s">
        <v>202</v>
      </c>
      <c r="D525" t="s">
        <v>217</v>
      </c>
      <c r="E525">
        <f>IF(LEFT(D525,6)="CLIENT",IFERROR(VLOOKUP(C525,Config_Carteiras!$A:$B,2,FALSE),1),"")</f>
        <v>1</v>
      </c>
      <c r="F525" s="25">
        <v>3224.35</v>
      </c>
      <c r="G525" s="28">
        <f>IF(LEFT(D525,6)="CLIENT",IF(E525=0,WORKDAY(A525-1,1,Dias_Sem_Compensacao!$A$2:$A$500),WORKDAY(A525,E525,Dias_Sem_Compensacao!$A$2:$A$500)),"")</f>
        <v>46309</v>
      </c>
      <c r="H525" s="25">
        <v>0</v>
      </c>
      <c r="I525" s="28">
        <v>46308</v>
      </c>
      <c r="K525" t="s">
        <v>364</v>
      </c>
    </row>
    <row r="526" spans="1:11" hidden="1">
      <c r="A526" s="28">
        <v>46308</v>
      </c>
      <c r="B526" t="s">
        <v>185</v>
      </c>
      <c r="C526" t="s">
        <v>202</v>
      </c>
      <c r="D526" t="s">
        <v>217</v>
      </c>
      <c r="E526">
        <f>IF(LEFT(D526,6)="CLIENT",IFERROR(VLOOKUP(C526,Config_Carteiras!$A:$B,2,FALSE),1),"")</f>
        <v>1</v>
      </c>
      <c r="F526" s="25">
        <v>386</v>
      </c>
      <c r="G526" s="28">
        <f>IF(LEFT(D526,6)="CLIENT",IF(E526=0,WORKDAY(A526-1,1,Dias_Sem_Compensacao!$A$2:$A$500),WORKDAY(A526,E526,Dias_Sem_Compensacao!$A$2:$A$500)),"")</f>
        <v>46309</v>
      </c>
      <c r="H526" s="25">
        <v>0</v>
      </c>
      <c r="I526" s="28">
        <v>46308</v>
      </c>
      <c r="J526" t="s">
        <v>365</v>
      </c>
      <c r="K526" t="s">
        <v>366</v>
      </c>
    </row>
    <row r="527" spans="1:11" hidden="1">
      <c r="A527" s="28">
        <v>46308</v>
      </c>
      <c r="B527" t="s">
        <v>185</v>
      </c>
      <c r="C527" t="s">
        <v>202</v>
      </c>
      <c r="D527" t="s">
        <v>217</v>
      </c>
      <c r="E527">
        <f>IF(LEFT(D527,6)="CLIENT",IFERROR(VLOOKUP(C527,Config_Carteiras!$A:$B,2,FALSE),1),"")</f>
        <v>1</v>
      </c>
      <c r="F527" s="25">
        <v>494</v>
      </c>
      <c r="G527" s="28">
        <f>IF(LEFT(D527,6)="CLIENT",IF(E527=0,WORKDAY(A527-1,1,Dias_Sem_Compensacao!$A$2:$A$500),WORKDAY(A527,E527,Dias_Sem_Compensacao!$A$2:$A$500)),"")</f>
        <v>46309</v>
      </c>
      <c r="H527" s="25">
        <v>0</v>
      </c>
      <c r="I527" s="28">
        <v>46308</v>
      </c>
      <c r="J527" t="s">
        <v>628</v>
      </c>
      <c r="K527" t="s">
        <v>629</v>
      </c>
    </row>
    <row r="528" spans="1:11" hidden="1">
      <c r="A528" s="28">
        <v>46308</v>
      </c>
      <c r="B528" t="s">
        <v>185</v>
      </c>
      <c r="C528" t="s">
        <v>202</v>
      </c>
      <c r="D528" t="s">
        <v>217</v>
      </c>
      <c r="E528">
        <f>IF(LEFT(D528,6)="CLIENT",IFERROR(VLOOKUP(C528,Config_Carteiras!$A:$B,2,FALSE),1),"")</f>
        <v>1</v>
      </c>
      <c r="F528" s="25">
        <v>787</v>
      </c>
      <c r="G528" s="28">
        <f>IF(LEFT(D528,6)="CLIENT",IF(E528=0,WORKDAY(A528-1,1,Dias_Sem_Compensacao!$A$2:$A$500),WORKDAY(A528,E528,Dias_Sem_Compensacao!$A$2:$A$500)),"")</f>
        <v>46309</v>
      </c>
      <c r="H528" s="25">
        <v>0</v>
      </c>
      <c r="I528" s="28">
        <v>46308</v>
      </c>
      <c r="J528" t="s">
        <v>694</v>
      </c>
      <c r="K528" t="s">
        <v>695</v>
      </c>
    </row>
    <row r="529" spans="1:11" hidden="1">
      <c r="A529" s="28">
        <v>46308</v>
      </c>
      <c r="B529" t="s">
        <v>185</v>
      </c>
      <c r="C529" t="s">
        <v>202</v>
      </c>
      <c r="D529" t="s">
        <v>217</v>
      </c>
      <c r="E529">
        <f>IF(LEFT(D529,6)="CLIENT",IFERROR(VLOOKUP(C529,Config_Carteiras!$A:$B,2,FALSE),1),"")</f>
        <v>1</v>
      </c>
      <c r="F529" s="25">
        <v>368</v>
      </c>
      <c r="G529" s="28">
        <f>IF(LEFT(D529,6)="CLIENT",IF(E529=0,WORKDAY(A529-1,1,Dias_Sem_Compensacao!$A$2:$A$500),WORKDAY(A529,E529,Dias_Sem_Compensacao!$A$2:$A$500)),"")</f>
        <v>46309</v>
      </c>
      <c r="H529" s="25">
        <v>0</v>
      </c>
      <c r="I529" s="28">
        <v>46308</v>
      </c>
      <c r="J529" t="s">
        <v>870</v>
      </c>
      <c r="K529" t="s">
        <v>871</v>
      </c>
    </row>
    <row r="530" spans="1:11" hidden="1">
      <c r="A530" s="28">
        <v>46308</v>
      </c>
      <c r="B530" t="s">
        <v>185</v>
      </c>
      <c r="C530" t="s">
        <v>202</v>
      </c>
      <c r="D530" t="s">
        <v>217</v>
      </c>
      <c r="E530">
        <f>IF(LEFT(D530,6)="CLIENT",IFERROR(VLOOKUP(C530,Config_Carteiras!$A:$B,2,FALSE),1),"")</f>
        <v>1</v>
      </c>
      <c r="F530" s="25">
        <v>8071.5</v>
      </c>
      <c r="G530" s="28">
        <f>IF(LEFT(D530,6)="CLIENT",IF(E530=0,WORKDAY(A530-1,1,Dias_Sem_Compensacao!$A$2:$A$500),WORKDAY(A530,E530,Dias_Sem_Compensacao!$A$2:$A$500)),"")</f>
        <v>46309</v>
      </c>
      <c r="H530" s="25">
        <v>0</v>
      </c>
      <c r="I530" s="28">
        <v>46308</v>
      </c>
      <c r="J530" t="s">
        <v>872</v>
      </c>
      <c r="K530" t="s">
        <v>873</v>
      </c>
    </row>
    <row r="531" spans="1:11" hidden="1">
      <c r="A531" s="28">
        <v>46308</v>
      </c>
      <c r="B531" t="s">
        <v>185</v>
      </c>
      <c r="C531" t="s">
        <v>202</v>
      </c>
      <c r="D531" t="s">
        <v>217</v>
      </c>
      <c r="E531">
        <f>IF(LEFT(D531,6)="CLIENT",IFERROR(VLOOKUP(C531,Config_Carteiras!$A:$B,2,FALSE),1),"")</f>
        <v>1</v>
      </c>
      <c r="F531" s="25">
        <v>418.64</v>
      </c>
      <c r="G531" s="28">
        <f>IF(LEFT(D531,6)="CLIENT",IF(E531=0,WORKDAY(A531-1,1,Dias_Sem_Compensacao!$A$2:$A$500),WORKDAY(A531,E531,Dias_Sem_Compensacao!$A$2:$A$500)),"")</f>
        <v>46309</v>
      </c>
      <c r="H531" s="25">
        <v>0</v>
      </c>
      <c r="I531" s="28">
        <v>46308</v>
      </c>
      <c r="J531" t="s">
        <v>632</v>
      </c>
      <c r="K531" t="s">
        <v>633</v>
      </c>
    </row>
    <row r="532" spans="1:11" hidden="1">
      <c r="A532" s="28">
        <v>46308</v>
      </c>
      <c r="B532" t="s">
        <v>185</v>
      </c>
      <c r="C532" t="s">
        <v>202</v>
      </c>
      <c r="D532" t="s">
        <v>217</v>
      </c>
      <c r="E532">
        <f>IF(LEFT(D532,6)="CLIENT",IFERROR(VLOOKUP(C532,Config_Carteiras!$A:$B,2,FALSE),1),"")</f>
        <v>1</v>
      </c>
      <c r="F532" s="25">
        <v>928</v>
      </c>
      <c r="G532" s="28">
        <f>IF(LEFT(D532,6)="CLIENT",IF(E532=0,WORKDAY(A532-1,1,Dias_Sem_Compensacao!$A$2:$A$500),WORKDAY(A532,E532,Dias_Sem_Compensacao!$A$2:$A$500)),"")</f>
        <v>46309</v>
      </c>
      <c r="H532" s="25">
        <v>0</v>
      </c>
      <c r="I532" s="28">
        <v>46308</v>
      </c>
      <c r="J532" t="s">
        <v>874</v>
      </c>
      <c r="K532" t="s">
        <v>875</v>
      </c>
    </row>
    <row r="533" spans="1:11" hidden="1">
      <c r="A533" s="28">
        <v>46308</v>
      </c>
      <c r="B533" t="s">
        <v>185</v>
      </c>
      <c r="C533" t="s">
        <v>202</v>
      </c>
      <c r="D533" t="s">
        <v>217</v>
      </c>
      <c r="E533">
        <f>IF(LEFT(D533,6)="CLIENT",IFERROR(VLOOKUP(C533,Config_Carteiras!$A:$B,2,FALSE),1),"")</f>
        <v>1</v>
      </c>
      <c r="F533" s="25">
        <v>1707</v>
      </c>
      <c r="G533" s="28">
        <f>IF(LEFT(D533,6)="CLIENT",IF(E533=0,WORKDAY(A533-1,1,Dias_Sem_Compensacao!$A$2:$A$500),WORKDAY(A533,E533,Dias_Sem_Compensacao!$A$2:$A$500)),"")</f>
        <v>46309</v>
      </c>
      <c r="H533" s="25">
        <v>0</v>
      </c>
      <c r="I533" s="28">
        <v>46308</v>
      </c>
      <c r="J533" t="s">
        <v>698</v>
      </c>
      <c r="K533" t="s">
        <v>699</v>
      </c>
    </row>
    <row r="534" spans="1:11" hidden="1">
      <c r="A534" s="28">
        <v>46308</v>
      </c>
      <c r="B534" t="s">
        <v>185</v>
      </c>
      <c r="C534" t="s">
        <v>202</v>
      </c>
      <c r="D534" t="s">
        <v>217</v>
      </c>
      <c r="E534">
        <f>IF(LEFT(D534,6)="CLIENT",IFERROR(VLOOKUP(C534,Config_Carteiras!$A:$B,2,FALSE),1),"")</f>
        <v>1</v>
      </c>
      <c r="F534" s="25">
        <v>837</v>
      </c>
      <c r="G534" s="28">
        <f>IF(LEFT(D534,6)="CLIENT",IF(E534=0,WORKDAY(A534-1,1,Dias_Sem_Compensacao!$A$2:$A$500),WORKDAY(A534,E534,Dias_Sem_Compensacao!$A$2:$A$500)),"")</f>
        <v>46309</v>
      </c>
      <c r="H534" s="25">
        <v>0</v>
      </c>
      <c r="I534" s="28">
        <v>46308</v>
      </c>
      <c r="J534" t="s">
        <v>227</v>
      </c>
      <c r="K534" t="s">
        <v>702</v>
      </c>
    </row>
    <row r="535" spans="1:11" hidden="1">
      <c r="A535" s="28">
        <v>46308</v>
      </c>
      <c r="B535" t="s">
        <v>185</v>
      </c>
      <c r="C535" t="s">
        <v>202</v>
      </c>
      <c r="D535" t="s">
        <v>217</v>
      </c>
      <c r="E535">
        <f>IF(LEFT(D535,6)="CLIENT",IFERROR(VLOOKUP(C535,Config_Carteiras!$A:$B,2,FALSE),1),"")</f>
        <v>1</v>
      </c>
      <c r="F535" s="25">
        <v>409.8</v>
      </c>
      <c r="G535" s="28">
        <f>IF(LEFT(D535,6)="CLIENT",IF(E535=0,WORKDAY(A535-1,1,Dias_Sem_Compensacao!$A$2:$A$500),WORKDAY(A535,E535,Dias_Sem_Compensacao!$A$2:$A$500)),"")</f>
        <v>46309</v>
      </c>
      <c r="H535" s="25">
        <v>0</v>
      </c>
      <c r="I535" s="28">
        <v>46308</v>
      </c>
      <c r="J535" t="s">
        <v>703</v>
      </c>
      <c r="K535" t="s">
        <v>704</v>
      </c>
    </row>
    <row r="536" spans="1:11" hidden="1">
      <c r="A536" s="28">
        <v>46308</v>
      </c>
      <c r="B536" t="s">
        <v>185</v>
      </c>
      <c r="C536" t="s">
        <v>202</v>
      </c>
      <c r="D536" t="s">
        <v>217</v>
      </c>
      <c r="E536">
        <f>IF(LEFT(D536,6)="CLIENT",IFERROR(VLOOKUP(C536,Config_Carteiras!$A:$B,2,FALSE),1),"")</f>
        <v>1</v>
      </c>
      <c r="F536" s="25">
        <v>360.6</v>
      </c>
      <c r="G536" s="28">
        <f>IF(LEFT(D536,6)="CLIENT",IF(E536=0,WORKDAY(A536-1,1,Dias_Sem_Compensacao!$A$2:$A$500),WORKDAY(A536,E536,Dias_Sem_Compensacao!$A$2:$A$500)),"")</f>
        <v>46309</v>
      </c>
      <c r="H536" s="25">
        <v>0</v>
      </c>
      <c r="I536" s="28">
        <v>46308</v>
      </c>
      <c r="J536" t="s">
        <v>705</v>
      </c>
      <c r="K536" t="s">
        <v>706</v>
      </c>
    </row>
    <row r="537" spans="1:11" hidden="1">
      <c r="A537" s="28">
        <v>46308</v>
      </c>
      <c r="B537" t="s">
        <v>185</v>
      </c>
      <c r="C537" t="s">
        <v>202</v>
      </c>
      <c r="D537" t="s">
        <v>217</v>
      </c>
      <c r="E537">
        <f>IF(LEFT(D537,6)="CLIENT",IFERROR(VLOOKUP(C537,Config_Carteiras!$A:$B,2,FALSE),1),"")</f>
        <v>1</v>
      </c>
      <c r="F537" s="25">
        <v>1087</v>
      </c>
      <c r="G537" s="28">
        <f>IF(LEFT(D537,6)="CLIENT",IF(E537=0,WORKDAY(A537-1,1,Dias_Sem_Compensacao!$A$2:$A$500),WORKDAY(A537,E537,Dias_Sem_Compensacao!$A$2:$A$500)),"")</f>
        <v>46309</v>
      </c>
      <c r="H537" s="25">
        <v>0</v>
      </c>
      <c r="I537" s="28">
        <v>46308</v>
      </c>
      <c r="J537" t="s">
        <v>371</v>
      </c>
      <c r="K537" t="s">
        <v>707</v>
      </c>
    </row>
    <row r="538" spans="1:11" hidden="1">
      <c r="A538" s="28">
        <v>46308</v>
      </c>
      <c r="B538" t="s">
        <v>185</v>
      </c>
      <c r="C538" t="s">
        <v>202</v>
      </c>
      <c r="D538" t="s">
        <v>217</v>
      </c>
      <c r="E538">
        <f>IF(LEFT(D538,6)="CLIENT",IFERROR(VLOOKUP(C538,Config_Carteiras!$A:$B,2,FALSE),1),"")</f>
        <v>1</v>
      </c>
      <c r="F538" s="25">
        <v>532</v>
      </c>
      <c r="G538" s="28">
        <f>IF(LEFT(D538,6)="CLIENT",IF(E538=0,WORKDAY(A538-1,1,Dias_Sem_Compensacao!$A$2:$A$500),WORKDAY(A538,E538,Dias_Sem_Compensacao!$A$2:$A$500)),"")</f>
        <v>46309</v>
      </c>
      <c r="H538" s="25">
        <v>0</v>
      </c>
      <c r="I538" s="28">
        <v>46308</v>
      </c>
      <c r="J538" t="s">
        <v>638</v>
      </c>
      <c r="K538" t="s">
        <v>639</v>
      </c>
    </row>
    <row r="539" spans="1:11" hidden="1">
      <c r="A539" s="28">
        <v>46309</v>
      </c>
      <c r="B539" t="s">
        <v>185</v>
      </c>
      <c r="C539" t="s">
        <v>202</v>
      </c>
      <c r="D539" t="s">
        <v>217</v>
      </c>
      <c r="E539">
        <f>IF(LEFT(D539,6)="CLIENT",IFERROR(VLOOKUP(C539,Config_Carteiras!$A:$B,2,FALSE),1),"")</f>
        <v>1</v>
      </c>
      <c r="F539" s="25">
        <v>530.6</v>
      </c>
      <c r="G539" s="28">
        <f>IF(LEFT(D539,6)="CLIENT",IF(E539=0,WORKDAY(A539-1,1,Dias_Sem_Compensacao!$A$2:$A$500),WORKDAY(A539,E539,Dias_Sem_Compensacao!$A$2:$A$500)),"")</f>
        <v>46310</v>
      </c>
      <c r="H539" s="25">
        <v>0</v>
      </c>
      <c r="I539" s="28">
        <v>46309</v>
      </c>
      <c r="J539" t="s">
        <v>708</v>
      </c>
      <c r="K539" t="s">
        <v>709</v>
      </c>
    </row>
    <row r="540" spans="1:11" hidden="1">
      <c r="A540" s="28">
        <v>46309</v>
      </c>
      <c r="B540" t="s">
        <v>185</v>
      </c>
      <c r="C540" t="s">
        <v>202</v>
      </c>
      <c r="D540" t="s">
        <v>217</v>
      </c>
      <c r="E540">
        <f>IF(LEFT(D540,6)="CLIENT",IFERROR(VLOOKUP(C540,Config_Carteiras!$A:$B,2,FALSE),1),"")</f>
        <v>1</v>
      </c>
      <c r="F540" s="25">
        <v>491.4</v>
      </c>
      <c r="G540" s="28">
        <f>IF(LEFT(D540,6)="CLIENT",IF(E540=0,WORKDAY(A540-1,1,Dias_Sem_Compensacao!$A$2:$A$500),WORKDAY(A540,E540,Dias_Sem_Compensacao!$A$2:$A$500)),"")</f>
        <v>46310</v>
      </c>
      <c r="H540" s="25">
        <v>0</v>
      </c>
      <c r="I540" s="28">
        <v>46309</v>
      </c>
      <c r="J540" t="s">
        <v>477</v>
      </c>
      <c r="K540" t="s">
        <v>876</v>
      </c>
    </row>
    <row r="541" spans="1:11" hidden="1">
      <c r="A541" s="28">
        <v>46309</v>
      </c>
      <c r="B541" t="s">
        <v>185</v>
      </c>
      <c r="C541" t="s">
        <v>202</v>
      </c>
      <c r="D541" t="s">
        <v>217</v>
      </c>
      <c r="E541">
        <f>IF(LEFT(D541,6)="CLIENT",IFERROR(VLOOKUP(C541,Config_Carteiras!$A:$B,2,FALSE),1),"")</f>
        <v>1</v>
      </c>
      <c r="F541" s="25">
        <v>1370.88</v>
      </c>
      <c r="G541" s="28">
        <f>IF(LEFT(D541,6)="CLIENT",IF(E541=0,WORKDAY(A541-1,1,Dias_Sem_Compensacao!$A$2:$A$500),WORKDAY(A541,E541,Dias_Sem_Compensacao!$A$2:$A$500)),"")</f>
        <v>46310</v>
      </c>
      <c r="H541" s="25">
        <v>0</v>
      </c>
      <c r="I541" s="28">
        <v>46309</v>
      </c>
      <c r="J541" t="s">
        <v>377</v>
      </c>
      <c r="K541" t="s">
        <v>378</v>
      </c>
    </row>
    <row r="542" spans="1:11" hidden="1">
      <c r="A542" s="28">
        <v>46309</v>
      </c>
      <c r="B542" t="s">
        <v>185</v>
      </c>
      <c r="C542" t="s">
        <v>202</v>
      </c>
      <c r="D542" t="s">
        <v>217</v>
      </c>
      <c r="E542">
        <f>IF(LEFT(D542,6)="CLIENT",IFERROR(VLOOKUP(C542,Config_Carteiras!$A:$B,2,FALSE),1),"")</f>
        <v>1</v>
      </c>
      <c r="F542" s="25">
        <v>548.20000000000005</v>
      </c>
      <c r="G542" s="28">
        <f>IF(LEFT(D542,6)="CLIENT",IF(E542=0,WORKDAY(A542-1,1,Dias_Sem_Compensacao!$A$2:$A$500),WORKDAY(A542,E542,Dias_Sem_Compensacao!$A$2:$A$500)),"")</f>
        <v>46310</v>
      </c>
      <c r="H542" s="25">
        <v>0</v>
      </c>
      <c r="I542" s="28">
        <v>46309</v>
      </c>
      <c r="J542" t="s">
        <v>379</v>
      </c>
      <c r="K542" t="s">
        <v>711</v>
      </c>
    </row>
    <row r="543" spans="1:11" hidden="1">
      <c r="A543" s="28">
        <v>46309</v>
      </c>
      <c r="B543" t="s">
        <v>185</v>
      </c>
      <c r="C543" t="s">
        <v>202</v>
      </c>
      <c r="D543" t="s">
        <v>217</v>
      </c>
      <c r="E543">
        <f>IF(LEFT(D543,6)="CLIENT",IFERROR(VLOOKUP(C543,Config_Carteiras!$A:$B,2,FALSE),1),"")</f>
        <v>1</v>
      </c>
      <c r="F543" s="25">
        <v>390.68</v>
      </c>
      <c r="G543" s="28">
        <f>IF(LEFT(D543,6)="CLIENT",IF(E543=0,WORKDAY(A543-1,1,Dias_Sem_Compensacao!$A$2:$A$500),WORKDAY(A543,E543,Dias_Sem_Compensacao!$A$2:$A$500)),"")</f>
        <v>46310</v>
      </c>
      <c r="H543" s="25">
        <v>0</v>
      </c>
      <c r="I543" s="28">
        <v>46309</v>
      </c>
      <c r="J543" t="s">
        <v>383</v>
      </c>
      <c r="K543" t="s">
        <v>384</v>
      </c>
    </row>
    <row r="544" spans="1:11" hidden="1">
      <c r="A544" s="28">
        <v>46309</v>
      </c>
      <c r="B544" t="s">
        <v>185</v>
      </c>
      <c r="C544" t="s">
        <v>202</v>
      </c>
      <c r="D544" t="s">
        <v>217</v>
      </c>
      <c r="E544">
        <f>IF(LEFT(D544,6)="CLIENT",IFERROR(VLOOKUP(C544,Config_Carteiras!$A:$B,2,FALSE),1),"")</f>
        <v>1</v>
      </c>
      <c r="F544" s="25">
        <v>1978</v>
      </c>
      <c r="G544" s="28">
        <f>IF(LEFT(D544,6)="CLIENT",IF(E544=0,WORKDAY(A544-1,1,Dias_Sem_Compensacao!$A$2:$A$500),WORKDAY(A544,E544,Dias_Sem_Compensacao!$A$2:$A$500)),"")</f>
        <v>46310</v>
      </c>
      <c r="H544" s="25">
        <v>0</v>
      </c>
      <c r="I544" s="28">
        <v>46309</v>
      </c>
      <c r="J544" t="s">
        <v>385</v>
      </c>
      <c r="K544" t="s">
        <v>877</v>
      </c>
    </row>
    <row r="545" spans="1:11" hidden="1">
      <c r="A545" s="28">
        <v>46309</v>
      </c>
      <c r="B545" t="s">
        <v>185</v>
      </c>
      <c r="C545" t="s">
        <v>202</v>
      </c>
      <c r="D545" t="s">
        <v>217</v>
      </c>
      <c r="E545">
        <f>IF(LEFT(D545,6)="CLIENT",IFERROR(VLOOKUP(C545,Config_Carteiras!$A:$B,2,FALSE),1),"")</f>
        <v>1</v>
      </c>
      <c r="F545" s="25">
        <v>2322</v>
      </c>
      <c r="G545" s="28">
        <f>IF(LEFT(D545,6)="CLIENT",IF(E545=0,WORKDAY(A545-1,1,Dias_Sem_Compensacao!$A$2:$A$500),WORKDAY(A545,E545,Dias_Sem_Compensacao!$A$2:$A$500)),"")</f>
        <v>46310</v>
      </c>
      <c r="H545" s="25">
        <v>0</v>
      </c>
      <c r="I545" s="28">
        <v>46309</v>
      </c>
      <c r="J545" t="s">
        <v>387</v>
      </c>
      <c r="K545" t="s">
        <v>388</v>
      </c>
    </row>
    <row r="546" spans="1:11" hidden="1">
      <c r="A546" s="28">
        <v>46309</v>
      </c>
      <c r="B546" t="s">
        <v>185</v>
      </c>
      <c r="C546" t="s">
        <v>202</v>
      </c>
      <c r="D546" t="s">
        <v>217</v>
      </c>
      <c r="E546">
        <f>IF(LEFT(D546,6)="CLIENT",IFERROR(VLOOKUP(C546,Config_Carteiras!$A:$B,2,FALSE),1),"")</f>
        <v>1</v>
      </c>
      <c r="F546" s="25">
        <v>659.5</v>
      </c>
      <c r="G546" s="28">
        <f>IF(LEFT(D546,6)="CLIENT",IF(E546=0,WORKDAY(A546-1,1,Dias_Sem_Compensacao!$A$2:$A$500),WORKDAY(A546,E546,Dias_Sem_Compensacao!$A$2:$A$500)),"")</f>
        <v>46310</v>
      </c>
      <c r="H546" s="25">
        <v>0</v>
      </c>
      <c r="I546" s="28">
        <v>46309</v>
      </c>
      <c r="J546" t="s">
        <v>389</v>
      </c>
      <c r="K546" t="s">
        <v>391</v>
      </c>
    </row>
    <row r="547" spans="1:11" hidden="1">
      <c r="A547" s="28">
        <v>46309</v>
      </c>
      <c r="B547" t="s">
        <v>185</v>
      </c>
      <c r="C547" t="s">
        <v>202</v>
      </c>
      <c r="D547" t="s">
        <v>217</v>
      </c>
      <c r="E547">
        <f>IF(LEFT(D547,6)="CLIENT",IFERROR(VLOOKUP(C547,Config_Carteiras!$A:$B,2,FALSE),1),"")</f>
        <v>1</v>
      </c>
      <c r="F547" s="25">
        <v>265.8</v>
      </c>
      <c r="G547" s="28">
        <f>IF(LEFT(D547,6)="CLIENT",IF(E547=0,WORKDAY(A547-1,1,Dias_Sem_Compensacao!$A$2:$A$500),WORKDAY(A547,E547,Dias_Sem_Compensacao!$A$2:$A$500)),"")</f>
        <v>46310</v>
      </c>
      <c r="H547" s="25">
        <v>0</v>
      </c>
      <c r="I547" s="28">
        <v>46309</v>
      </c>
      <c r="J547" t="s">
        <v>878</v>
      </c>
      <c r="K547" t="s">
        <v>879</v>
      </c>
    </row>
    <row r="548" spans="1:11" hidden="1">
      <c r="A548" s="28">
        <v>46309</v>
      </c>
      <c r="B548" t="s">
        <v>185</v>
      </c>
      <c r="C548" t="s">
        <v>202</v>
      </c>
      <c r="D548" t="s">
        <v>217</v>
      </c>
      <c r="E548">
        <f>IF(LEFT(D548,6)="CLIENT",IFERROR(VLOOKUP(C548,Config_Carteiras!$A:$B,2,FALSE),1),"")</f>
        <v>1</v>
      </c>
      <c r="F548" s="25">
        <v>676</v>
      </c>
      <c r="G548" s="28">
        <f>IF(LEFT(D548,6)="CLIENT",IF(E548=0,WORKDAY(A548-1,1,Dias_Sem_Compensacao!$A$2:$A$500),WORKDAY(A548,E548,Dias_Sem_Compensacao!$A$2:$A$500)),"")</f>
        <v>46310</v>
      </c>
      <c r="H548" s="25">
        <v>0</v>
      </c>
      <c r="I548" s="28">
        <v>46309</v>
      </c>
      <c r="J548" t="s">
        <v>880</v>
      </c>
      <c r="K548" t="s">
        <v>881</v>
      </c>
    </row>
    <row r="549" spans="1:11" hidden="1">
      <c r="A549" s="28">
        <v>46309</v>
      </c>
      <c r="B549" t="s">
        <v>185</v>
      </c>
      <c r="C549" t="s">
        <v>202</v>
      </c>
      <c r="D549" t="s">
        <v>217</v>
      </c>
      <c r="E549">
        <f>IF(LEFT(D549,6)="CLIENT",IFERROR(VLOOKUP(C549,Config_Carteiras!$A:$B,2,FALSE),1),"")</f>
        <v>1</v>
      </c>
      <c r="F549" s="25">
        <v>781.2</v>
      </c>
      <c r="G549" s="28">
        <f>IF(LEFT(D549,6)="CLIENT",IF(E549=0,WORKDAY(A549-1,1,Dias_Sem_Compensacao!$A$2:$A$500),WORKDAY(A549,E549,Dias_Sem_Compensacao!$A$2:$A$500)),"")</f>
        <v>46310</v>
      </c>
      <c r="H549" s="25">
        <v>0</v>
      </c>
      <c r="I549" s="28">
        <v>46309</v>
      </c>
      <c r="J549" t="s">
        <v>543</v>
      </c>
      <c r="K549" t="s">
        <v>882</v>
      </c>
    </row>
    <row r="550" spans="1:11" hidden="1">
      <c r="A550" s="28">
        <v>46309</v>
      </c>
      <c r="B550" t="s">
        <v>185</v>
      </c>
      <c r="C550" t="s">
        <v>202</v>
      </c>
      <c r="D550" t="s">
        <v>217</v>
      </c>
      <c r="E550">
        <f>IF(LEFT(D550,6)="CLIENT",IFERROR(VLOOKUP(C550,Config_Carteiras!$A:$B,2,FALSE),1),"")</f>
        <v>1</v>
      </c>
      <c r="F550" s="25">
        <v>761</v>
      </c>
      <c r="G550" s="28">
        <f>IF(LEFT(D550,6)="CLIENT",IF(E550=0,WORKDAY(A550-1,1,Dias_Sem_Compensacao!$A$2:$A$500),WORKDAY(A550,E550,Dias_Sem_Compensacao!$A$2:$A$500)),"")</f>
        <v>46310</v>
      </c>
      <c r="H550" s="25">
        <v>0</v>
      </c>
      <c r="I550" s="28">
        <v>46309</v>
      </c>
      <c r="J550" t="s">
        <v>401</v>
      </c>
      <c r="K550" t="s">
        <v>402</v>
      </c>
    </row>
    <row r="551" spans="1:11" hidden="1">
      <c r="A551" s="28">
        <v>46309</v>
      </c>
      <c r="B551" t="s">
        <v>185</v>
      </c>
      <c r="C551" t="s">
        <v>202</v>
      </c>
      <c r="D551" t="s">
        <v>217</v>
      </c>
      <c r="E551">
        <f>IF(LEFT(D551,6)="CLIENT",IFERROR(VLOOKUP(C551,Config_Carteiras!$A:$B,2,FALSE),1),"")</f>
        <v>1</v>
      </c>
      <c r="F551" s="25">
        <v>848.4</v>
      </c>
      <c r="G551" s="28">
        <f>IF(LEFT(D551,6)="CLIENT",IF(E551=0,WORKDAY(A551-1,1,Dias_Sem_Compensacao!$A$2:$A$500),WORKDAY(A551,E551,Dias_Sem_Compensacao!$A$2:$A$500)),"")</f>
        <v>46310</v>
      </c>
      <c r="H551" s="25">
        <v>0</v>
      </c>
      <c r="I551" s="28">
        <v>46309</v>
      </c>
      <c r="J551" t="s">
        <v>883</v>
      </c>
      <c r="K551" t="s">
        <v>884</v>
      </c>
    </row>
    <row r="552" spans="1:11" hidden="1">
      <c r="A552" s="28">
        <v>46309</v>
      </c>
      <c r="B552" t="s">
        <v>185</v>
      </c>
      <c r="C552" t="s">
        <v>202</v>
      </c>
      <c r="D552" t="s">
        <v>217</v>
      </c>
      <c r="E552">
        <f>IF(LEFT(D552,6)="CLIENT",IFERROR(VLOOKUP(C552,Config_Carteiras!$A:$B,2,FALSE),1),"")</f>
        <v>1</v>
      </c>
      <c r="F552" s="25">
        <v>1095</v>
      </c>
      <c r="G552" s="28">
        <f>IF(LEFT(D552,6)="CLIENT",IF(E552=0,WORKDAY(A552-1,1,Dias_Sem_Compensacao!$A$2:$A$500),WORKDAY(A552,E552,Dias_Sem_Compensacao!$A$2:$A$500)),"")</f>
        <v>46310</v>
      </c>
      <c r="H552" s="25">
        <v>0</v>
      </c>
      <c r="I552" s="28">
        <v>46309</v>
      </c>
      <c r="J552" t="s">
        <v>403</v>
      </c>
      <c r="K552" t="s">
        <v>885</v>
      </c>
    </row>
    <row r="553" spans="1:11" hidden="1">
      <c r="A553" s="28">
        <v>46309</v>
      </c>
      <c r="B553" t="s">
        <v>185</v>
      </c>
      <c r="C553" t="s">
        <v>202</v>
      </c>
      <c r="D553" t="s">
        <v>217</v>
      </c>
      <c r="E553">
        <f>IF(LEFT(D553,6)="CLIENT",IFERROR(VLOOKUP(C553,Config_Carteiras!$A:$B,2,FALSE),1),"")</f>
        <v>1</v>
      </c>
      <c r="F553" s="25">
        <v>1530</v>
      </c>
      <c r="G553" s="28">
        <f>IF(LEFT(D553,6)="CLIENT",IF(E553=0,WORKDAY(A553-1,1,Dias_Sem_Compensacao!$A$2:$A$500),WORKDAY(A553,E553,Dias_Sem_Compensacao!$A$2:$A$500)),"")</f>
        <v>46310</v>
      </c>
      <c r="H553" s="25">
        <v>0</v>
      </c>
      <c r="I553" s="28">
        <v>46309</v>
      </c>
      <c r="J553" t="s">
        <v>405</v>
      </c>
      <c r="K553" t="s">
        <v>406</v>
      </c>
    </row>
    <row r="554" spans="1:11" hidden="1">
      <c r="A554" s="28">
        <v>46309</v>
      </c>
      <c r="B554" t="s">
        <v>185</v>
      </c>
      <c r="C554" t="s">
        <v>202</v>
      </c>
      <c r="D554" t="s">
        <v>217</v>
      </c>
      <c r="E554">
        <f>IF(LEFT(D554,6)="CLIENT",IFERROR(VLOOKUP(C554,Config_Carteiras!$A:$B,2,FALSE),1),"")</f>
        <v>1</v>
      </c>
      <c r="F554" s="25">
        <v>1099.56</v>
      </c>
      <c r="G554" s="28">
        <f>IF(LEFT(D554,6)="CLIENT",IF(E554=0,WORKDAY(A554-1,1,Dias_Sem_Compensacao!$A$2:$A$500),WORKDAY(A554,E554,Dias_Sem_Compensacao!$A$2:$A$500)),"")</f>
        <v>46310</v>
      </c>
      <c r="H554" s="25">
        <v>0</v>
      </c>
      <c r="I554" s="28">
        <v>46309</v>
      </c>
      <c r="J554" t="s">
        <v>407</v>
      </c>
      <c r="K554" t="s">
        <v>408</v>
      </c>
    </row>
    <row r="555" spans="1:11" hidden="1">
      <c r="A555" s="28">
        <v>46309</v>
      </c>
      <c r="B555" t="s">
        <v>185</v>
      </c>
      <c r="C555" t="s">
        <v>202</v>
      </c>
      <c r="D555" t="s">
        <v>217</v>
      </c>
      <c r="E555">
        <f>IF(LEFT(D555,6)="CLIENT",IFERROR(VLOOKUP(C555,Config_Carteiras!$A:$B,2,FALSE),1),"")</f>
        <v>1</v>
      </c>
      <c r="F555" s="25">
        <v>1104</v>
      </c>
      <c r="G555" s="28">
        <f>IF(LEFT(D555,6)="CLIENT",IF(E555=0,WORKDAY(A555-1,1,Dias_Sem_Compensacao!$A$2:$A$500),WORKDAY(A555,E555,Dias_Sem_Compensacao!$A$2:$A$500)),"")</f>
        <v>46310</v>
      </c>
      <c r="H555" s="25">
        <v>0</v>
      </c>
      <c r="I555" s="28">
        <v>46309</v>
      </c>
      <c r="J555" t="s">
        <v>224</v>
      </c>
      <c r="K555" t="s">
        <v>226</v>
      </c>
    </row>
    <row r="556" spans="1:11" hidden="1">
      <c r="A556" s="28">
        <v>46309</v>
      </c>
      <c r="B556" t="s">
        <v>185</v>
      </c>
      <c r="C556" t="s">
        <v>202</v>
      </c>
      <c r="D556" t="s">
        <v>217</v>
      </c>
      <c r="E556">
        <f>IF(LEFT(D556,6)="CLIENT",IFERROR(VLOOKUP(C556,Config_Carteiras!$A:$B,2,FALSE),1),"")</f>
        <v>1</v>
      </c>
      <c r="F556" s="25">
        <v>1155</v>
      </c>
      <c r="G556" s="28">
        <f>IF(LEFT(D556,6)="CLIENT",IF(E556=0,WORKDAY(A556-1,1,Dias_Sem_Compensacao!$A$2:$A$500),WORKDAY(A556,E556,Dias_Sem_Compensacao!$A$2:$A$500)),"")</f>
        <v>46310</v>
      </c>
      <c r="H556" s="25">
        <v>0</v>
      </c>
      <c r="I556" s="28">
        <v>46309</v>
      </c>
      <c r="K556" t="s">
        <v>722</v>
      </c>
    </row>
    <row r="557" spans="1:11" hidden="1">
      <c r="A557" s="28">
        <v>46309</v>
      </c>
      <c r="B557" t="s">
        <v>185</v>
      </c>
      <c r="C557" t="s">
        <v>202</v>
      </c>
      <c r="D557" t="s">
        <v>217</v>
      </c>
      <c r="E557">
        <f>IF(LEFT(D557,6)="CLIENT",IFERROR(VLOOKUP(C557,Config_Carteiras!$A:$B,2,FALSE),1),"")</f>
        <v>1</v>
      </c>
      <c r="F557" s="25">
        <v>1155</v>
      </c>
      <c r="G557" s="28">
        <f>IF(LEFT(D557,6)="CLIENT",IF(E557=0,WORKDAY(A557-1,1,Dias_Sem_Compensacao!$A$2:$A$500),WORKDAY(A557,E557,Dias_Sem_Compensacao!$A$2:$A$500)),"")</f>
        <v>46310</v>
      </c>
      <c r="H557" s="25">
        <v>0</v>
      </c>
      <c r="I557" s="28">
        <v>46309</v>
      </c>
      <c r="K557" t="s">
        <v>886</v>
      </c>
    </row>
    <row r="558" spans="1:11" hidden="1">
      <c r="A558" s="28">
        <v>46309</v>
      </c>
      <c r="B558" t="s">
        <v>185</v>
      </c>
      <c r="C558" t="s">
        <v>202</v>
      </c>
      <c r="D558" t="s">
        <v>217</v>
      </c>
      <c r="E558">
        <f>IF(LEFT(D558,6)="CLIENT",IFERROR(VLOOKUP(C558,Config_Carteiras!$A:$B,2,FALSE),1),"")</f>
        <v>1</v>
      </c>
      <c r="F558" s="25">
        <v>561</v>
      </c>
      <c r="G558" s="28">
        <f>IF(LEFT(D558,6)="CLIENT",IF(E558=0,WORKDAY(A558-1,1,Dias_Sem_Compensacao!$A$2:$A$500),WORKDAY(A558,E558,Dias_Sem_Compensacao!$A$2:$A$500)),"")</f>
        <v>46310</v>
      </c>
      <c r="H558" s="25">
        <v>0</v>
      </c>
      <c r="I558" s="28">
        <v>46309</v>
      </c>
      <c r="J558" t="s">
        <v>887</v>
      </c>
      <c r="K558" t="s">
        <v>888</v>
      </c>
    </row>
    <row r="559" spans="1:11" hidden="1">
      <c r="A559" s="28">
        <v>46309</v>
      </c>
      <c r="B559" t="s">
        <v>185</v>
      </c>
      <c r="C559" t="s">
        <v>202</v>
      </c>
      <c r="D559" t="s">
        <v>217</v>
      </c>
      <c r="E559">
        <f>IF(LEFT(D559,6)="CLIENT",IFERROR(VLOOKUP(C559,Config_Carteiras!$A:$B,2,FALSE),1),"")</f>
        <v>1</v>
      </c>
      <c r="F559" s="25">
        <v>527</v>
      </c>
      <c r="G559" s="28">
        <f>IF(LEFT(D559,6)="CLIENT",IF(E559=0,WORKDAY(A559-1,1,Dias_Sem_Compensacao!$A$2:$A$500),WORKDAY(A559,E559,Dias_Sem_Compensacao!$A$2:$A$500)),"")</f>
        <v>46310</v>
      </c>
      <c r="H559" s="25">
        <v>0</v>
      </c>
      <c r="I559" s="28">
        <v>46309</v>
      </c>
      <c r="J559" t="s">
        <v>889</v>
      </c>
      <c r="K559" t="s">
        <v>890</v>
      </c>
    </row>
    <row r="560" spans="1:11" hidden="1">
      <c r="A560" s="28">
        <v>46309</v>
      </c>
      <c r="B560" t="s">
        <v>185</v>
      </c>
      <c r="C560" t="s">
        <v>202</v>
      </c>
      <c r="D560" t="s">
        <v>217</v>
      </c>
      <c r="E560">
        <f>IF(LEFT(D560,6)="CLIENT",IFERROR(VLOOKUP(C560,Config_Carteiras!$A:$B,2,FALSE),1),"")</f>
        <v>1</v>
      </c>
      <c r="F560" s="25">
        <v>1014</v>
      </c>
      <c r="G560" s="28">
        <f>IF(LEFT(D560,6)="CLIENT",IF(E560=0,WORKDAY(A560-1,1,Dias_Sem_Compensacao!$A$2:$A$500),WORKDAY(A560,E560,Dias_Sem_Compensacao!$A$2:$A$500)),"")</f>
        <v>46310</v>
      </c>
      <c r="H560" s="25">
        <v>0</v>
      </c>
      <c r="I560" s="28">
        <v>46309</v>
      </c>
      <c r="J560" t="s">
        <v>723</v>
      </c>
      <c r="K560" t="s">
        <v>891</v>
      </c>
    </row>
    <row r="561" spans="1:11" hidden="1">
      <c r="A561" s="28">
        <v>46309</v>
      </c>
      <c r="B561" t="s">
        <v>185</v>
      </c>
      <c r="C561" t="s">
        <v>202</v>
      </c>
      <c r="D561" t="s">
        <v>217</v>
      </c>
      <c r="E561">
        <f>IF(LEFT(D561,6)="CLIENT",IFERROR(VLOOKUP(C561,Config_Carteiras!$A:$B,2,FALSE),1),"")</f>
        <v>1</v>
      </c>
      <c r="F561" s="25">
        <v>960</v>
      </c>
      <c r="G561" s="28">
        <f>IF(LEFT(D561,6)="CLIENT",IF(E561=0,WORKDAY(A561-1,1,Dias_Sem_Compensacao!$A$2:$A$500),WORKDAY(A561,E561,Dias_Sem_Compensacao!$A$2:$A$500)),"")</f>
        <v>46310</v>
      </c>
      <c r="H561" s="25">
        <v>0</v>
      </c>
      <c r="I561" s="28">
        <v>46309</v>
      </c>
      <c r="J561" t="s">
        <v>725</v>
      </c>
      <c r="K561" t="s">
        <v>726</v>
      </c>
    </row>
    <row r="562" spans="1:11" hidden="1">
      <c r="A562" s="28">
        <v>46309</v>
      </c>
      <c r="B562" t="s">
        <v>185</v>
      </c>
      <c r="C562" t="s">
        <v>202</v>
      </c>
      <c r="D562" t="s">
        <v>217</v>
      </c>
      <c r="E562">
        <f>IF(LEFT(D562,6)="CLIENT",IFERROR(VLOOKUP(C562,Config_Carteiras!$A:$B,2,FALSE),1),"")</f>
        <v>1</v>
      </c>
      <c r="F562" s="25">
        <v>618</v>
      </c>
      <c r="G562" s="28">
        <f>IF(LEFT(D562,6)="CLIENT",IF(E562=0,WORKDAY(A562-1,1,Dias_Sem_Compensacao!$A$2:$A$500),WORKDAY(A562,E562,Dias_Sem_Compensacao!$A$2:$A$500)),"")</f>
        <v>46310</v>
      </c>
      <c r="H562" s="25">
        <v>0</v>
      </c>
      <c r="I562" s="28">
        <v>46309</v>
      </c>
      <c r="J562" t="s">
        <v>892</v>
      </c>
      <c r="K562" t="s">
        <v>893</v>
      </c>
    </row>
    <row r="563" spans="1:11" hidden="1">
      <c r="A563" s="28">
        <v>46309</v>
      </c>
      <c r="B563" t="s">
        <v>185</v>
      </c>
      <c r="C563" t="s">
        <v>202</v>
      </c>
      <c r="D563" t="s">
        <v>217</v>
      </c>
      <c r="E563">
        <f>IF(LEFT(D563,6)="CLIENT",IFERROR(VLOOKUP(C563,Config_Carteiras!$A:$B,2,FALSE),1),"")</f>
        <v>1</v>
      </c>
      <c r="F563" s="25">
        <v>1813.56</v>
      </c>
      <c r="G563" s="28">
        <f>IF(LEFT(D563,6)="CLIENT",IF(E563=0,WORKDAY(A563-1,1,Dias_Sem_Compensacao!$A$2:$A$500),WORKDAY(A563,E563,Dias_Sem_Compensacao!$A$2:$A$500)),"")</f>
        <v>46310</v>
      </c>
      <c r="H563" s="25">
        <v>0</v>
      </c>
      <c r="I563" s="28">
        <v>46309</v>
      </c>
      <c r="J563" t="s">
        <v>729</v>
      </c>
      <c r="K563" t="s">
        <v>730</v>
      </c>
    </row>
    <row r="564" spans="1:11" hidden="1">
      <c r="A564" s="28">
        <v>46309</v>
      </c>
      <c r="B564" t="s">
        <v>185</v>
      </c>
      <c r="C564" t="s">
        <v>202</v>
      </c>
      <c r="D564" t="s">
        <v>217</v>
      </c>
      <c r="E564">
        <f>IF(LEFT(D564,6)="CLIENT",IFERROR(VLOOKUP(C564,Config_Carteiras!$A:$B,2,FALSE),1),"")</f>
        <v>1</v>
      </c>
      <c r="F564" s="25">
        <v>1100.22</v>
      </c>
      <c r="G564" s="28">
        <f>IF(LEFT(D564,6)="CLIENT",IF(E564=0,WORKDAY(A564-1,1,Dias_Sem_Compensacao!$A$2:$A$500),WORKDAY(A564,E564,Dias_Sem_Compensacao!$A$2:$A$500)),"")</f>
        <v>46310</v>
      </c>
      <c r="H564" s="25">
        <v>0</v>
      </c>
      <c r="I564" s="28">
        <v>46309</v>
      </c>
      <c r="J564" t="s">
        <v>417</v>
      </c>
      <c r="K564" t="s">
        <v>418</v>
      </c>
    </row>
    <row r="565" spans="1:11" hidden="1">
      <c r="A565" s="28">
        <v>46309</v>
      </c>
      <c r="B565" t="s">
        <v>185</v>
      </c>
      <c r="C565" t="s">
        <v>202</v>
      </c>
      <c r="D565" t="s">
        <v>217</v>
      </c>
      <c r="E565">
        <f>IF(LEFT(D565,6)="CLIENT",IFERROR(VLOOKUP(C565,Config_Carteiras!$A:$B,2,FALSE),1),"")</f>
        <v>1</v>
      </c>
      <c r="F565" s="25">
        <v>209.1</v>
      </c>
      <c r="G565" s="28">
        <f>IF(LEFT(D565,6)="CLIENT",IF(E565=0,WORKDAY(A565-1,1,Dias_Sem_Compensacao!$A$2:$A$500),WORKDAY(A565,E565,Dias_Sem_Compensacao!$A$2:$A$500)),"")</f>
        <v>46310</v>
      </c>
      <c r="H565" s="25">
        <v>0</v>
      </c>
      <c r="I565" s="28">
        <v>46309</v>
      </c>
      <c r="J565" t="s">
        <v>894</v>
      </c>
      <c r="K565" t="s">
        <v>895</v>
      </c>
    </row>
    <row r="566" spans="1:11" hidden="1">
      <c r="A566" s="28">
        <v>46309</v>
      </c>
      <c r="B566" t="s">
        <v>185</v>
      </c>
      <c r="C566" t="s">
        <v>202</v>
      </c>
      <c r="D566" t="s">
        <v>217</v>
      </c>
      <c r="E566">
        <f>IF(LEFT(D566,6)="CLIENT",IFERROR(VLOOKUP(C566,Config_Carteiras!$A:$B,2,FALSE),1),"")</f>
        <v>1</v>
      </c>
      <c r="F566" s="25">
        <v>371.6</v>
      </c>
      <c r="G566" s="28">
        <f>IF(LEFT(D566,6)="CLIENT",IF(E566=0,WORKDAY(A566-1,1,Dias_Sem_Compensacao!$A$2:$A$500),WORKDAY(A566,E566,Dias_Sem_Compensacao!$A$2:$A$500)),"")</f>
        <v>46310</v>
      </c>
      <c r="H566" s="25">
        <v>0</v>
      </c>
      <c r="I566" s="28">
        <v>46309</v>
      </c>
      <c r="J566" t="s">
        <v>731</v>
      </c>
      <c r="K566" t="s">
        <v>732</v>
      </c>
    </row>
    <row r="567" spans="1:11" hidden="1">
      <c r="A567" s="28">
        <v>46309</v>
      </c>
      <c r="B567" t="s">
        <v>185</v>
      </c>
      <c r="C567" t="s">
        <v>202</v>
      </c>
      <c r="D567" t="s">
        <v>217</v>
      </c>
      <c r="E567">
        <f>IF(LEFT(D567,6)="CLIENT",IFERROR(VLOOKUP(C567,Config_Carteiras!$A:$B,2,FALSE),1),"")</f>
        <v>1</v>
      </c>
      <c r="F567" s="25">
        <v>1332</v>
      </c>
      <c r="G567" s="28">
        <f>IF(LEFT(D567,6)="CLIENT",IF(E567=0,WORKDAY(A567-1,1,Dias_Sem_Compensacao!$A$2:$A$500),WORKDAY(A567,E567,Dias_Sem_Compensacao!$A$2:$A$500)),"")</f>
        <v>46310</v>
      </c>
      <c r="H567" s="25">
        <v>0</v>
      </c>
      <c r="I567" s="28">
        <v>46309</v>
      </c>
      <c r="J567" t="s">
        <v>896</v>
      </c>
      <c r="K567" t="s">
        <v>897</v>
      </c>
    </row>
    <row r="568" spans="1:11" hidden="1">
      <c r="A568" s="28">
        <v>46309</v>
      </c>
      <c r="B568" t="s">
        <v>185</v>
      </c>
      <c r="C568" t="s">
        <v>202</v>
      </c>
      <c r="D568" t="s">
        <v>217</v>
      </c>
      <c r="E568">
        <f>IF(LEFT(D568,6)="CLIENT",IFERROR(VLOOKUP(C568,Config_Carteiras!$A:$B,2,FALSE),1),"")</f>
        <v>1</v>
      </c>
      <c r="F568" s="25">
        <v>1790.71</v>
      </c>
      <c r="G568" s="28">
        <f>IF(LEFT(D568,6)="CLIENT",IF(E568=0,WORKDAY(A568-1,1,Dias_Sem_Compensacao!$A$2:$A$500),WORKDAY(A568,E568,Dias_Sem_Compensacao!$A$2:$A$500)),"")</f>
        <v>46310</v>
      </c>
      <c r="H568" s="25">
        <v>0</v>
      </c>
      <c r="I568" s="28">
        <v>46309</v>
      </c>
      <c r="J568" t="s">
        <v>898</v>
      </c>
      <c r="K568" t="s">
        <v>899</v>
      </c>
    </row>
    <row r="569" spans="1:11" hidden="1">
      <c r="A569" s="28">
        <v>46309</v>
      </c>
      <c r="B569" t="s">
        <v>185</v>
      </c>
      <c r="C569" t="s">
        <v>202</v>
      </c>
      <c r="D569" t="s">
        <v>217</v>
      </c>
      <c r="E569">
        <f>IF(LEFT(D569,6)="CLIENT",IFERROR(VLOOKUP(C569,Config_Carteiras!$A:$B,2,FALSE),1),"")</f>
        <v>1</v>
      </c>
      <c r="F569" s="25">
        <v>876</v>
      </c>
      <c r="G569" s="28">
        <f>IF(LEFT(D569,6)="CLIENT",IF(E569=0,WORKDAY(A569-1,1,Dias_Sem_Compensacao!$A$2:$A$500),WORKDAY(A569,E569,Dias_Sem_Compensacao!$A$2:$A$500)),"")</f>
        <v>46310</v>
      </c>
      <c r="H569" s="25">
        <v>0</v>
      </c>
      <c r="I569" s="28">
        <v>46309</v>
      </c>
      <c r="J569" t="s">
        <v>421</v>
      </c>
      <c r="K569" t="s">
        <v>900</v>
      </c>
    </row>
    <row r="570" spans="1:11" hidden="1">
      <c r="A570" s="28">
        <v>46309</v>
      </c>
      <c r="B570" t="s">
        <v>185</v>
      </c>
      <c r="C570" t="s">
        <v>202</v>
      </c>
      <c r="D570" t="s">
        <v>217</v>
      </c>
      <c r="E570">
        <f>IF(LEFT(D570,6)="CLIENT",IFERROR(VLOOKUP(C570,Config_Carteiras!$A:$B,2,FALSE),1),"")</f>
        <v>1</v>
      </c>
      <c r="F570" s="25">
        <v>1767.86</v>
      </c>
      <c r="G570" s="28">
        <f>IF(LEFT(D570,6)="CLIENT",IF(E570=0,WORKDAY(A570-1,1,Dias_Sem_Compensacao!$A$2:$A$500),WORKDAY(A570,E570,Dias_Sem_Compensacao!$A$2:$A$500)),"")</f>
        <v>46310</v>
      </c>
      <c r="H570" s="25">
        <v>0</v>
      </c>
      <c r="I570" s="28">
        <v>46309</v>
      </c>
      <c r="J570" t="s">
        <v>901</v>
      </c>
      <c r="K570" t="s">
        <v>902</v>
      </c>
    </row>
    <row r="571" spans="1:11" hidden="1">
      <c r="A571" s="28">
        <v>46309</v>
      </c>
      <c r="B571" t="s">
        <v>185</v>
      </c>
      <c r="C571" t="s">
        <v>202</v>
      </c>
      <c r="D571" t="s">
        <v>217</v>
      </c>
      <c r="E571">
        <f>IF(LEFT(D571,6)="CLIENT",IFERROR(VLOOKUP(C571,Config_Carteiras!$A:$B,2,FALSE),1),"")</f>
        <v>1</v>
      </c>
      <c r="F571" s="25">
        <v>605.38</v>
      </c>
      <c r="G571" s="28">
        <f>IF(LEFT(D571,6)="CLIENT",IF(E571=0,WORKDAY(A571-1,1,Dias_Sem_Compensacao!$A$2:$A$500),WORKDAY(A571,E571,Dias_Sem_Compensacao!$A$2:$A$500)),"")</f>
        <v>46310</v>
      </c>
      <c r="H571" s="25">
        <v>0</v>
      </c>
      <c r="I571" s="28">
        <v>46309</v>
      </c>
      <c r="J571" t="s">
        <v>423</v>
      </c>
      <c r="K571" t="s">
        <v>424</v>
      </c>
    </row>
    <row r="572" spans="1:11" hidden="1">
      <c r="A572" s="28">
        <v>46309</v>
      </c>
      <c r="B572" t="s">
        <v>185</v>
      </c>
      <c r="C572" t="s">
        <v>202</v>
      </c>
      <c r="D572" t="s">
        <v>217</v>
      </c>
      <c r="E572">
        <f>IF(LEFT(D572,6)="CLIENT",IFERROR(VLOOKUP(C572,Config_Carteiras!$A:$B,2,FALSE),1),"")</f>
        <v>1</v>
      </c>
      <c r="F572" s="25">
        <v>383</v>
      </c>
      <c r="G572" s="28">
        <f>IF(LEFT(D572,6)="CLIENT",IF(E572=0,WORKDAY(A572-1,1,Dias_Sem_Compensacao!$A$2:$A$500),WORKDAY(A572,E572,Dias_Sem_Compensacao!$A$2:$A$500)),"")</f>
        <v>46310</v>
      </c>
      <c r="H572" s="25">
        <v>0</v>
      </c>
      <c r="I572" s="28">
        <v>46309</v>
      </c>
      <c r="J572" t="s">
        <v>605</v>
      </c>
      <c r="K572" t="s">
        <v>903</v>
      </c>
    </row>
    <row r="573" spans="1:11" hidden="1">
      <c r="A573" s="28">
        <v>46309</v>
      </c>
      <c r="B573" t="s">
        <v>185</v>
      </c>
      <c r="C573" t="s">
        <v>202</v>
      </c>
      <c r="D573" t="s">
        <v>217</v>
      </c>
      <c r="E573">
        <f>IF(LEFT(D573,6)="CLIENT",IFERROR(VLOOKUP(C573,Config_Carteiras!$A:$B,2,FALSE),1),"")</f>
        <v>1</v>
      </c>
      <c r="F573" s="25">
        <v>5740</v>
      </c>
      <c r="G573" s="28">
        <f>IF(LEFT(D573,6)="CLIENT",IF(E573=0,WORKDAY(A573-1,1,Dias_Sem_Compensacao!$A$2:$A$500),WORKDAY(A573,E573,Dias_Sem_Compensacao!$A$2:$A$500)),"")</f>
        <v>46310</v>
      </c>
      <c r="H573" s="25">
        <v>0</v>
      </c>
      <c r="I573" s="28">
        <v>46309</v>
      </c>
      <c r="J573" t="s">
        <v>904</v>
      </c>
      <c r="K573" t="s">
        <v>905</v>
      </c>
    </row>
    <row r="574" spans="1:11" hidden="1">
      <c r="A574" s="28">
        <v>46309</v>
      </c>
      <c r="B574" t="s">
        <v>185</v>
      </c>
      <c r="C574" t="s">
        <v>202</v>
      </c>
      <c r="D574" t="s">
        <v>217</v>
      </c>
      <c r="E574">
        <f>IF(LEFT(D574,6)="CLIENT",IFERROR(VLOOKUP(C574,Config_Carteiras!$A:$B,2,FALSE),1),"")</f>
        <v>1</v>
      </c>
      <c r="F574" s="25">
        <v>7595</v>
      </c>
      <c r="G574" s="28">
        <f>IF(LEFT(D574,6)="CLIENT",IF(E574=0,WORKDAY(A574-1,1,Dias_Sem_Compensacao!$A$2:$A$500),WORKDAY(A574,E574,Dias_Sem_Compensacao!$A$2:$A$500)),"")</f>
        <v>46310</v>
      </c>
      <c r="H574" s="25">
        <v>0</v>
      </c>
      <c r="I574" s="28">
        <v>46309</v>
      </c>
      <c r="K574" t="s">
        <v>906</v>
      </c>
    </row>
    <row r="575" spans="1:11" hidden="1">
      <c r="A575" s="28">
        <v>46309</v>
      </c>
      <c r="B575" t="s">
        <v>185</v>
      </c>
      <c r="C575" t="s">
        <v>202</v>
      </c>
      <c r="D575" t="s">
        <v>217</v>
      </c>
      <c r="E575">
        <f>IF(LEFT(D575,6)="CLIENT",IFERROR(VLOOKUP(C575,Config_Carteiras!$A:$B,2,FALSE),1),"")</f>
        <v>1</v>
      </c>
      <c r="F575" s="25">
        <v>2555</v>
      </c>
      <c r="G575" s="28">
        <f>IF(LEFT(D575,6)="CLIENT",IF(E575=0,WORKDAY(A575-1,1,Dias_Sem_Compensacao!$A$2:$A$500),WORKDAY(A575,E575,Dias_Sem_Compensacao!$A$2:$A$500)),"")</f>
        <v>46310</v>
      </c>
      <c r="H575" s="25">
        <v>0</v>
      </c>
      <c r="I575" s="28">
        <v>46309</v>
      </c>
      <c r="J575" t="s">
        <v>904</v>
      </c>
      <c r="K575" t="s">
        <v>907</v>
      </c>
    </row>
    <row r="576" spans="1:11" hidden="1">
      <c r="A576" s="28">
        <v>46309</v>
      </c>
      <c r="B576" t="s">
        <v>185</v>
      </c>
      <c r="C576" t="s">
        <v>202</v>
      </c>
      <c r="D576" t="s">
        <v>217</v>
      </c>
      <c r="E576">
        <f>IF(LEFT(D576,6)="CLIENT",IFERROR(VLOOKUP(C576,Config_Carteiras!$A:$B,2,FALSE),1),"")</f>
        <v>1</v>
      </c>
      <c r="F576" s="25">
        <v>2555</v>
      </c>
      <c r="G576" s="28">
        <f>IF(LEFT(D576,6)="CLIENT",IF(E576=0,WORKDAY(A576-1,1,Dias_Sem_Compensacao!$A$2:$A$500),WORKDAY(A576,E576,Dias_Sem_Compensacao!$A$2:$A$500)),"")</f>
        <v>46310</v>
      </c>
      <c r="H576" s="25">
        <v>0</v>
      </c>
      <c r="I576" s="28">
        <v>46309</v>
      </c>
      <c r="J576" t="s">
        <v>904</v>
      </c>
      <c r="K576" t="s">
        <v>908</v>
      </c>
    </row>
    <row r="577" spans="1:11" hidden="1">
      <c r="A577" s="28">
        <v>46309</v>
      </c>
      <c r="B577" t="s">
        <v>185</v>
      </c>
      <c r="C577" t="s">
        <v>202</v>
      </c>
      <c r="D577" t="s">
        <v>217</v>
      </c>
      <c r="E577">
        <f>IF(LEFT(D577,6)="CLIENT",IFERROR(VLOOKUP(C577,Config_Carteiras!$A:$B,2,FALSE),1),"")</f>
        <v>1</v>
      </c>
      <c r="F577" s="25">
        <v>372.5</v>
      </c>
      <c r="G577" s="28">
        <f>IF(LEFT(D577,6)="CLIENT",IF(E577=0,WORKDAY(A577-1,1,Dias_Sem_Compensacao!$A$2:$A$500),WORKDAY(A577,E577,Dias_Sem_Compensacao!$A$2:$A$500)),"")</f>
        <v>46310</v>
      </c>
      <c r="H577" s="25">
        <v>0</v>
      </c>
      <c r="I577" s="28">
        <v>46309</v>
      </c>
      <c r="J577" t="s">
        <v>909</v>
      </c>
      <c r="K577" t="s">
        <v>910</v>
      </c>
    </row>
    <row r="578" spans="1:11" hidden="1">
      <c r="A578" s="28">
        <v>46309</v>
      </c>
      <c r="B578" t="s">
        <v>185</v>
      </c>
      <c r="C578" t="s">
        <v>202</v>
      </c>
      <c r="D578" t="s">
        <v>217</v>
      </c>
      <c r="E578">
        <f>IF(LEFT(D578,6)="CLIENT",IFERROR(VLOOKUP(C578,Config_Carteiras!$A:$B,2,FALSE),1),"")</f>
        <v>1</v>
      </c>
      <c r="F578" s="25">
        <v>7185</v>
      </c>
      <c r="G578" s="28">
        <f>IF(LEFT(D578,6)="CLIENT",IF(E578=0,WORKDAY(A578-1,1,Dias_Sem_Compensacao!$A$2:$A$500),WORKDAY(A578,E578,Dias_Sem_Compensacao!$A$2:$A$500)),"")</f>
        <v>46310</v>
      </c>
      <c r="H578" s="25">
        <v>0</v>
      </c>
      <c r="I578" s="28">
        <v>46309</v>
      </c>
      <c r="J578" t="s">
        <v>911</v>
      </c>
      <c r="K578" t="s">
        <v>912</v>
      </c>
    </row>
    <row r="579" spans="1:11" hidden="1">
      <c r="A579" s="28">
        <v>46309</v>
      </c>
      <c r="B579" t="s">
        <v>185</v>
      </c>
      <c r="C579" t="s">
        <v>202</v>
      </c>
      <c r="D579" t="s">
        <v>217</v>
      </c>
      <c r="E579">
        <f>IF(LEFT(D579,6)="CLIENT",IFERROR(VLOOKUP(C579,Config_Carteiras!$A:$B,2,FALSE),1),"")</f>
        <v>1</v>
      </c>
      <c r="F579" s="25">
        <v>1953</v>
      </c>
      <c r="G579" s="28">
        <f>IF(LEFT(D579,6)="CLIENT",IF(E579=0,WORKDAY(A579-1,1,Dias_Sem_Compensacao!$A$2:$A$500),WORKDAY(A579,E579,Dias_Sem_Compensacao!$A$2:$A$500)),"")</f>
        <v>46310</v>
      </c>
      <c r="H579" s="25">
        <v>0</v>
      </c>
      <c r="I579" s="28">
        <v>46309</v>
      </c>
      <c r="J579" t="s">
        <v>431</v>
      </c>
      <c r="K579" t="s">
        <v>913</v>
      </c>
    </row>
    <row r="580" spans="1:11" hidden="1">
      <c r="A580" s="28">
        <v>46309</v>
      </c>
      <c r="B580" t="s">
        <v>185</v>
      </c>
      <c r="C580" t="s">
        <v>202</v>
      </c>
      <c r="D580" t="s">
        <v>217</v>
      </c>
      <c r="E580">
        <f>IF(LEFT(D580,6)="CLIENT",IFERROR(VLOOKUP(C580,Config_Carteiras!$A:$B,2,FALSE),1),"")</f>
        <v>1</v>
      </c>
      <c r="F580" s="25">
        <v>622.5</v>
      </c>
      <c r="G580" s="28">
        <f>IF(LEFT(D580,6)="CLIENT",IF(E580=0,WORKDAY(A580-1,1,Dias_Sem_Compensacao!$A$2:$A$500),WORKDAY(A580,E580,Dias_Sem_Compensacao!$A$2:$A$500)),"")</f>
        <v>46310</v>
      </c>
      <c r="H580" s="25">
        <v>0</v>
      </c>
      <c r="I580" s="28">
        <v>46309</v>
      </c>
      <c r="J580" t="s">
        <v>437</v>
      </c>
      <c r="K580" t="s">
        <v>439</v>
      </c>
    </row>
    <row r="581" spans="1:11" hidden="1">
      <c r="A581" s="28">
        <v>46309</v>
      </c>
      <c r="B581" t="s">
        <v>185</v>
      </c>
      <c r="C581" t="s">
        <v>202</v>
      </c>
      <c r="D581" t="s">
        <v>217</v>
      </c>
      <c r="E581">
        <f>IF(LEFT(D581,6)="CLIENT",IFERROR(VLOOKUP(C581,Config_Carteiras!$A:$B,2,FALSE),1),"")</f>
        <v>1</v>
      </c>
      <c r="F581" s="25">
        <v>579</v>
      </c>
      <c r="G581" s="28">
        <f>IF(LEFT(D581,6)="CLIENT",IF(E581=0,WORKDAY(A581-1,1,Dias_Sem_Compensacao!$A$2:$A$500),WORKDAY(A581,E581,Dias_Sem_Compensacao!$A$2:$A$500)),"")</f>
        <v>46310</v>
      </c>
      <c r="H581" s="25">
        <v>0</v>
      </c>
      <c r="I581" s="28">
        <v>46309</v>
      </c>
      <c r="J581" t="s">
        <v>914</v>
      </c>
      <c r="K581" t="s">
        <v>915</v>
      </c>
    </row>
    <row r="582" spans="1:11" hidden="1">
      <c r="A582" s="28">
        <v>46309</v>
      </c>
      <c r="B582" t="s">
        <v>185</v>
      </c>
      <c r="C582" t="s">
        <v>202</v>
      </c>
      <c r="D582" t="s">
        <v>217</v>
      </c>
      <c r="E582">
        <f>IF(LEFT(D582,6)="CLIENT",IFERROR(VLOOKUP(C582,Config_Carteiras!$A:$B,2,FALSE),1),"")</f>
        <v>1</v>
      </c>
      <c r="F582" s="25">
        <v>297</v>
      </c>
      <c r="G582" s="28">
        <f>IF(LEFT(D582,6)="CLIENT",IF(E582=0,WORKDAY(A582-1,1,Dias_Sem_Compensacao!$A$2:$A$500),WORKDAY(A582,E582,Dias_Sem_Compensacao!$A$2:$A$500)),"")</f>
        <v>46310</v>
      </c>
      <c r="H582" s="25">
        <v>0</v>
      </c>
      <c r="I582" s="28">
        <v>46309</v>
      </c>
      <c r="J582" t="s">
        <v>440</v>
      </c>
      <c r="K582" t="s">
        <v>441</v>
      </c>
    </row>
    <row r="583" spans="1:11" hidden="1">
      <c r="A583" s="28">
        <v>46309</v>
      </c>
      <c r="B583" t="s">
        <v>185</v>
      </c>
      <c r="C583" t="s">
        <v>202</v>
      </c>
      <c r="D583" t="s">
        <v>217</v>
      </c>
      <c r="E583">
        <f>IF(LEFT(D583,6)="CLIENT",IFERROR(VLOOKUP(C583,Config_Carteiras!$A:$B,2,FALSE),1),"")</f>
        <v>1</v>
      </c>
      <c r="F583" s="25">
        <v>597</v>
      </c>
      <c r="G583" s="28">
        <f>IF(LEFT(D583,6)="CLIENT",IF(E583=0,WORKDAY(A583-1,1,Dias_Sem_Compensacao!$A$2:$A$500),WORKDAY(A583,E583,Dias_Sem_Compensacao!$A$2:$A$500)),"")</f>
        <v>46310</v>
      </c>
      <c r="H583" s="25">
        <v>0</v>
      </c>
      <c r="I583" s="28">
        <v>46309</v>
      </c>
      <c r="J583" t="s">
        <v>442</v>
      </c>
      <c r="K583" t="s">
        <v>443</v>
      </c>
    </row>
    <row r="584" spans="1:11" hidden="1">
      <c r="A584" s="28">
        <v>46309</v>
      </c>
      <c r="B584" t="s">
        <v>185</v>
      </c>
      <c r="C584" t="s">
        <v>202</v>
      </c>
      <c r="D584" t="s">
        <v>217</v>
      </c>
      <c r="E584">
        <f>IF(LEFT(D584,6)="CLIENT",IFERROR(VLOOKUP(C584,Config_Carteiras!$A:$B,2,FALSE),1),"")</f>
        <v>1</v>
      </c>
      <c r="F584" s="25">
        <v>442</v>
      </c>
      <c r="G584" s="28">
        <f>IF(LEFT(D584,6)="CLIENT",IF(E584=0,WORKDAY(A584-1,1,Dias_Sem_Compensacao!$A$2:$A$500),WORKDAY(A584,E584,Dias_Sem_Compensacao!$A$2:$A$500)),"")</f>
        <v>46310</v>
      </c>
      <c r="H584" s="25">
        <v>0</v>
      </c>
      <c r="I584" s="28">
        <v>46309</v>
      </c>
      <c r="K584" t="s">
        <v>444</v>
      </c>
    </row>
    <row r="585" spans="1:11" hidden="1">
      <c r="A585" s="28">
        <v>46309</v>
      </c>
      <c r="B585" t="s">
        <v>185</v>
      </c>
      <c r="C585" t="s">
        <v>202</v>
      </c>
      <c r="D585" t="s">
        <v>217</v>
      </c>
      <c r="E585">
        <f>IF(LEFT(D585,6)="CLIENT",IFERROR(VLOOKUP(C585,Config_Carteiras!$A:$B,2,FALSE),1),"")</f>
        <v>1</v>
      </c>
      <c r="F585" s="25">
        <v>374</v>
      </c>
      <c r="G585" s="28">
        <f>IF(LEFT(D585,6)="CLIENT",IF(E585=0,WORKDAY(A585-1,1,Dias_Sem_Compensacao!$A$2:$A$500),WORKDAY(A585,E585,Dias_Sem_Compensacao!$A$2:$A$500)),"")</f>
        <v>46310</v>
      </c>
      <c r="H585" s="25">
        <v>0</v>
      </c>
      <c r="I585" s="28">
        <v>46309</v>
      </c>
      <c r="J585" t="s">
        <v>916</v>
      </c>
      <c r="K585" t="s">
        <v>917</v>
      </c>
    </row>
    <row r="586" spans="1:11" hidden="1">
      <c r="A586" s="28">
        <v>46309</v>
      </c>
      <c r="B586" t="s">
        <v>185</v>
      </c>
      <c r="C586" t="s">
        <v>202</v>
      </c>
      <c r="D586" t="s">
        <v>217</v>
      </c>
      <c r="E586">
        <f>IF(LEFT(D586,6)="CLIENT",IFERROR(VLOOKUP(C586,Config_Carteiras!$A:$B,2,FALSE),1),"")</f>
        <v>1</v>
      </c>
      <c r="F586" s="25">
        <v>4057.5</v>
      </c>
      <c r="G586" s="28">
        <f>IF(LEFT(D586,6)="CLIENT",IF(E586=0,WORKDAY(A586-1,1,Dias_Sem_Compensacao!$A$2:$A$500),WORKDAY(A586,E586,Dias_Sem_Compensacao!$A$2:$A$500)),"")</f>
        <v>46310</v>
      </c>
      <c r="H586" s="25">
        <v>0</v>
      </c>
      <c r="I586" s="28">
        <v>46309</v>
      </c>
      <c r="J586" t="s">
        <v>918</v>
      </c>
      <c r="K586" t="s">
        <v>919</v>
      </c>
    </row>
    <row r="587" spans="1:11" hidden="1">
      <c r="A587" s="28">
        <v>46309</v>
      </c>
      <c r="B587" t="s">
        <v>185</v>
      </c>
      <c r="C587" t="s">
        <v>202</v>
      </c>
      <c r="D587" t="s">
        <v>217</v>
      </c>
      <c r="E587">
        <f>IF(LEFT(D587,6)="CLIENT",IFERROR(VLOOKUP(C587,Config_Carteiras!$A:$B,2,FALSE),1),"")</f>
        <v>1</v>
      </c>
      <c r="F587" s="25">
        <v>682</v>
      </c>
      <c r="G587" s="28">
        <f>IF(LEFT(D587,6)="CLIENT",IF(E587=0,WORKDAY(A587-1,1,Dias_Sem_Compensacao!$A$2:$A$500),WORKDAY(A587,E587,Dias_Sem_Compensacao!$A$2:$A$500)),"")</f>
        <v>46310</v>
      </c>
      <c r="H587" s="25">
        <v>0</v>
      </c>
      <c r="I587" s="28">
        <v>46309</v>
      </c>
      <c r="J587" t="s">
        <v>562</v>
      </c>
      <c r="K587" t="s">
        <v>920</v>
      </c>
    </row>
    <row r="588" spans="1:11" hidden="1">
      <c r="A588" s="28">
        <v>46309</v>
      </c>
      <c r="B588" t="s">
        <v>185</v>
      </c>
      <c r="C588" t="s">
        <v>202</v>
      </c>
      <c r="D588" t="s">
        <v>217</v>
      </c>
      <c r="E588">
        <f>IF(LEFT(D588,6)="CLIENT",IFERROR(VLOOKUP(C588,Config_Carteiras!$A:$B,2,FALSE),1),"")</f>
        <v>1</v>
      </c>
      <c r="F588" s="25">
        <v>1420</v>
      </c>
      <c r="G588" s="28">
        <f>IF(LEFT(D588,6)="CLIENT",IF(E588=0,WORKDAY(A588-1,1,Dias_Sem_Compensacao!$A$2:$A$500),WORKDAY(A588,E588,Dias_Sem_Compensacao!$A$2:$A$500)),"")</f>
        <v>46310</v>
      </c>
      <c r="H588" s="25">
        <v>0</v>
      </c>
      <c r="I588" s="28">
        <v>46309</v>
      </c>
      <c r="J588" t="s">
        <v>448</v>
      </c>
      <c r="K588" t="s">
        <v>921</v>
      </c>
    </row>
    <row r="589" spans="1:11" hidden="1">
      <c r="A589" s="28">
        <v>46309</v>
      </c>
      <c r="B589" t="s">
        <v>185</v>
      </c>
      <c r="C589" t="s">
        <v>202</v>
      </c>
      <c r="D589" t="s">
        <v>217</v>
      </c>
      <c r="E589">
        <f>IF(LEFT(D589,6)="CLIENT",IFERROR(VLOOKUP(C589,Config_Carteiras!$A:$B,2,FALSE),1),"")</f>
        <v>1</v>
      </c>
      <c r="F589" s="25">
        <v>434</v>
      </c>
      <c r="G589" s="28">
        <f>IF(LEFT(D589,6)="CLIENT",IF(E589=0,WORKDAY(A589-1,1,Dias_Sem_Compensacao!$A$2:$A$500),WORKDAY(A589,E589,Dias_Sem_Compensacao!$A$2:$A$500)),"")</f>
        <v>46310</v>
      </c>
      <c r="H589" s="25">
        <v>0</v>
      </c>
      <c r="I589" s="28">
        <v>46309</v>
      </c>
      <c r="J589" t="s">
        <v>922</v>
      </c>
      <c r="K589" t="s">
        <v>923</v>
      </c>
    </row>
    <row r="590" spans="1:11" hidden="1">
      <c r="A590" s="28">
        <v>46309</v>
      </c>
      <c r="B590" t="s">
        <v>185</v>
      </c>
      <c r="C590" t="s">
        <v>202</v>
      </c>
      <c r="D590" t="s">
        <v>217</v>
      </c>
      <c r="E590">
        <f>IF(LEFT(D590,6)="CLIENT",IFERROR(VLOOKUP(C590,Config_Carteiras!$A:$B,2,FALSE),1),"")</f>
        <v>1</v>
      </c>
      <c r="F590" s="25">
        <v>1942.64</v>
      </c>
      <c r="G590" s="28">
        <f>IF(LEFT(D590,6)="CLIENT",IF(E590=0,WORKDAY(A590-1,1,Dias_Sem_Compensacao!$A$2:$A$500),WORKDAY(A590,E590,Dias_Sem_Compensacao!$A$2:$A$500)),"")</f>
        <v>46310</v>
      </c>
      <c r="H590" s="25">
        <v>0</v>
      </c>
      <c r="I590" s="28">
        <v>46309</v>
      </c>
      <c r="J590" t="s">
        <v>749</v>
      </c>
      <c r="K590" t="s">
        <v>750</v>
      </c>
    </row>
    <row r="591" spans="1:11" hidden="1">
      <c r="A591" s="28">
        <v>46309</v>
      </c>
      <c r="B591" t="s">
        <v>185</v>
      </c>
      <c r="C591" t="s">
        <v>202</v>
      </c>
      <c r="D591" t="s">
        <v>217</v>
      </c>
      <c r="E591">
        <f>IF(LEFT(D591,6)="CLIENT",IFERROR(VLOOKUP(C591,Config_Carteiras!$A:$B,2,FALSE),1),"")</f>
        <v>1</v>
      </c>
      <c r="F591" s="25">
        <v>1530.1</v>
      </c>
      <c r="G591" s="28">
        <f>IF(LEFT(D591,6)="CLIENT",IF(E591=0,WORKDAY(A591-1,1,Dias_Sem_Compensacao!$A$2:$A$500),WORKDAY(A591,E591,Dias_Sem_Compensacao!$A$2:$A$500)),"")</f>
        <v>46310</v>
      </c>
      <c r="H591" s="25">
        <v>0</v>
      </c>
      <c r="I591" s="28">
        <v>46309</v>
      </c>
      <c r="J591" t="s">
        <v>98</v>
      </c>
      <c r="K591" t="s">
        <v>458</v>
      </c>
    </row>
    <row r="592" spans="1:11" hidden="1">
      <c r="A592" s="28">
        <v>46309</v>
      </c>
      <c r="B592" t="s">
        <v>185</v>
      </c>
      <c r="C592" t="s">
        <v>202</v>
      </c>
      <c r="D592" t="s">
        <v>217</v>
      </c>
      <c r="E592">
        <f>IF(LEFT(D592,6)="CLIENT",IFERROR(VLOOKUP(C592,Config_Carteiras!$A:$B,2,FALSE),1),"")</f>
        <v>1</v>
      </c>
      <c r="F592" s="25">
        <v>879.37</v>
      </c>
      <c r="G592" s="28">
        <f>IF(LEFT(D592,6)="CLIENT",IF(E592=0,WORKDAY(A592-1,1,Dias_Sem_Compensacao!$A$2:$A$500),WORKDAY(A592,E592,Dias_Sem_Compensacao!$A$2:$A$500)),"")</f>
        <v>46310</v>
      </c>
      <c r="H592" s="25">
        <v>0</v>
      </c>
      <c r="I592" s="28">
        <v>46309</v>
      </c>
      <c r="K592" t="s">
        <v>459</v>
      </c>
    </row>
    <row r="593" spans="1:11" hidden="1">
      <c r="A593" s="28">
        <v>46309</v>
      </c>
      <c r="B593" t="s">
        <v>185</v>
      </c>
      <c r="C593" t="s">
        <v>202</v>
      </c>
      <c r="D593" t="s">
        <v>217</v>
      </c>
      <c r="E593">
        <f>IF(LEFT(D593,6)="CLIENT",IFERROR(VLOOKUP(C593,Config_Carteiras!$A:$B,2,FALSE),1),"")</f>
        <v>1</v>
      </c>
      <c r="F593" s="25">
        <v>1459</v>
      </c>
      <c r="G593" s="28">
        <f>IF(LEFT(D593,6)="CLIENT",IF(E593=0,WORKDAY(A593-1,1,Dias_Sem_Compensacao!$A$2:$A$500),WORKDAY(A593,E593,Dias_Sem_Compensacao!$A$2:$A$500)),"")</f>
        <v>46310</v>
      </c>
      <c r="H593" s="25">
        <v>0</v>
      </c>
      <c r="I593" s="28">
        <v>46309</v>
      </c>
      <c r="J593" t="s">
        <v>101</v>
      </c>
      <c r="K593" t="s">
        <v>462</v>
      </c>
    </row>
    <row r="594" spans="1:11" hidden="1">
      <c r="A594" s="28">
        <v>46309</v>
      </c>
      <c r="B594" t="s">
        <v>185</v>
      </c>
      <c r="C594" t="s">
        <v>202</v>
      </c>
      <c r="D594" t="s">
        <v>217</v>
      </c>
      <c r="E594">
        <f>IF(LEFT(D594,6)="CLIENT",IFERROR(VLOOKUP(C594,Config_Carteiras!$A:$B,2,FALSE),1),"")</f>
        <v>1</v>
      </c>
      <c r="F594" s="25">
        <v>405.6</v>
      </c>
      <c r="G594" s="28">
        <f>IF(LEFT(D594,6)="CLIENT",IF(E594=0,WORKDAY(A594-1,1,Dias_Sem_Compensacao!$A$2:$A$500),WORKDAY(A594,E594,Dias_Sem_Compensacao!$A$2:$A$500)),"")</f>
        <v>46310</v>
      </c>
      <c r="H594" s="25">
        <v>0</v>
      </c>
      <c r="I594" s="28">
        <v>46309</v>
      </c>
      <c r="J594" t="s">
        <v>465</v>
      </c>
      <c r="K594" t="s">
        <v>466</v>
      </c>
    </row>
    <row r="595" spans="1:11" hidden="1">
      <c r="A595" s="28">
        <v>46309</v>
      </c>
      <c r="B595" t="s">
        <v>185</v>
      </c>
      <c r="C595" t="s">
        <v>202</v>
      </c>
      <c r="D595" t="s">
        <v>217</v>
      </c>
      <c r="E595">
        <f>IF(LEFT(D595,6)="CLIENT",IFERROR(VLOOKUP(C595,Config_Carteiras!$A:$B,2,FALSE),1),"")</f>
        <v>1</v>
      </c>
      <c r="F595" s="25">
        <v>1200</v>
      </c>
      <c r="G595" s="28">
        <f>IF(LEFT(D595,6)="CLIENT",IF(E595=0,WORKDAY(A595-1,1,Dias_Sem_Compensacao!$A$2:$A$500),WORKDAY(A595,E595,Dias_Sem_Compensacao!$A$2:$A$500)),"")</f>
        <v>46310</v>
      </c>
      <c r="H595" s="25">
        <v>0</v>
      </c>
      <c r="I595" s="28">
        <v>46309</v>
      </c>
      <c r="J595" t="s">
        <v>754</v>
      </c>
      <c r="K595" t="s">
        <v>755</v>
      </c>
    </row>
    <row r="596" spans="1:11" hidden="1">
      <c r="A596" s="28">
        <v>46309</v>
      </c>
      <c r="B596" t="s">
        <v>185</v>
      </c>
      <c r="C596" t="s">
        <v>202</v>
      </c>
      <c r="D596" t="s">
        <v>217</v>
      </c>
      <c r="E596">
        <f>IF(LEFT(D596,6)="CLIENT",IFERROR(VLOOKUP(C596,Config_Carteiras!$A:$B,2,FALSE),1),"")</f>
        <v>1</v>
      </c>
      <c r="F596" s="25">
        <v>966</v>
      </c>
      <c r="G596" s="28">
        <f>IF(LEFT(D596,6)="CLIENT",IF(E596=0,WORKDAY(A596-1,1,Dias_Sem_Compensacao!$A$2:$A$500),WORKDAY(A596,E596,Dias_Sem_Compensacao!$A$2:$A$500)),"")</f>
        <v>46310</v>
      </c>
      <c r="H596" s="25">
        <v>0</v>
      </c>
      <c r="I596" s="28">
        <v>46309</v>
      </c>
      <c r="J596" t="s">
        <v>469</v>
      </c>
      <c r="K596" t="s">
        <v>470</v>
      </c>
    </row>
    <row r="597" spans="1:11" hidden="1">
      <c r="A597" s="28">
        <v>46309</v>
      </c>
      <c r="B597" t="s">
        <v>185</v>
      </c>
      <c r="C597" t="s">
        <v>202</v>
      </c>
      <c r="D597" t="s">
        <v>217</v>
      </c>
      <c r="E597">
        <f>IF(LEFT(D597,6)="CLIENT",IFERROR(VLOOKUP(C597,Config_Carteiras!$A:$B,2,FALSE),1),"")</f>
        <v>1</v>
      </c>
      <c r="F597" s="25">
        <v>298</v>
      </c>
      <c r="G597" s="28">
        <f>IF(LEFT(D597,6)="CLIENT",IF(E597=0,WORKDAY(A597-1,1,Dias_Sem_Compensacao!$A$2:$A$500),WORKDAY(A597,E597,Dias_Sem_Compensacao!$A$2:$A$500)),"")</f>
        <v>46310</v>
      </c>
      <c r="H597" s="25">
        <v>0</v>
      </c>
      <c r="I597" s="28">
        <v>46309</v>
      </c>
      <c r="J597" t="s">
        <v>924</v>
      </c>
      <c r="K597" t="s">
        <v>925</v>
      </c>
    </row>
    <row r="598" spans="1:11" hidden="1">
      <c r="A598" s="28">
        <v>46309</v>
      </c>
      <c r="B598" t="s">
        <v>185</v>
      </c>
      <c r="C598" t="s">
        <v>202</v>
      </c>
      <c r="D598" t="s">
        <v>217</v>
      </c>
      <c r="E598">
        <f>IF(LEFT(D598,6)="CLIENT",IFERROR(VLOOKUP(C598,Config_Carteiras!$A:$B,2,FALSE),1),"")</f>
        <v>1</v>
      </c>
      <c r="F598" s="25">
        <v>992.5</v>
      </c>
      <c r="G598" s="28">
        <f>IF(LEFT(D598,6)="CLIENT",IF(E598=0,WORKDAY(A598-1,1,Dias_Sem_Compensacao!$A$2:$A$500),WORKDAY(A598,E598,Dias_Sem_Compensacao!$A$2:$A$500)),"")</f>
        <v>46310</v>
      </c>
      <c r="H598" s="25">
        <v>0</v>
      </c>
      <c r="I598" s="28">
        <v>46309</v>
      </c>
      <c r="J598" t="s">
        <v>471</v>
      </c>
      <c r="K598" t="s">
        <v>472</v>
      </c>
    </row>
    <row r="599" spans="1:11" hidden="1">
      <c r="A599" s="28">
        <v>46309</v>
      </c>
      <c r="B599" t="s">
        <v>185</v>
      </c>
      <c r="C599" t="s">
        <v>202</v>
      </c>
      <c r="D599" t="s">
        <v>217</v>
      </c>
      <c r="E599">
        <f>IF(LEFT(D599,6)="CLIENT",IFERROR(VLOOKUP(C599,Config_Carteiras!$A:$B,2,FALSE),1),"")</f>
        <v>1</v>
      </c>
      <c r="F599" s="25">
        <v>659.74</v>
      </c>
      <c r="G599" s="28">
        <f>IF(LEFT(D599,6)="CLIENT",IF(E599=0,WORKDAY(A599-1,1,Dias_Sem_Compensacao!$A$2:$A$500),WORKDAY(A599,E599,Dias_Sem_Compensacao!$A$2:$A$500)),"")</f>
        <v>46310</v>
      </c>
      <c r="H599" s="25">
        <v>0</v>
      </c>
      <c r="I599" s="28">
        <v>46309</v>
      </c>
      <c r="J599" t="s">
        <v>475</v>
      </c>
      <c r="K599" t="s">
        <v>476</v>
      </c>
    </row>
    <row r="600" spans="1:11" hidden="1">
      <c r="A600" s="28">
        <v>46310</v>
      </c>
      <c r="B600" t="s">
        <v>185</v>
      </c>
      <c r="C600" t="s">
        <v>202</v>
      </c>
      <c r="D600" t="s">
        <v>217</v>
      </c>
      <c r="E600">
        <f>IF(LEFT(D600,6)="CLIENT",IFERROR(VLOOKUP(C600,Config_Carteiras!$A:$B,2,FALSE),1),"")</f>
        <v>1</v>
      </c>
      <c r="F600" s="25">
        <v>495</v>
      </c>
      <c r="G600" s="28">
        <f>IF(LEFT(D600,6)="CLIENT",IF(E600=0,WORKDAY(A600-1,1,Dias_Sem_Compensacao!$A$2:$A$500),WORKDAY(A600,E600,Dias_Sem_Compensacao!$A$2:$A$500)),"")</f>
        <v>46311</v>
      </c>
      <c r="H600" s="25">
        <v>0</v>
      </c>
      <c r="I600" s="28">
        <v>46310</v>
      </c>
      <c r="J600" t="s">
        <v>926</v>
      </c>
      <c r="K600" t="s">
        <v>927</v>
      </c>
    </row>
    <row r="601" spans="1:11" hidden="1">
      <c r="A601" s="28">
        <v>46310</v>
      </c>
      <c r="B601" t="s">
        <v>185</v>
      </c>
      <c r="C601" t="s">
        <v>202</v>
      </c>
      <c r="D601" t="s">
        <v>217</v>
      </c>
      <c r="E601">
        <f>IF(LEFT(D601,6)="CLIENT",IFERROR(VLOOKUP(C601,Config_Carteiras!$A:$B,2,FALSE),1),"")</f>
        <v>1</v>
      </c>
      <c r="F601" s="25">
        <v>808</v>
      </c>
      <c r="G601" s="28">
        <f>IF(LEFT(D601,6)="CLIENT",IF(E601=0,WORKDAY(A601-1,1,Dias_Sem_Compensacao!$A$2:$A$500),WORKDAY(A601,E601,Dias_Sem_Compensacao!$A$2:$A$500)),"")</f>
        <v>46311</v>
      </c>
      <c r="H601" s="25">
        <v>0</v>
      </c>
      <c r="I601" s="28">
        <v>46310</v>
      </c>
      <c r="J601" t="s">
        <v>760</v>
      </c>
      <c r="K601" t="s">
        <v>761</v>
      </c>
    </row>
    <row r="602" spans="1:11" hidden="1">
      <c r="A602" s="28">
        <v>46310</v>
      </c>
      <c r="B602" t="s">
        <v>185</v>
      </c>
      <c r="C602" t="s">
        <v>202</v>
      </c>
      <c r="D602" t="s">
        <v>217</v>
      </c>
      <c r="E602">
        <f>IF(LEFT(D602,6)="CLIENT",IFERROR(VLOOKUP(C602,Config_Carteiras!$A:$B,2,FALSE),1),"")</f>
        <v>1</v>
      </c>
      <c r="F602" s="25">
        <v>514</v>
      </c>
      <c r="G602" s="28">
        <f>IF(LEFT(D602,6)="CLIENT",IF(E602=0,WORKDAY(A602-1,1,Dias_Sem_Compensacao!$A$2:$A$500),WORKDAY(A602,E602,Dias_Sem_Compensacao!$A$2:$A$500)),"")</f>
        <v>46311</v>
      </c>
      <c r="H602" s="25">
        <v>0</v>
      </c>
      <c r="I602" s="28">
        <v>46310</v>
      </c>
      <c r="J602" t="s">
        <v>928</v>
      </c>
      <c r="K602" t="s">
        <v>929</v>
      </c>
    </row>
    <row r="603" spans="1:11" hidden="1">
      <c r="A603" s="28">
        <v>46310</v>
      </c>
      <c r="B603" t="s">
        <v>185</v>
      </c>
      <c r="C603" t="s">
        <v>202</v>
      </c>
      <c r="D603" t="s">
        <v>217</v>
      </c>
      <c r="E603">
        <f>IF(LEFT(D603,6)="CLIENT",IFERROR(VLOOKUP(C603,Config_Carteiras!$A:$B,2,FALSE),1),"")</f>
        <v>1</v>
      </c>
      <c r="F603" s="25">
        <v>645.89</v>
      </c>
      <c r="G603" s="28">
        <f>IF(LEFT(D603,6)="CLIENT",IF(E603=0,WORKDAY(A603-1,1,Dias_Sem_Compensacao!$A$2:$A$500),WORKDAY(A603,E603,Dias_Sem_Compensacao!$A$2:$A$500)),"")</f>
        <v>46311</v>
      </c>
      <c r="H603" s="25">
        <v>0</v>
      </c>
      <c r="I603" s="28">
        <v>46310</v>
      </c>
      <c r="J603" t="s">
        <v>481</v>
      </c>
      <c r="K603" t="s">
        <v>482</v>
      </c>
    </row>
    <row r="604" spans="1:11" hidden="1">
      <c r="A604" s="28">
        <v>46310</v>
      </c>
      <c r="B604" t="s">
        <v>185</v>
      </c>
      <c r="C604" t="s">
        <v>202</v>
      </c>
      <c r="D604" t="s">
        <v>217</v>
      </c>
      <c r="E604">
        <f>IF(LEFT(D604,6)="CLIENT",IFERROR(VLOOKUP(C604,Config_Carteiras!$A:$B,2,FALSE),1),"")</f>
        <v>1</v>
      </c>
      <c r="F604" s="25">
        <v>2179.13</v>
      </c>
      <c r="G604" s="28">
        <f>IF(LEFT(D604,6)="CLIENT",IF(E604=0,WORKDAY(A604-1,1,Dias_Sem_Compensacao!$A$2:$A$500),WORKDAY(A604,E604,Dias_Sem_Compensacao!$A$2:$A$500)),"")</f>
        <v>46311</v>
      </c>
      <c r="H604" s="25">
        <v>0</v>
      </c>
      <c r="I604" s="28">
        <v>46310</v>
      </c>
      <c r="J604" t="s">
        <v>762</v>
      </c>
      <c r="K604" t="s">
        <v>763</v>
      </c>
    </row>
    <row r="605" spans="1:11" hidden="1">
      <c r="A605" s="28">
        <v>46310</v>
      </c>
      <c r="B605" t="s">
        <v>185</v>
      </c>
      <c r="C605" t="s">
        <v>202</v>
      </c>
      <c r="D605" t="s">
        <v>217</v>
      </c>
      <c r="E605">
        <f>IF(LEFT(D605,6)="CLIENT",IFERROR(VLOOKUP(C605,Config_Carteiras!$A:$B,2,FALSE),1),"")</f>
        <v>1</v>
      </c>
      <c r="F605" s="25">
        <v>379.8</v>
      </c>
      <c r="G605" s="28">
        <f>IF(LEFT(D605,6)="CLIENT",IF(E605=0,WORKDAY(A605-1,1,Dias_Sem_Compensacao!$A$2:$A$500),WORKDAY(A605,E605,Dias_Sem_Compensacao!$A$2:$A$500)),"")</f>
        <v>46311</v>
      </c>
      <c r="H605" s="25">
        <v>0</v>
      </c>
      <c r="I605" s="28">
        <v>46310</v>
      </c>
      <c r="J605" t="s">
        <v>765</v>
      </c>
      <c r="K605" t="s">
        <v>766</v>
      </c>
    </row>
    <row r="606" spans="1:11" hidden="1">
      <c r="A606" s="28">
        <v>46310</v>
      </c>
      <c r="B606" t="s">
        <v>185</v>
      </c>
      <c r="C606" t="s">
        <v>202</v>
      </c>
      <c r="D606" t="s">
        <v>217</v>
      </c>
      <c r="E606">
        <f>IF(LEFT(D606,6)="CLIENT",IFERROR(VLOOKUP(C606,Config_Carteiras!$A:$B,2,FALSE),1),"")</f>
        <v>1</v>
      </c>
      <c r="F606" s="25">
        <v>1344</v>
      </c>
      <c r="G606" s="28">
        <f>IF(LEFT(D606,6)="CLIENT",IF(E606=0,WORKDAY(A606-1,1,Dias_Sem_Compensacao!$A$2:$A$500),WORKDAY(A606,E606,Dias_Sem_Compensacao!$A$2:$A$500)),"")</f>
        <v>46311</v>
      </c>
      <c r="H606" s="25">
        <v>0</v>
      </c>
      <c r="I606" s="28">
        <v>46310</v>
      </c>
      <c r="J606" t="s">
        <v>483</v>
      </c>
      <c r="K606" t="s">
        <v>484</v>
      </c>
    </row>
    <row r="607" spans="1:11" hidden="1">
      <c r="A607" s="28">
        <v>46310</v>
      </c>
      <c r="B607" t="s">
        <v>185</v>
      </c>
      <c r="C607" t="s">
        <v>202</v>
      </c>
      <c r="D607" t="s">
        <v>217</v>
      </c>
      <c r="E607">
        <f>IF(LEFT(D607,6)="CLIENT",IFERROR(VLOOKUP(C607,Config_Carteiras!$A:$B,2,FALSE),1),"")</f>
        <v>1</v>
      </c>
      <c r="F607" s="25">
        <v>499</v>
      </c>
      <c r="G607" s="28">
        <f>IF(LEFT(D607,6)="CLIENT",IF(E607=0,WORKDAY(A607-1,1,Dias_Sem_Compensacao!$A$2:$A$500),WORKDAY(A607,E607,Dias_Sem_Compensacao!$A$2:$A$500)),"")</f>
        <v>46311</v>
      </c>
      <c r="H607" s="25">
        <v>0</v>
      </c>
      <c r="I607" s="28">
        <v>46310</v>
      </c>
      <c r="J607" t="s">
        <v>930</v>
      </c>
      <c r="K607" t="s">
        <v>931</v>
      </c>
    </row>
    <row r="608" spans="1:11" hidden="1">
      <c r="A608" s="28">
        <v>46310</v>
      </c>
      <c r="B608" t="s">
        <v>185</v>
      </c>
      <c r="C608" t="s">
        <v>202</v>
      </c>
      <c r="D608" t="s">
        <v>217</v>
      </c>
      <c r="E608">
        <f>IF(LEFT(D608,6)="CLIENT",IFERROR(VLOOKUP(C608,Config_Carteiras!$A:$B,2,FALSE),1),"")</f>
        <v>1</v>
      </c>
      <c r="F608" s="25">
        <v>400</v>
      </c>
      <c r="G608" s="28">
        <f>IF(LEFT(D608,6)="CLIENT",IF(E608=0,WORKDAY(A608-1,1,Dias_Sem_Compensacao!$A$2:$A$500),WORKDAY(A608,E608,Dias_Sem_Compensacao!$A$2:$A$500)),"")</f>
        <v>46311</v>
      </c>
      <c r="H608" s="25">
        <v>0</v>
      </c>
      <c r="I608" s="28">
        <v>46310</v>
      </c>
      <c r="J608" t="s">
        <v>485</v>
      </c>
      <c r="K608" t="s">
        <v>486</v>
      </c>
    </row>
    <row r="609" spans="1:11" hidden="1">
      <c r="A609" s="28">
        <v>46310</v>
      </c>
      <c r="B609" t="s">
        <v>185</v>
      </c>
      <c r="C609" t="s">
        <v>202</v>
      </c>
      <c r="D609" t="s">
        <v>217</v>
      </c>
      <c r="E609">
        <f>IF(LEFT(D609,6)="CLIENT",IFERROR(VLOOKUP(C609,Config_Carteiras!$A:$B,2,FALSE),1),"")</f>
        <v>1</v>
      </c>
      <c r="F609" s="25">
        <v>487</v>
      </c>
      <c r="G609" s="28">
        <f>IF(LEFT(D609,6)="CLIENT",IF(E609=0,WORKDAY(A609-1,1,Dias_Sem_Compensacao!$A$2:$A$500),WORKDAY(A609,E609,Dias_Sem_Compensacao!$A$2:$A$500)),"")</f>
        <v>46311</v>
      </c>
      <c r="H609" s="25">
        <v>0</v>
      </c>
      <c r="I609" s="28">
        <v>46310</v>
      </c>
      <c r="J609" t="s">
        <v>932</v>
      </c>
      <c r="K609" t="s">
        <v>933</v>
      </c>
    </row>
    <row r="610" spans="1:11" hidden="1">
      <c r="A610" s="28">
        <v>46310</v>
      </c>
      <c r="B610" t="s">
        <v>185</v>
      </c>
      <c r="C610" t="s">
        <v>202</v>
      </c>
      <c r="D610" t="s">
        <v>217</v>
      </c>
      <c r="E610">
        <f>IF(LEFT(D610,6)="CLIENT",IFERROR(VLOOKUP(C610,Config_Carteiras!$A:$B,2,FALSE),1),"")</f>
        <v>1</v>
      </c>
      <c r="F610" s="25">
        <v>2511</v>
      </c>
      <c r="G610" s="28">
        <f>IF(LEFT(D610,6)="CLIENT",IF(E610=0,WORKDAY(A610-1,1,Dias_Sem_Compensacao!$A$2:$A$500),WORKDAY(A610,E610,Dias_Sem_Compensacao!$A$2:$A$500)),"")</f>
        <v>46311</v>
      </c>
      <c r="H610" s="25">
        <v>0</v>
      </c>
      <c r="I610" s="28">
        <v>46310</v>
      </c>
      <c r="J610" t="s">
        <v>489</v>
      </c>
      <c r="K610" t="s">
        <v>490</v>
      </c>
    </row>
    <row r="611" spans="1:11" hidden="1">
      <c r="A611" s="28">
        <v>46310</v>
      </c>
      <c r="B611" t="s">
        <v>185</v>
      </c>
      <c r="C611" t="s">
        <v>202</v>
      </c>
      <c r="D611" t="s">
        <v>217</v>
      </c>
      <c r="E611">
        <f>IF(LEFT(D611,6)="CLIENT",IFERROR(VLOOKUP(C611,Config_Carteiras!$A:$B,2,FALSE),1),"")</f>
        <v>1</v>
      </c>
      <c r="F611" s="25">
        <v>5009</v>
      </c>
      <c r="G611" s="28">
        <f>IF(LEFT(D611,6)="CLIENT",IF(E611=0,WORKDAY(A611-1,1,Dias_Sem_Compensacao!$A$2:$A$500),WORKDAY(A611,E611,Dias_Sem_Compensacao!$A$2:$A$500)),"")</f>
        <v>46311</v>
      </c>
      <c r="H611" s="25">
        <v>0</v>
      </c>
      <c r="I611" s="28">
        <v>46310</v>
      </c>
      <c r="J611" t="s">
        <v>491</v>
      </c>
      <c r="K611" t="s">
        <v>492</v>
      </c>
    </row>
    <row r="612" spans="1:11" hidden="1">
      <c r="A612" s="28">
        <v>46310</v>
      </c>
      <c r="B612" t="s">
        <v>185</v>
      </c>
      <c r="C612" t="s">
        <v>202</v>
      </c>
      <c r="D612" t="s">
        <v>217</v>
      </c>
      <c r="E612">
        <f>IF(LEFT(D612,6)="CLIENT",IFERROR(VLOOKUP(C612,Config_Carteiras!$A:$B,2,FALSE),1),"")</f>
        <v>1</v>
      </c>
      <c r="F612" s="25">
        <v>660</v>
      </c>
      <c r="G612" s="28">
        <f>IF(LEFT(D612,6)="CLIENT",IF(E612=0,WORKDAY(A612-1,1,Dias_Sem_Compensacao!$A$2:$A$500),WORKDAY(A612,E612,Dias_Sem_Compensacao!$A$2:$A$500)),"")</f>
        <v>46311</v>
      </c>
      <c r="H612" s="25">
        <v>0</v>
      </c>
      <c r="I612" s="28">
        <v>46310</v>
      </c>
      <c r="J612" t="s">
        <v>234</v>
      </c>
      <c r="K612" t="s">
        <v>235</v>
      </c>
    </row>
    <row r="613" spans="1:11" hidden="1">
      <c r="A613" s="28">
        <v>46310</v>
      </c>
      <c r="B613" t="s">
        <v>185</v>
      </c>
      <c r="C613" t="s">
        <v>202</v>
      </c>
      <c r="D613" t="s">
        <v>217</v>
      </c>
      <c r="E613">
        <f>IF(LEFT(D613,6)="CLIENT",IFERROR(VLOOKUP(C613,Config_Carteiras!$A:$B,2,FALSE),1),"")</f>
        <v>1</v>
      </c>
      <c r="F613" s="25">
        <v>3150</v>
      </c>
      <c r="G613" s="28">
        <f>IF(LEFT(D613,6)="CLIENT",IF(E613=0,WORKDAY(A613-1,1,Dias_Sem_Compensacao!$A$2:$A$500),WORKDAY(A613,E613,Dias_Sem_Compensacao!$A$2:$A$500)),"")</f>
        <v>46311</v>
      </c>
      <c r="H613" s="25">
        <v>0</v>
      </c>
      <c r="I613" s="28">
        <v>46310</v>
      </c>
      <c r="J613" t="s">
        <v>493</v>
      </c>
      <c r="K613" t="s">
        <v>494</v>
      </c>
    </row>
    <row r="614" spans="1:11" hidden="1">
      <c r="A614" s="28">
        <v>46310</v>
      </c>
      <c r="B614" t="s">
        <v>185</v>
      </c>
      <c r="C614" t="s">
        <v>202</v>
      </c>
      <c r="D614" t="s">
        <v>217</v>
      </c>
      <c r="E614">
        <f>IF(LEFT(D614,6)="CLIENT",IFERROR(VLOOKUP(C614,Config_Carteiras!$A:$B,2,FALSE),1),"")</f>
        <v>1</v>
      </c>
      <c r="F614" s="25">
        <v>408.4</v>
      </c>
      <c r="G614" s="28">
        <f>IF(LEFT(D614,6)="CLIENT",IF(E614=0,WORKDAY(A614-1,1,Dias_Sem_Compensacao!$A$2:$A$500),WORKDAY(A614,E614,Dias_Sem_Compensacao!$A$2:$A$500)),"")</f>
        <v>46311</v>
      </c>
      <c r="H614" s="25">
        <v>0</v>
      </c>
      <c r="I614" s="28">
        <v>46310</v>
      </c>
      <c r="J614" t="s">
        <v>497</v>
      </c>
      <c r="K614" t="s">
        <v>498</v>
      </c>
    </row>
    <row r="615" spans="1:11" hidden="1">
      <c r="A615" s="28">
        <v>46310</v>
      </c>
      <c r="B615" t="s">
        <v>185</v>
      </c>
      <c r="C615" t="s">
        <v>202</v>
      </c>
      <c r="D615" t="s">
        <v>217</v>
      </c>
      <c r="E615">
        <f>IF(LEFT(D615,6)="CLIENT",IFERROR(VLOOKUP(C615,Config_Carteiras!$A:$B,2,FALSE),1),"")</f>
        <v>1</v>
      </c>
      <c r="F615" s="25">
        <v>4992</v>
      </c>
      <c r="G615" s="28">
        <f>IF(LEFT(D615,6)="CLIENT",IF(E615=0,WORKDAY(A615-1,1,Dias_Sem_Compensacao!$A$2:$A$500),WORKDAY(A615,E615,Dias_Sem_Compensacao!$A$2:$A$500)),"")</f>
        <v>46311</v>
      </c>
      <c r="H615" s="25">
        <v>0</v>
      </c>
      <c r="I615" s="28">
        <v>46310</v>
      </c>
      <c r="J615" t="s">
        <v>665</v>
      </c>
      <c r="K615" t="s">
        <v>934</v>
      </c>
    </row>
    <row r="616" spans="1:11" hidden="1">
      <c r="A616" s="28">
        <v>46310</v>
      </c>
      <c r="B616" t="s">
        <v>185</v>
      </c>
      <c r="C616" t="s">
        <v>202</v>
      </c>
      <c r="D616" t="s">
        <v>217</v>
      </c>
      <c r="E616">
        <f>IF(LEFT(D616,6)="CLIENT",IFERROR(VLOOKUP(C616,Config_Carteiras!$A:$B,2,FALSE),1),"")</f>
        <v>1</v>
      </c>
      <c r="F616" s="25">
        <v>404</v>
      </c>
      <c r="G616" s="28">
        <f>IF(LEFT(D616,6)="CLIENT",IF(E616=0,WORKDAY(A616-1,1,Dias_Sem_Compensacao!$A$2:$A$500),WORKDAY(A616,E616,Dias_Sem_Compensacao!$A$2:$A$500)),"")</f>
        <v>46311</v>
      </c>
      <c r="H616" s="25">
        <v>0</v>
      </c>
      <c r="I616" s="28">
        <v>46310</v>
      </c>
      <c r="J616" t="s">
        <v>935</v>
      </c>
      <c r="K616" t="s">
        <v>936</v>
      </c>
    </row>
    <row r="617" spans="1:11" hidden="1">
      <c r="A617" s="28">
        <v>46310</v>
      </c>
      <c r="B617" t="s">
        <v>185</v>
      </c>
      <c r="C617" t="s">
        <v>202</v>
      </c>
      <c r="D617" t="s">
        <v>217</v>
      </c>
      <c r="E617">
        <f>IF(LEFT(D617,6)="CLIENT",IFERROR(VLOOKUP(C617,Config_Carteiras!$A:$B,2,FALSE),1),"")</f>
        <v>1</v>
      </c>
      <c r="F617" s="25">
        <v>658</v>
      </c>
      <c r="G617" s="28">
        <f>IF(LEFT(D617,6)="CLIENT",IF(E617=0,WORKDAY(A617-1,1,Dias_Sem_Compensacao!$A$2:$A$500),WORKDAY(A617,E617,Dias_Sem_Compensacao!$A$2:$A$500)),"")</f>
        <v>46311</v>
      </c>
      <c r="H617" s="25">
        <v>0</v>
      </c>
      <c r="I617" s="28">
        <v>46310</v>
      </c>
      <c r="J617" t="s">
        <v>513</v>
      </c>
      <c r="K617" t="s">
        <v>514</v>
      </c>
    </row>
    <row r="618" spans="1:11" hidden="1">
      <c r="A618" s="28">
        <v>46310</v>
      </c>
      <c r="B618" t="s">
        <v>185</v>
      </c>
      <c r="C618" t="s">
        <v>202</v>
      </c>
      <c r="D618" t="s">
        <v>217</v>
      </c>
      <c r="E618">
        <f>IF(LEFT(D618,6)="CLIENT",IFERROR(VLOOKUP(C618,Config_Carteiras!$A:$B,2,FALSE),1),"")</f>
        <v>1</v>
      </c>
      <c r="F618" s="25">
        <v>1029.5899999999999</v>
      </c>
      <c r="G618" s="28">
        <f>IF(LEFT(D618,6)="CLIENT",IF(E618=0,WORKDAY(A618-1,1,Dias_Sem_Compensacao!$A$2:$A$500),WORKDAY(A618,E618,Dias_Sem_Compensacao!$A$2:$A$500)),"")</f>
        <v>46311</v>
      </c>
      <c r="H618" s="25">
        <v>0</v>
      </c>
      <c r="I618" s="28">
        <v>46310</v>
      </c>
      <c r="J618" t="s">
        <v>521</v>
      </c>
      <c r="K618" t="s">
        <v>522</v>
      </c>
    </row>
    <row r="619" spans="1:11" hidden="1">
      <c r="A619" s="28">
        <v>46310</v>
      </c>
      <c r="B619" t="s">
        <v>185</v>
      </c>
      <c r="C619" t="s">
        <v>202</v>
      </c>
      <c r="D619" t="s">
        <v>217</v>
      </c>
      <c r="E619">
        <f>IF(LEFT(D619,6)="CLIENT",IFERROR(VLOOKUP(C619,Config_Carteiras!$A:$B,2,FALSE),1),"")</f>
        <v>1</v>
      </c>
      <c r="F619" s="25">
        <v>1260</v>
      </c>
      <c r="G619" s="28">
        <f>IF(LEFT(D619,6)="CLIENT",IF(E619=0,WORKDAY(A619-1,1,Dias_Sem_Compensacao!$A$2:$A$500),WORKDAY(A619,E619,Dias_Sem_Compensacao!$A$2:$A$500)),"")</f>
        <v>46311</v>
      </c>
      <c r="H619" s="25">
        <v>0</v>
      </c>
      <c r="I619" s="28">
        <v>46310</v>
      </c>
      <c r="J619" t="s">
        <v>527</v>
      </c>
      <c r="K619" t="s">
        <v>528</v>
      </c>
    </row>
    <row r="620" spans="1:11" hidden="1">
      <c r="A620" s="28">
        <v>46310</v>
      </c>
      <c r="B620" t="s">
        <v>185</v>
      </c>
      <c r="C620" t="s">
        <v>202</v>
      </c>
      <c r="D620" t="s">
        <v>217</v>
      </c>
      <c r="E620">
        <f>IF(LEFT(D620,6)="CLIENT",IFERROR(VLOOKUP(C620,Config_Carteiras!$A:$B,2,FALSE),1),"")</f>
        <v>1</v>
      </c>
      <c r="F620" s="25">
        <v>682.3</v>
      </c>
      <c r="G620" s="28">
        <f>IF(LEFT(D620,6)="CLIENT",IF(E620=0,WORKDAY(A620-1,1,Dias_Sem_Compensacao!$A$2:$A$500),WORKDAY(A620,E620,Dias_Sem_Compensacao!$A$2:$A$500)),"")</f>
        <v>46311</v>
      </c>
      <c r="H620" s="25">
        <v>0</v>
      </c>
      <c r="I620" s="28">
        <v>46310</v>
      </c>
      <c r="J620" t="s">
        <v>535</v>
      </c>
      <c r="K620" t="s">
        <v>536</v>
      </c>
    </row>
    <row r="621" spans="1:11" hidden="1">
      <c r="A621" s="28">
        <v>46310</v>
      </c>
      <c r="B621" t="s">
        <v>185</v>
      </c>
      <c r="C621" t="s">
        <v>202</v>
      </c>
      <c r="D621" t="s">
        <v>217</v>
      </c>
      <c r="E621">
        <f>IF(LEFT(D621,6)="CLIENT",IFERROR(VLOOKUP(C621,Config_Carteiras!$A:$B,2,FALSE),1),"")</f>
        <v>1</v>
      </c>
      <c r="F621" s="25">
        <v>751</v>
      </c>
      <c r="G621" s="28">
        <f>IF(LEFT(D621,6)="CLIENT",IF(E621=0,WORKDAY(A621-1,1,Dias_Sem_Compensacao!$A$2:$A$500),WORKDAY(A621,E621,Dias_Sem_Compensacao!$A$2:$A$500)),"")</f>
        <v>46311</v>
      </c>
      <c r="H621" s="25">
        <v>0</v>
      </c>
      <c r="I621" s="28">
        <v>46310</v>
      </c>
      <c r="J621" t="s">
        <v>780</v>
      </c>
      <c r="K621" t="s">
        <v>781</v>
      </c>
    </row>
    <row r="622" spans="1:11" hidden="1">
      <c r="A622" s="28">
        <v>46310</v>
      </c>
      <c r="B622" t="s">
        <v>185</v>
      </c>
      <c r="C622" t="s">
        <v>202</v>
      </c>
      <c r="D622" t="s">
        <v>217</v>
      </c>
      <c r="E622">
        <f>IF(LEFT(D622,6)="CLIENT",IFERROR(VLOOKUP(C622,Config_Carteiras!$A:$B,2,FALSE),1),"")</f>
        <v>1</v>
      </c>
      <c r="F622" s="25">
        <v>1975.99</v>
      </c>
      <c r="G622" s="28">
        <f>IF(LEFT(D622,6)="CLIENT",IF(E622=0,WORKDAY(A622-1,1,Dias_Sem_Compensacao!$A$2:$A$500),WORKDAY(A622,E622,Dias_Sem_Compensacao!$A$2:$A$500)),"")</f>
        <v>46311</v>
      </c>
      <c r="H622" s="25">
        <v>0</v>
      </c>
      <c r="I622" s="28">
        <v>46310</v>
      </c>
      <c r="J622" t="s">
        <v>537</v>
      </c>
      <c r="K622" t="s">
        <v>538</v>
      </c>
    </row>
    <row r="623" spans="1:11" hidden="1">
      <c r="A623" s="28">
        <v>46311</v>
      </c>
      <c r="B623" t="s">
        <v>185</v>
      </c>
      <c r="C623" t="s">
        <v>202</v>
      </c>
      <c r="D623" t="s">
        <v>217</v>
      </c>
      <c r="E623">
        <f>IF(LEFT(D623,6)="CLIENT",IFERROR(VLOOKUP(C623,Config_Carteiras!$A:$B,2,FALSE),1),"")</f>
        <v>1</v>
      </c>
      <c r="F623" s="25">
        <v>16189.8</v>
      </c>
      <c r="G623" s="28">
        <f>IF(LEFT(D623,6)="CLIENT",IF(E623=0,WORKDAY(A623-1,1,Dias_Sem_Compensacao!$A$2:$A$500),WORKDAY(A623,E623,Dias_Sem_Compensacao!$A$2:$A$500)),"")</f>
        <v>46314</v>
      </c>
      <c r="H623" s="25">
        <v>0</v>
      </c>
      <c r="I623" s="28">
        <v>46311</v>
      </c>
      <c r="J623" t="s">
        <v>937</v>
      </c>
      <c r="K623" t="s">
        <v>938</v>
      </c>
    </row>
    <row r="624" spans="1:11" hidden="1">
      <c r="A624" s="28">
        <v>46311</v>
      </c>
      <c r="B624" t="s">
        <v>185</v>
      </c>
      <c r="C624" t="s">
        <v>202</v>
      </c>
      <c r="D624" t="s">
        <v>217</v>
      </c>
      <c r="E624">
        <f>IF(LEFT(D624,6)="CLIENT",IFERROR(VLOOKUP(C624,Config_Carteiras!$A:$B,2,FALSE),1),"")</f>
        <v>1</v>
      </c>
      <c r="F624" s="25">
        <v>671</v>
      </c>
      <c r="G624" s="28">
        <f>IF(LEFT(D624,6)="CLIENT",IF(E624=0,WORKDAY(A624-1,1,Dias_Sem_Compensacao!$A$2:$A$500),WORKDAY(A624,E624,Dias_Sem_Compensacao!$A$2:$A$500)),"")</f>
        <v>46314</v>
      </c>
      <c r="H624" s="25">
        <v>0</v>
      </c>
      <c r="I624" s="28">
        <v>46311</v>
      </c>
      <c r="J624" t="s">
        <v>232</v>
      </c>
      <c r="K624" t="s">
        <v>236</v>
      </c>
    </row>
    <row r="625" spans="1:11" hidden="1">
      <c r="A625" s="28">
        <v>46311</v>
      </c>
      <c r="B625" t="s">
        <v>185</v>
      </c>
      <c r="C625" t="s">
        <v>202</v>
      </c>
      <c r="D625" t="s">
        <v>217</v>
      </c>
      <c r="E625">
        <f>IF(LEFT(D625,6)="CLIENT",IFERROR(VLOOKUP(C625,Config_Carteiras!$A:$B,2,FALSE),1),"")</f>
        <v>1</v>
      </c>
      <c r="F625" s="25">
        <v>14560</v>
      </c>
      <c r="G625" s="28">
        <f>IF(LEFT(D625,6)="CLIENT",IF(E625=0,WORKDAY(A625-1,1,Dias_Sem_Compensacao!$A$2:$A$500),WORKDAY(A625,E625,Dias_Sem_Compensacao!$A$2:$A$500)),"")</f>
        <v>46314</v>
      </c>
      <c r="H625" s="25">
        <v>0</v>
      </c>
      <c r="I625" s="28">
        <v>46311</v>
      </c>
      <c r="J625" t="s">
        <v>939</v>
      </c>
      <c r="K625" t="s">
        <v>940</v>
      </c>
    </row>
    <row r="626" spans="1:11" hidden="1">
      <c r="A626" s="28">
        <v>46311</v>
      </c>
      <c r="B626" t="s">
        <v>185</v>
      </c>
      <c r="C626" t="s">
        <v>202</v>
      </c>
      <c r="D626" t="s">
        <v>217</v>
      </c>
      <c r="E626">
        <f>IF(LEFT(D626,6)="CLIENT",IFERROR(VLOOKUP(C626,Config_Carteiras!$A:$B,2,FALSE),1),"")</f>
        <v>1</v>
      </c>
      <c r="F626" s="25">
        <v>284.12</v>
      </c>
      <c r="G626" s="28">
        <f>IF(LEFT(D626,6)="CLIENT",IF(E626=0,WORKDAY(A626-1,1,Dias_Sem_Compensacao!$A$2:$A$500),WORKDAY(A626,E626,Dias_Sem_Compensacao!$A$2:$A$500)),"")</f>
        <v>46314</v>
      </c>
      <c r="H626" s="25">
        <v>0</v>
      </c>
      <c r="I626" s="28">
        <v>46311</v>
      </c>
      <c r="J626" t="s">
        <v>399</v>
      </c>
      <c r="K626" t="s">
        <v>547</v>
      </c>
    </row>
    <row r="627" spans="1:11" hidden="1">
      <c r="A627" s="28">
        <v>46311</v>
      </c>
      <c r="B627" t="s">
        <v>185</v>
      </c>
      <c r="C627" t="s">
        <v>202</v>
      </c>
      <c r="D627" t="s">
        <v>217</v>
      </c>
      <c r="E627">
        <f>IF(LEFT(D627,6)="CLIENT",IFERROR(VLOOKUP(C627,Config_Carteiras!$A:$B,2,FALSE),1),"")</f>
        <v>1</v>
      </c>
      <c r="F627" s="25">
        <v>639</v>
      </c>
      <c r="G627" s="28">
        <f>IF(LEFT(D627,6)="CLIENT",IF(E627=0,WORKDAY(A627-1,1,Dias_Sem_Compensacao!$A$2:$A$500),WORKDAY(A627,E627,Dias_Sem_Compensacao!$A$2:$A$500)),"")</f>
        <v>46314</v>
      </c>
      <c r="H627" s="25">
        <v>0</v>
      </c>
      <c r="I627" s="28">
        <v>46311</v>
      </c>
      <c r="J627" t="s">
        <v>941</v>
      </c>
      <c r="K627" t="s">
        <v>942</v>
      </c>
    </row>
    <row r="628" spans="1:11" hidden="1">
      <c r="A628" s="28">
        <v>46311</v>
      </c>
      <c r="B628" t="s">
        <v>185</v>
      </c>
      <c r="C628" t="s">
        <v>202</v>
      </c>
      <c r="D628" t="s">
        <v>217</v>
      </c>
      <c r="E628">
        <f>IF(LEFT(D628,6)="CLIENT",IFERROR(VLOOKUP(C628,Config_Carteiras!$A:$B,2,FALSE),1),"")</f>
        <v>1</v>
      </c>
      <c r="F628" s="25">
        <v>1393</v>
      </c>
      <c r="G628" s="28">
        <f>IF(LEFT(D628,6)="CLIENT",IF(E628=0,WORKDAY(A628-1,1,Dias_Sem_Compensacao!$A$2:$A$500),WORKDAY(A628,E628,Dias_Sem_Compensacao!$A$2:$A$500)),"")</f>
        <v>46314</v>
      </c>
      <c r="H628" s="25">
        <v>0</v>
      </c>
      <c r="I628" s="28">
        <v>46311</v>
      </c>
      <c r="J628" t="s">
        <v>550</v>
      </c>
      <c r="K628" t="s">
        <v>551</v>
      </c>
    </row>
    <row r="629" spans="1:11" hidden="1">
      <c r="A629" s="28">
        <v>46311</v>
      </c>
      <c r="B629" t="s">
        <v>185</v>
      </c>
      <c r="C629" t="s">
        <v>202</v>
      </c>
      <c r="D629" t="s">
        <v>217</v>
      </c>
      <c r="E629">
        <f>IF(LEFT(D629,6)="CLIENT",IFERROR(VLOOKUP(C629,Config_Carteiras!$A:$B,2,FALSE),1),"")</f>
        <v>1</v>
      </c>
      <c r="F629" s="25">
        <v>7233</v>
      </c>
      <c r="G629" s="28">
        <f>IF(LEFT(D629,6)="CLIENT",IF(E629=0,WORKDAY(A629-1,1,Dias_Sem_Compensacao!$A$2:$A$500),WORKDAY(A629,E629,Dias_Sem_Compensacao!$A$2:$A$500)),"")</f>
        <v>46314</v>
      </c>
      <c r="H629" s="25">
        <v>0</v>
      </c>
      <c r="I629" s="28">
        <v>46311</v>
      </c>
      <c r="J629" t="s">
        <v>782</v>
      </c>
      <c r="K629" t="s">
        <v>783</v>
      </c>
    </row>
    <row r="630" spans="1:11" hidden="1">
      <c r="A630" s="28">
        <v>46311</v>
      </c>
      <c r="B630" t="s">
        <v>185</v>
      </c>
      <c r="C630" t="s">
        <v>202</v>
      </c>
      <c r="D630" t="s">
        <v>217</v>
      </c>
      <c r="E630">
        <f>IF(LEFT(D630,6)="CLIENT",IFERROR(VLOOKUP(C630,Config_Carteiras!$A:$B,2,FALSE),1),"")</f>
        <v>1</v>
      </c>
      <c r="F630" s="25">
        <v>1329.5</v>
      </c>
      <c r="G630" s="28">
        <f>IF(LEFT(D630,6)="CLIENT",IF(E630=0,WORKDAY(A630-1,1,Dias_Sem_Compensacao!$A$2:$A$500),WORKDAY(A630,E630,Dias_Sem_Compensacao!$A$2:$A$500)),"")</f>
        <v>46314</v>
      </c>
      <c r="H630" s="25">
        <v>0</v>
      </c>
      <c r="I630" s="28">
        <v>46311</v>
      </c>
      <c r="J630" t="s">
        <v>788</v>
      </c>
      <c r="K630" t="s">
        <v>789</v>
      </c>
    </row>
    <row r="631" spans="1:11" hidden="1">
      <c r="A631" s="28">
        <v>46311</v>
      </c>
      <c r="B631" t="s">
        <v>185</v>
      </c>
      <c r="C631" t="s">
        <v>202</v>
      </c>
      <c r="D631" t="s">
        <v>217</v>
      </c>
      <c r="E631">
        <f>IF(LEFT(D631,6)="CLIENT",IFERROR(VLOOKUP(C631,Config_Carteiras!$A:$B,2,FALSE),1),"")</f>
        <v>1</v>
      </c>
      <c r="F631" s="25">
        <v>1169.5</v>
      </c>
      <c r="G631" s="28">
        <f>IF(LEFT(D631,6)="CLIENT",IF(E631=0,WORKDAY(A631-1,1,Dias_Sem_Compensacao!$A$2:$A$500),WORKDAY(A631,E631,Dias_Sem_Compensacao!$A$2:$A$500)),"")</f>
        <v>46314</v>
      </c>
      <c r="H631" s="25">
        <v>0</v>
      </c>
      <c r="I631" s="28">
        <v>46311</v>
      </c>
      <c r="J631" t="s">
        <v>918</v>
      </c>
      <c r="K631" t="s">
        <v>943</v>
      </c>
    </row>
    <row r="632" spans="1:11" hidden="1">
      <c r="A632" s="28">
        <v>46311</v>
      </c>
      <c r="B632" t="s">
        <v>185</v>
      </c>
      <c r="C632" t="s">
        <v>202</v>
      </c>
      <c r="D632" t="s">
        <v>217</v>
      </c>
      <c r="E632">
        <f>IF(LEFT(D632,6)="CLIENT",IFERROR(VLOOKUP(C632,Config_Carteiras!$A:$B,2,FALSE),1),"")</f>
        <v>1</v>
      </c>
      <c r="F632" s="25">
        <v>1312</v>
      </c>
      <c r="G632" s="28">
        <f>IF(LEFT(D632,6)="CLIENT",IF(E632=0,WORKDAY(A632-1,1,Dias_Sem_Compensacao!$A$2:$A$500),WORKDAY(A632,E632,Dias_Sem_Compensacao!$A$2:$A$500)),"")</f>
        <v>46314</v>
      </c>
      <c r="H632" s="25">
        <v>0</v>
      </c>
      <c r="I632" s="28">
        <v>46311</v>
      </c>
      <c r="K632" t="s">
        <v>944</v>
      </c>
    </row>
    <row r="633" spans="1:11" hidden="1">
      <c r="A633" s="28">
        <v>46311</v>
      </c>
      <c r="B633" t="s">
        <v>185</v>
      </c>
      <c r="C633" t="s">
        <v>202</v>
      </c>
      <c r="D633" t="s">
        <v>217</v>
      </c>
      <c r="E633">
        <f>IF(LEFT(D633,6)="CLIENT",IFERROR(VLOOKUP(C633,Config_Carteiras!$A:$B,2,FALSE),1),"")</f>
        <v>1</v>
      </c>
      <c r="F633" s="25">
        <v>360</v>
      </c>
      <c r="G633" s="28">
        <f>IF(LEFT(D633,6)="CLIENT",IF(E633=0,WORKDAY(A633-1,1,Dias_Sem_Compensacao!$A$2:$A$500),WORKDAY(A633,E633,Dias_Sem_Compensacao!$A$2:$A$500)),"")</f>
        <v>46314</v>
      </c>
      <c r="H633" s="25">
        <v>0</v>
      </c>
      <c r="I633" s="28">
        <v>46311</v>
      </c>
      <c r="J633" t="s">
        <v>354</v>
      </c>
      <c r="K633" t="s">
        <v>945</v>
      </c>
    </row>
    <row r="634" spans="1:11" hidden="1">
      <c r="A634" s="28">
        <v>46311</v>
      </c>
      <c r="B634" t="s">
        <v>185</v>
      </c>
      <c r="C634" t="s">
        <v>202</v>
      </c>
      <c r="D634" t="s">
        <v>217</v>
      </c>
      <c r="E634">
        <f>IF(LEFT(D634,6)="CLIENT",IFERROR(VLOOKUP(C634,Config_Carteiras!$A:$B,2,FALSE),1),"")</f>
        <v>1</v>
      </c>
      <c r="F634" s="25">
        <v>2293</v>
      </c>
      <c r="G634" s="28">
        <f>IF(LEFT(D634,6)="CLIENT",IF(E634=0,WORKDAY(A634-1,1,Dias_Sem_Compensacao!$A$2:$A$500),WORKDAY(A634,E634,Dias_Sem_Compensacao!$A$2:$A$500)),"")</f>
        <v>46314</v>
      </c>
      <c r="H634" s="25">
        <v>0</v>
      </c>
      <c r="I634" s="28">
        <v>46311</v>
      </c>
      <c r="J634" t="s">
        <v>946</v>
      </c>
      <c r="K634" t="s">
        <v>947</v>
      </c>
    </row>
    <row r="635" spans="1:11" hidden="1">
      <c r="A635" s="28">
        <v>46311</v>
      </c>
      <c r="B635" t="s">
        <v>185</v>
      </c>
      <c r="C635" t="s">
        <v>202</v>
      </c>
      <c r="D635" t="s">
        <v>217</v>
      </c>
      <c r="E635">
        <f>IF(LEFT(D635,6)="CLIENT",IFERROR(VLOOKUP(C635,Config_Carteiras!$A:$B,2,FALSE),1),"")</f>
        <v>1</v>
      </c>
      <c r="F635" s="25">
        <v>2770</v>
      </c>
      <c r="G635" s="28">
        <f>IF(LEFT(D635,6)="CLIENT",IF(E635=0,WORKDAY(A635-1,1,Dias_Sem_Compensacao!$A$2:$A$500),WORKDAY(A635,E635,Dias_Sem_Compensacao!$A$2:$A$500)),"")</f>
        <v>46314</v>
      </c>
      <c r="H635" s="25">
        <v>0</v>
      </c>
      <c r="I635" s="28">
        <v>46311</v>
      </c>
      <c r="J635" t="s">
        <v>573</v>
      </c>
      <c r="K635" t="s">
        <v>574</v>
      </c>
    </row>
    <row r="636" spans="1:11" hidden="1">
      <c r="A636" s="28">
        <v>46314</v>
      </c>
      <c r="B636" t="s">
        <v>185</v>
      </c>
      <c r="C636" t="s">
        <v>202</v>
      </c>
      <c r="D636" t="s">
        <v>217</v>
      </c>
      <c r="E636">
        <f>IF(LEFT(D636,6)="CLIENT",IFERROR(VLOOKUP(C636,Config_Carteiras!$A:$B,2,FALSE),1),"")</f>
        <v>1</v>
      </c>
      <c r="F636" s="25">
        <v>1267</v>
      </c>
      <c r="G636" s="28">
        <f>IF(LEFT(D636,6)="CLIENT",IF(E636=0,WORKDAY(A636-1,1,Dias_Sem_Compensacao!$A$2:$A$500),WORKDAY(A636,E636,Dias_Sem_Compensacao!$A$2:$A$500)),"")</f>
        <v>46315</v>
      </c>
      <c r="H636" s="25">
        <v>0</v>
      </c>
      <c r="I636" s="28">
        <v>46314</v>
      </c>
      <c r="J636" t="s">
        <v>261</v>
      </c>
      <c r="K636" t="s">
        <v>948</v>
      </c>
    </row>
    <row r="637" spans="1:11" hidden="1">
      <c r="A637" s="28">
        <v>46314</v>
      </c>
      <c r="B637" t="s">
        <v>185</v>
      </c>
      <c r="C637" t="s">
        <v>202</v>
      </c>
      <c r="D637" t="s">
        <v>217</v>
      </c>
      <c r="E637">
        <f>IF(LEFT(D637,6)="CLIENT",IFERROR(VLOOKUP(C637,Config_Carteiras!$A:$B,2,FALSE),1),"")</f>
        <v>1</v>
      </c>
      <c r="F637" s="25">
        <v>608</v>
      </c>
      <c r="G637" s="28">
        <f>IF(LEFT(D637,6)="CLIENT",IF(E637=0,WORKDAY(A637-1,1,Dias_Sem_Compensacao!$A$2:$A$500),WORKDAY(A637,E637,Dias_Sem_Compensacao!$A$2:$A$500)),"")</f>
        <v>46315</v>
      </c>
      <c r="H637" s="25">
        <v>0</v>
      </c>
      <c r="I637" s="28">
        <v>46314</v>
      </c>
      <c r="J637" t="s">
        <v>794</v>
      </c>
      <c r="K637" t="s">
        <v>795</v>
      </c>
    </row>
    <row r="638" spans="1:11" hidden="1">
      <c r="A638" s="28">
        <v>46314</v>
      </c>
      <c r="B638" t="s">
        <v>185</v>
      </c>
      <c r="C638" t="s">
        <v>202</v>
      </c>
      <c r="D638" t="s">
        <v>217</v>
      </c>
      <c r="E638">
        <f>IF(LEFT(D638,6)="CLIENT",IFERROR(VLOOKUP(C638,Config_Carteiras!$A:$B,2,FALSE),1),"")</f>
        <v>1</v>
      </c>
      <c r="F638" s="25">
        <v>351.4</v>
      </c>
      <c r="G638" s="28">
        <f>IF(LEFT(D638,6)="CLIENT",IF(E638=0,WORKDAY(A638-1,1,Dias_Sem_Compensacao!$A$2:$A$500),WORKDAY(A638,E638,Dias_Sem_Compensacao!$A$2:$A$500)),"")</f>
        <v>46315</v>
      </c>
      <c r="H638" s="25">
        <v>0</v>
      </c>
      <c r="I638" s="28">
        <v>46314</v>
      </c>
      <c r="J638" t="s">
        <v>237</v>
      </c>
      <c r="K638" t="s">
        <v>238</v>
      </c>
    </row>
    <row r="639" spans="1:11" hidden="1">
      <c r="A639" s="28">
        <v>46314</v>
      </c>
      <c r="B639" t="s">
        <v>185</v>
      </c>
      <c r="C639" t="s">
        <v>202</v>
      </c>
      <c r="D639" t="s">
        <v>217</v>
      </c>
      <c r="E639">
        <f>IF(LEFT(D639,6)="CLIENT",IFERROR(VLOOKUP(C639,Config_Carteiras!$A:$B,2,FALSE),1),"")</f>
        <v>1</v>
      </c>
      <c r="F639" s="25">
        <v>552</v>
      </c>
      <c r="G639" s="28">
        <f>IF(LEFT(D639,6)="CLIENT",IF(E639=0,WORKDAY(A639-1,1,Dias_Sem_Compensacao!$A$2:$A$500),WORKDAY(A639,E639,Dias_Sem_Compensacao!$A$2:$A$500)),"")</f>
        <v>46315</v>
      </c>
      <c r="H639" s="25">
        <v>0</v>
      </c>
      <c r="I639" s="28">
        <v>46314</v>
      </c>
      <c r="J639" t="s">
        <v>800</v>
      </c>
      <c r="K639" t="s">
        <v>801</v>
      </c>
    </row>
    <row r="640" spans="1:11" hidden="1">
      <c r="A640" s="28">
        <v>46314</v>
      </c>
      <c r="B640" t="s">
        <v>185</v>
      </c>
      <c r="C640" t="s">
        <v>202</v>
      </c>
      <c r="D640" t="s">
        <v>217</v>
      </c>
      <c r="E640">
        <f>IF(LEFT(D640,6)="CLIENT",IFERROR(VLOOKUP(C640,Config_Carteiras!$A:$B,2,FALSE),1),"")</f>
        <v>1</v>
      </c>
      <c r="F640" s="25">
        <v>559.20000000000005</v>
      </c>
      <c r="G640" s="28">
        <f>IF(LEFT(D640,6)="CLIENT",IF(E640=0,WORKDAY(A640-1,1,Dias_Sem_Compensacao!$A$2:$A$500),WORKDAY(A640,E640,Dias_Sem_Compensacao!$A$2:$A$500)),"")</f>
        <v>46315</v>
      </c>
      <c r="H640" s="25">
        <v>0</v>
      </c>
      <c r="I640" s="28">
        <v>46314</v>
      </c>
      <c r="J640" t="s">
        <v>578</v>
      </c>
      <c r="K640" t="s">
        <v>579</v>
      </c>
    </row>
    <row r="641" spans="1:11" hidden="1">
      <c r="A641" s="28">
        <v>46314</v>
      </c>
      <c r="B641" t="s">
        <v>185</v>
      </c>
      <c r="C641" t="s">
        <v>202</v>
      </c>
      <c r="D641" t="s">
        <v>217</v>
      </c>
      <c r="E641">
        <f>IF(LEFT(D641,6)="CLIENT",IFERROR(VLOOKUP(C641,Config_Carteiras!$A:$B,2,FALSE),1),"")</f>
        <v>1</v>
      </c>
      <c r="F641" s="25">
        <v>497.5</v>
      </c>
      <c r="G641" s="28">
        <f>IF(LEFT(D641,6)="CLIENT",IF(E641=0,WORKDAY(A641-1,1,Dias_Sem_Compensacao!$A$2:$A$500),WORKDAY(A641,E641,Dias_Sem_Compensacao!$A$2:$A$500)),"")</f>
        <v>46315</v>
      </c>
      <c r="H641" s="25">
        <v>0</v>
      </c>
      <c r="I641" s="28">
        <v>46314</v>
      </c>
      <c r="J641" t="s">
        <v>802</v>
      </c>
      <c r="K641" t="s">
        <v>803</v>
      </c>
    </row>
    <row r="642" spans="1:11" hidden="1">
      <c r="A642" s="28">
        <v>46314</v>
      </c>
      <c r="B642" t="s">
        <v>185</v>
      </c>
      <c r="C642" t="s">
        <v>202</v>
      </c>
      <c r="D642" t="s">
        <v>217</v>
      </c>
      <c r="E642">
        <f>IF(LEFT(D642,6)="CLIENT",IFERROR(VLOOKUP(C642,Config_Carteiras!$A:$B,2,FALSE),1),"")</f>
        <v>1</v>
      </c>
      <c r="F642" s="25">
        <v>1441.22</v>
      </c>
      <c r="G642" s="28">
        <f>IF(LEFT(D642,6)="CLIENT",IF(E642=0,WORKDAY(A642-1,1,Dias_Sem_Compensacao!$A$2:$A$500),WORKDAY(A642,E642,Dias_Sem_Compensacao!$A$2:$A$500)),"")</f>
        <v>46315</v>
      </c>
      <c r="H642" s="25">
        <v>0</v>
      </c>
      <c r="I642" s="28">
        <v>46314</v>
      </c>
      <c r="J642" t="s">
        <v>580</v>
      </c>
      <c r="K642" t="s">
        <v>581</v>
      </c>
    </row>
    <row r="643" spans="1:11" hidden="1">
      <c r="A643" s="28">
        <v>46314</v>
      </c>
      <c r="B643" t="s">
        <v>185</v>
      </c>
      <c r="C643" t="s">
        <v>202</v>
      </c>
      <c r="D643" t="s">
        <v>217</v>
      </c>
      <c r="E643">
        <f>IF(LEFT(D643,6)="CLIENT",IFERROR(VLOOKUP(C643,Config_Carteiras!$A:$B,2,FALSE),1),"")</f>
        <v>1</v>
      </c>
      <c r="F643" s="25">
        <v>1348</v>
      </c>
      <c r="G643" s="28">
        <f>IF(LEFT(D643,6)="CLIENT",IF(E643=0,WORKDAY(A643-1,1,Dias_Sem_Compensacao!$A$2:$A$500),WORKDAY(A643,E643,Dias_Sem_Compensacao!$A$2:$A$500)),"")</f>
        <v>46315</v>
      </c>
      <c r="H643" s="25">
        <v>0</v>
      </c>
      <c r="I643" s="28">
        <v>46314</v>
      </c>
      <c r="J643" t="s">
        <v>269</v>
      </c>
      <c r="K643" t="s">
        <v>949</v>
      </c>
    </row>
    <row r="644" spans="1:11" hidden="1">
      <c r="A644" s="28">
        <v>46314</v>
      </c>
      <c r="B644" t="s">
        <v>185</v>
      </c>
      <c r="C644" t="s">
        <v>202</v>
      </c>
      <c r="D644" t="s">
        <v>217</v>
      </c>
      <c r="E644">
        <f>IF(LEFT(D644,6)="CLIENT",IFERROR(VLOOKUP(C644,Config_Carteiras!$A:$B,2,FALSE),1),"")</f>
        <v>1</v>
      </c>
      <c r="F644" s="25">
        <v>2130</v>
      </c>
      <c r="G644" s="28">
        <f>IF(LEFT(D644,6)="CLIENT",IF(E644=0,WORKDAY(A644-1,1,Dias_Sem_Compensacao!$A$2:$A$500),WORKDAY(A644,E644,Dias_Sem_Compensacao!$A$2:$A$500)),"")</f>
        <v>46315</v>
      </c>
      <c r="H644" s="25">
        <v>0</v>
      </c>
      <c r="I644" s="28">
        <v>46314</v>
      </c>
      <c r="J644" t="s">
        <v>271</v>
      </c>
      <c r="K644" t="s">
        <v>808</v>
      </c>
    </row>
    <row r="645" spans="1:11" hidden="1">
      <c r="A645" s="28">
        <v>46314</v>
      </c>
      <c r="B645" t="s">
        <v>185</v>
      </c>
      <c r="C645" t="s">
        <v>202</v>
      </c>
      <c r="D645" t="s">
        <v>217</v>
      </c>
      <c r="E645">
        <f>IF(LEFT(D645,6)="CLIENT",IFERROR(VLOOKUP(C645,Config_Carteiras!$A:$B,2,FALSE),1),"")</f>
        <v>1</v>
      </c>
      <c r="F645" s="25">
        <v>496</v>
      </c>
      <c r="G645" s="28">
        <f>IF(LEFT(D645,6)="CLIENT",IF(E645=0,WORKDAY(A645-1,1,Dias_Sem_Compensacao!$A$2:$A$500),WORKDAY(A645,E645,Dias_Sem_Compensacao!$A$2:$A$500)),"")</f>
        <v>46315</v>
      </c>
      <c r="H645" s="25">
        <v>0</v>
      </c>
      <c r="I645" s="28">
        <v>46314</v>
      </c>
      <c r="J645" t="s">
        <v>811</v>
      </c>
      <c r="K645" t="s">
        <v>812</v>
      </c>
    </row>
    <row r="646" spans="1:11" hidden="1">
      <c r="A646" s="28">
        <v>46314</v>
      </c>
      <c r="B646" t="s">
        <v>185</v>
      </c>
      <c r="C646" t="s">
        <v>202</v>
      </c>
      <c r="D646" t="s">
        <v>217</v>
      </c>
      <c r="E646">
        <f>IF(LEFT(D646,6)="CLIENT",IFERROR(VLOOKUP(C646,Config_Carteiras!$A:$B,2,FALSE),1),"")</f>
        <v>1</v>
      </c>
      <c r="F646" s="25">
        <v>621</v>
      </c>
      <c r="G646" s="28">
        <f>IF(LEFT(D646,6)="CLIENT",IF(E646=0,WORKDAY(A646-1,1,Dias_Sem_Compensacao!$A$2:$A$500),WORKDAY(A646,E646,Dias_Sem_Compensacao!$A$2:$A$500)),"")</f>
        <v>46315</v>
      </c>
      <c r="H646" s="25">
        <v>0</v>
      </c>
      <c r="I646" s="28">
        <v>46314</v>
      </c>
      <c r="J646" t="s">
        <v>813</v>
      </c>
      <c r="K646" t="s">
        <v>814</v>
      </c>
    </row>
    <row r="647" spans="1:11" hidden="1">
      <c r="A647" s="28">
        <v>46314</v>
      </c>
      <c r="B647" t="s">
        <v>185</v>
      </c>
      <c r="C647" t="s">
        <v>202</v>
      </c>
      <c r="D647" t="s">
        <v>217</v>
      </c>
      <c r="E647">
        <f>IF(LEFT(D647,6)="CLIENT",IFERROR(VLOOKUP(C647,Config_Carteiras!$A:$B,2,FALSE),1),"")</f>
        <v>1</v>
      </c>
      <c r="F647" s="25">
        <v>557</v>
      </c>
      <c r="G647" s="28">
        <f>IF(LEFT(D647,6)="CLIENT",IF(E647=0,WORKDAY(A647-1,1,Dias_Sem_Compensacao!$A$2:$A$500),WORKDAY(A647,E647,Dias_Sem_Compensacao!$A$2:$A$500)),"")</f>
        <v>46315</v>
      </c>
      <c r="H647" s="25">
        <v>0</v>
      </c>
      <c r="I647" s="28">
        <v>46314</v>
      </c>
      <c r="J647" t="s">
        <v>824</v>
      </c>
      <c r="K647" t="s">
        <v>825</v>
      </c>
    </row>
    <row r="648" spans="1:11" hidden="1">
      <c r="A648" s="28">
        <v>46314</v>
      </c>
      <c r="B648" t="s">
        <v>185</v>
      </c>
      <c r="C648" t="s">
        <v>202</v>
      </c>
      <c r="D648" t="s">
        <v>217</v>
      </c>
      <c r="E648">
        <f>IF(LEFT(D648,6)="CLIENT",IFERROR(VLOOKUP(C648,Config_Carteiras!$A:$B,2,FALSE),1),"")</f>
        <v>1</v>
      </c>
      <c r="F648" s="25">
        <v>487</v>
      </c>
      <c r="G648" s="28">
        <f>IF(LEFT(D648,6)="CLIENT",IF(E648=0,WORKDAY(A648-1,1,Dias_Sem_Compensacao!$A$2:$A$500),WORKDAY(A648,E648,Dias_Sem_Compensacao!$A$2:$A$500)),"")</f>
        <v>46315</v>
      </c>
      <c r="H648" s="25">
        <v>0</v>
      </c>
      <c r="I648" s="28">
        <v>46314</v>
      </c>
      <c r="J648" t="s">
        <v>552</v>
      </c>
      <c r="K648" t="s">
        <v>830</v>
      </c>
    </row>
    <row r="649" spans="1:11" hidden="1">
      <c r="A649" s="28">
        <v>46314</v>
      </c>
      <c r="B649" t="s">
        <v>185</v>
      </c>
      <c r="C649" t="s">
        <v>202</v>
      </c>
      <c r="D649" t="s">
        <v>217</v>
      </c>
      <c r="E649">
        <f>IF(LEFT(D649,6)="CLIENT",IFERROR(VLOOKUP(C649,Config_Carteiras!$A:$B,2,FALSE),1),"")</f>
        <v>1</v>
      </c>
      <c r="F649" s="25">
        <v>358</v>
      </c>
      <c r="G649" s="28">
        <f>IF(LEFT(D649,6)="CLIENT",IF(E649=0,WORKDAY(A649-1,1,Dias_Sem_Compensacao!$A$2:$A$500),WORKDAY(A649,E649,Dias_Sem_Compensacao!$A$2:$A$500)),"")</f>
        <v>46315</v>
      </c>
      <c r="H649" s="25">
        <v>0</v>
      </c>
      <c r="I649" s="28">
        <v>46314</v>
      </c>
      <c r="J649" t="s">
        <v>832</v>
      </c>
      <c r="K649" t="s">
        <v>833</v>
      </c>
    </row>
    <row r="650" spans="1:11" hidden="1">
      <c r="A650" s="28">
        <v>46314</v>
      </c>
      <c r="B650" t="s">
        <v>185</v>
      </c>
      <c r="C650" t="s">
        <v>202</v>
      </c>
      <c r="D650" t="s">
        <v>217</v>
      </c>
      <c r="E650">
        <f>IF(LEFT(D650,6)="CLIENT",IFERROR(VLOOKUP(C650,Config_Carteiras!$A:$B,2,FALSE),1),"")</f>
        <v>1</v>
      </c>
      <c r="F650" s="25">
        <v>365</v>
      </c>
      <c r="G650" s="28">
        <f>IF(LEFT(D650,6)="CLIENT",IF(E650=0,WORKDAY(A650-1,1,Dias_Sem_Compensacao!$A$2:$A$500),WORKDAY(A650,E650,Dias_Sem_Compensacao!$A$2:$A$500)),"")</f>
        <v>46315</v>
      </c>
      <c r="H650" s="25">
        <v>0</v>
      </c>
      <c r="I650" s="28">
        <v>46314</v>
      </c>
      <c r="J650" t="s">
        <v>950</v>
      </c>
      <c r="K650" t="s">
        <v>951</v>
      </c>
    </row>
    <row r="651" spans="1:11" hidden="1">
      <c r="A651" s="28">
        <v>46314</v>
      </c>
      <c r="B651" t="s">
        <v>185</v>
      </c>
      <c r="C651" t="s">
        <v>202</v>
      </c>
      <c r="D651" t="s">
        <v>217</v>
      </c>
      <c r="E651">
        <f>IF(LEFT(D651,6)="CLIENT",IFERROR(VLOOKUP(C651,Config_Carteiras!$A:$B,2,FALSE),1),"")</f>
        <v>1</v>
      </c>
      <c r="F651" s="25">
        <v>458</v>
      </c>
      <c r="G651" s="28">
        <f>IF(LEFT(D651,6)="CLIENT",IF(E651=0,WORKDAY(A651-1,1,Dias_Sem_Compensacao!$A$2:$A$500),WORKDAY(A651,E651,Dias_Sem_Compensacao!$A$2:$A$500)),"")</f>
        <v>46315</v>
      </c>
      <c r="H651" s="25">
        <v>0</v>
      </c>
      <c r="I651" s="28">
        <v>46314</v>
      </c>
      <c r="J651" t="s">
        <v>605</v>
      </c>
      <c r="K651" t="s">
        <v>606</v>
      </c>
    </row>
    <row r="652" spans="1:11" hidden="1">
      <c r="A652" s="28">
        <v>46314</v>
      </c>
      <c r="B652" t="s">
        <v>185</v>
      </c>
      <c r="C652" t="s">
        <v>202</v>
      </c>
      <c r="D652" t="s">
        <v>217</v>
      </c>
      <c r="E652">
        <f>IF(LEFT(D652,6)="CLIENT",IFERROR(VLOOKUP(C652,Config_Carteiras!$A:$B,2,FALSE),1),"")</f>
        <v>1</v>
      </c>
      <c r="F652" s="25">
        <v>1192.8</v>
      </c>
      <c r="G652" s="28">
        <f>IF(LEFT(D652,6)="CLIENT",IF(E652=0,WORKDAY(A652-1,1,Dias_Sem_Compensacao!$A$2:$A$500),WORKDAY(A652,E652,Dias_Sem_Compensacao!$A$2:$A$500)),"")</f>
        <v>46315</v>
      </c>
      <c r="H652" s="25">
        <v>0</v>
      </c>
      <c r="I652" s="28">
        <v>46314</v>
      </c>
      <c r="J652" t="s">
        <v>607</v>
      </c>
      <c r="K652" t="s">
        <v>608</v>
      </c>
    </row>
    <row r="653" spans="1:11" hidden="1">
      <c r="A653" s="28">
        <v>46314</v>
      </c>
      <c r="B653" t="s">
        <v>185</v>
      </c>
      <c r="C653" t="s">
        <v>202</v>
      </c>
      <c r="D653" t="s">
        <v>217</v>
      </c>
      <c r="E653">
        <f>IF(LEFT(D653,6)="CLIENT",IFERROR(VLOOKUP(C653,Config_Carteiras!$A:$B,2,FALSE),1),"")</f>
        <v>1</v>
      </c>
      <c r="F653" s="25">
        <v>466.2</v>
      </c>
      <c r="G653" s="28">
        <f>IF(LEFT(D653,6)="CLIENT",IF(E653=0,WORKDAY(A653-1,1,Dias_Sem_Compensacao!$A$2:$A$500),WORKDAY(A653,E653,Dias_Sem_Compensacao!$A$2:$A$500)),"")</f>
        <v>46315</v>
      </c>
      <c r="H653" s="25">
        <v>0</v>
      </c>
      <c r="I653" s="28">
        <v>46314</v>
      </c>
      <c r="J653" t="s">
        <v>611</v>
      </c>
      <c r="K653" t="s">
        <v>612</v>
      </c>
    </row>
    <row r="654" spans="1:11" hidden="1">
      <c r="A654" s="28">
        <v>46314</v>
      </c>
      <c r="B654" t="s">
        <v>185</v>
      </c>
      <c r="C654" t="s">
        <v>202</v>
      </c>
      <c r="D654" t="s">
        <v>217</v>
      </c>
      <c r="E654">
        <f>IF(LEFT(D654,6)="CLIENT",IFERROR(VLOOKUP(C654,Config_Carteiras!$A:$B,2,FALSE),1),"")</f>
        <v>1</v>
      </c>
      <c r="F654" s="25">
        <v>1329.5</v>
      </c>
      <c r="G654" s="28">
        <f>IF(LEFT(D654,6)="CLIENT",IF(E654=0,WORKDAY(A654-1,1,Dias_Sem_Compensacao!$A$2:$A$500),WORKDAY(A654,E654,Dias_Sem_Compensacao!$A$2:$A$500)),"")</f>
        <v>46315</v>
      </c>
      <c r="H654" s="25">
        <v>0</v>
      </c>
      <c r="I654" s="28">
        <v>46314</v>
      </c>
      <c r="J654" t="s">
        <v>952</v>
      </c>
      <c r="K654" t="s">
        <v>953</v>
      </c>
    </row>
    <row r="655" spans="1:11" hidden="1">
      <c r="A655" s="28">
        <v>46314</v>
      </c>
      <c r="B655" t="s">
        <v>185</v>
      </c>
      <c r="C655" t="s">
        <v>202</v>
      </c>
      <c r="D655" t="s">
        <v>217</v>
      </c>
      <c r="E655">
        <f>IF(LEFT(D655,6)="CLIENT",IFERROR(VLOOKUP(C655,Config_Carteiras!$A:$B,2,FALSE),1),"")</f>
        <v>1</v>
      </c>
      <c r="F655" s="25">
        <v>2740</v>
      </c>
      <c r="G655" s="28">
        <f>IF(LEFT(D655,6)="CLIENT",IF(E655=0,WORKDAY(A655-1,1,Dias_Sem_Compensacao!$A$2:$A$500),WORKDAY(A655,E655,Dias_Sem_Compensacao!$A$2:$A$500)),"")</f>
        <v>46315</v>
      </c>
      <c r="H655" s="25">
        <v>0</v>
      </c>
      <c r="I655" s="28">
        <v>46314</v>
      </c>
      <c r="J655" t="s">
        <v>954</v>
      </c>
      <c r="K655" t="s">
        <v>955</v>
      </c>
    </row>
    <row r="656" spans="1:11" hidden="1">
      <c r="A656" s="28">
        <v>46314</v>
      </c>
      <c r="B656" t="s">
        <v>185</v>
      </c>
      <c r="C656" t="s">
        <v>202</v>
      </c>
      <c r="D656" t="s">
        <v>217</v>
      </c>
      <c r="E656">
        <f>IF(LEFT(D656,6)="CLIENT",IFERROR(VLOOKUP(C656,Config_Carteiras!$A:$B,2,FALSE),1),"")</f>
        <v>1</v>
      </c>
      <c r="F656" s="25">
        <v>365</v>
      </c>
      <c r="G656" s="28">
        <f>IF(LEFT(D656,6)="CLIENT",IF(E656=0,WORKDAY(A656-1,1,Dias_Sem_Compensacao!$A$2:$A$500),WORKDAY(A656,E656,Dias_Sem_Compensacao!$A$2:$A$500)),"")</f>
        <v>46315</v>
      </c>
      <c r="H656" s="25">
        <v>0</v>
      </c>
      <c r="I656" s="28">
        <v>46314</v>
      </c>
      <c r="J656" t="s">
        <v>849</v>
      </c>
      <c r="K656" t="s">
        <v>850</v>
      </c>
    </row>
    <row r="657" spans="1:11" hidden="1">
      <c r="A657" s="28">
        <v>46314</v>
      </c>
      <c r="B657" t="s">
        <v>185</v>
      </c>
      <c r="C657" t="s">
        <v>202</v>
      </c>
      <c r="D657" t="s">
        <v>217</v>
      </c>
      <c r="E657">
        <f>IF(LEFT(D657,6)="CLIENT",IFERROR(VLOOKUP(C657,Config_Carteiras!$A:$B,2,FALSE),1),"")</f>
        <v>1</v>
      </c>
      <c r="F657" s="25">
        <v>667.58</v>
      </c>
      <c r="G657" s="28">
        <f>IF(LEFT(D657,6)="CLIENT",IF(E657=0,WORKDAY(A657-1,1,Dias_Sem_Compensacao!$A$2:$A$500),WORKDAY(A657,E657,Dias_Sem_Compensacao!$A$2:$A$500)),"")</f>
        <v>46315</v>
      </c>
      <c r="H657" s="25">
        <v>0</v>
      </c>
      <c r="I657" s="28">
        <v>46314</v>
      </c>
      <c r="J657" t="s">
        <v>615</v>
      </c>
      <c r="K657" t="s">
        <v>616</v>
      </c>
    </row>
    <row r="658" spans="1:11" hidden="1">
      <c r="A658" s="28">
        <v>46314</v>
      </c>
      <c r="B658" t="s">
        <v>185</v>
      </c>
      <c r="C658" t="s">
        <v>202</v>
      </c>
      <c r="D658" t="s">
        <v>217</v>
      </c>
      <c r="E658">
        <f>IF(LEFT(D658,6)="CLIENT",IFERROR(VLOOKUP(C658,Config_Carteiras!$A:$B,2,FALSE),1),"")</f>
        <v>1</v>
      </c>
      <c r="F658" s="25">
        <v>1265</v>
      </c>
      <c r="G658" s="28">
        <f>IF(LEFT(D658,6)="CLIENT",IF(E658=0,WORKDAY(A658-1,1,Dias_Sem_Compensacao!$A$2:$A$500),WORKDAY(A658,E658,Dias_Sem_Compensacao!$A$2:$A$500)),"")</f>
        <v>46315</v>
      </c>
      <c r="H658" s="25">
        <v>0</v>
      </c>
      <c r="I658" s="28">
        <v>46314</v>
      </c>
      <c r="J658" t="s">
        <v>617</v>
      </c>
      <c r="K658" t="s">
        <v>618</v>
      </c>
    </row>
    <row r="659" spans="1:11" hidden="1">
      <c r="A659" s="28">
        <v>46314</v>
      </c>
      <c r="B659" t="s">
        <v>185</v>
      </c>
      <c r="C659" t="s">
        <v>202</v>
      </c>
      <c r="D659" t="s">
        <v>217</v>
      </c>
      <c r="E659">
        <f>IF(LEFT(D659,6)="CLIENT",IFERROR(VLOOKUP(C659,Config_Carteiras!$A:$B,2,FALSE),1),"")</f>
        <v>1</v>
      </c>
      <c r="F659" s="25">
        <v>328.5</v>
      </c>
      <c r="G659" s="28">
        <f>IF(LEFT(D659,6)="CLIENT",IF(E659=0,WORKDAY(A659-1,1,Dias_Sem_Compensacao!$A$2:$A$500),WORKDAY(A659,E659,Dias_Sem_Compensacao!$A$2:$A$500)),"")</f>
        <v>46315</v>
      </c>
      <c r="H659" s="25">
        <v>0</v>
      </c>
      <c r="I659" s="28">
        <v>46314</v>
      </c>
      <c r="J659" t="s">
        <v>564</v>
      </c>
      <c r="K659" t="s">
        <v>956</v>
      </c>
    </row>
    <row r="660" spans="1:11" hidden="1">
      <c r="A660" s="28">
        <v>46314</v>
      </c>
      <c r="B660" t="s">
        <v>185</v>
      </c>
      <c r="C660" t="s">
        <v>202</v>
      </c>
      <c r="D660" t="s">
        <v>217</v>
      </c>
      <c r="E660">
        <f>IF(LEFT(D660,6)="CLIENT",IFERROR(VLOOKUP(C660,Config_Carteiras!$A:$B,2,FALSE),1),"")</f>
        <v>1</v>
      </c>
      <c r="F660" s="25">
        <v>409</v>
      </c>
      <c r="G660" s="28">
        <f>IF(LEFT(D660,6)="CLIENT",IF(E660=0,WORKDAY(A660-1,1,Dias_Sem_Compensacao!$A$2:$A$500),WORKDAY(A660,E660,Dias_Sem_Compensacao!$A$2:$A$500)),"")</f>
        <v>46315</v>
      </c>
      <c r="H660" s="25">
        <v>0</v>
      </c>
      <c r="I660" s="28">
        <v>46314</v>
      </c>
      <c r="J660" t="s">
        <v>957</v>
      </c>
      <c r="K660" t="s">
        <v>958</v>
      </c>
    </row>
    <row r="661" spans="1:11" hidden="1">
      <c r="A661" s="28">
        <v>46314</v>
      </c>
      <c r="B661" t="s">
        <v>185</v>
      </c>
      <c r="C661" t="s">
        <v>202</v>
      </c>
      <c r="D661" t="s">
        <v>217</v>
      </c>
      <c r="E661">
        <f>IF(LEFT(D661,6)="CLIENT",IFERROR(VLOOKUP(C661,Config_Carteiras!$A:$B,2,FALSE),1),"")</f>
        <v>1</v>
      </c>
      <c r="F661" s="25">
        <v>358</v>
      </c>
      <c r="G661" s="28">
        <f>IF(LEFT(D661,6)="CLIENT",IF(E661=0,WORKDAY(A661-1,1,Dias_Sem_Compensacao!$A$2:$A$500),WORKDAY(A661,E661,Dias_Sem_Compensacao!$A$2:$A$500)),"")</f>
        <v>46315</v>
      </c>
      <c r="H661" s="25">
        <v>0</v>
      </c>
      <c r="I661" s="28">
        <v>46314</v>
      </c>
      <c r="J661" t="s">
        <v>864</v>
      </c>
      <c r="K661" t="s">
        <v>865</v>
      </c>
    </row>
    <row r="662" spans="1:11" hidden="1">
      <c r="A662" s="28">
        <v>46314</v>
      </c>
      <c r="B662" t="s">
        <v>185</v>
      </c>
      <c r="C662" t="s">
        <v>202</v>
      </c>
      <c r="D662" t="s">
        <v>217</v>
      </c>
      <c r="E662">
        <f>IF(LEFT(D662,6)="CLIENT",IFERROR(VLOOKUP(C662,Config_Carteiras!$A:$B,2,FALSE),1),"")</f>
        <v>1</v>
      </c>
      <c r="F662" s="25">
        <v>352.6</v>
      </c>
      <c r="G662" s="28">
        <f>IF(LEFT(D662,6)="CLIENT",IF(E662=0,WORKDAY(A662-1,1,Dias_Sem_Compensacao!$A$2:$A$500),WORKDAY(A662,E662,Dias_Sem_Compensacao!$A$2:$A$500)),"")</f>
        <v>46315</v>
      </c>
      <c r="H662" s="25">
        <v>0</v>
      </c>
      <c r="I662" s="28">
        <v>46314</v>
      </c>
      <c r="J662" t="s">
        <v>623</v>
      </c>
      <c r="K662" t="s">
        <v>624</v>
      </c>
    </row>
    <row r="663" spans="1:11" hidden="1">
      <c r="A663" s="28">
        <v>46314</v>
      </c>
      <c r="B663" t="s">
        <v>185</v>
      </c>
      <c r="C663" t="s">
        <v>202</v>
      </c>
      <c r="D663" t="s">
        <v>217</v>
      </c>
      <c r="E663">
        <f>IF(LEFT(D663,6)="CLIENT",IFERROR(VLOOKUP(C663,Config_Carteiras!$A:$B,2,FALSE),1),"")</f>
        <v>1</v>
      </c>
      <c r="F663" s="25">
        <v>390.6</v>
      </c>
      <c r="G663" s="28">
        <f>IF(LEFT(D663,6)="CLIENT",IF(E663=0,WORKDAY(A663-1,1,Dias_Sem_Compensacao!$A$2:$A$500),WORKDAY(A663,E663,Dias_Sem_Compensacao!$A$2:$A$500)),"")</f>
        <v>46315</v>
      </c>
      <c r="H663" s="25">
        <v>0</v>
      </c>
      <c r="I663" s="28">
        <v>46314</v>
      </c>
      <c r="J663" t="s">
        <v>251</v>
      </c>
      <c r="K663" t="s">
        <v>252</v>
      </c>
    </row>
    <row r="664" spans="1:11" hidden="1">
      <c r="A664" s="28">
        <v>46314</v>
      </c>
      <c r="B664" t="s">
        <v>185</v>
      </c>
      <c r="C664" t="s">
        <v>202</v>
      </c>
      <c r="D664" t="s">
        <v>217</v>
      </c>
      <c r="E664">
        <f>IF(LEFT(D664,6)="CLIENT",IFERROR(VLOOKUP(C664,Config_Carteiras!$A:$B,2,FALSE),1),"")</f>
        <v>1</v>
      </c>
      <c r="F664" s="25">
        <v>410</v>
      </c>
      <c r="G664" s="28">
        <f>IF(LEFT(D664,6)="CLIENT",IF(E664=0,WORKDAY(A664-1,1,Dias_Sem_Compensacao!$A$2:$A$500),WORKDAY(A664,E664,Dias_Sem_Compensacao!$A$2:$A$500)),"")</f>
        <v>46315</v>
      </c>
      <c r="H664" s="25">
        <v>0</v>
      </c>
      <c r="I664" s="28">
        <v>46314</v>
      </c>
      <c r="J664" t="s">
        <v>866</v>
      </c>
      <c r="K664" t="s">
        <v>867</v>
      </c>
    </row>
    <row r="665" spans="1:11" hidden="1">
      <c r="A665" s="28">
        <v>46314</v>
      </c>
      <c r="B665" t="s">
        <v>185</v>
      </c>
      <c r="C665" t="s">
        <v>202</v>
      </c>
      <c r="D665" t="s">
        <v>217</v>
      </c>
      <c r="E665">
        <f>IF(LEFT(D665,6)="CLIENT",IFERROR(VLOOKUP(C665,Config_Carteiras!$A:$B,2,FALSE),1),"")</f>
        <v>1</v>
      </c>
      <c r="F665" s="25">
        <v>360</v>
      </c>
      <c r="G665" s="28">
        <f>IF(LEFT(D665,6)="CLIENT",IF(E665=0,WORKDAY(A665-1,1,Dias_Sem_Compensacao!$A$2:$A$500),WORKDAY(A665,E665,Dias_Sem_Compensacao!$A$2:$A$500)),"")</f>
        <v>46315</v>
      </c>
      <c r="H665" s="25">
        <v>0</v>
      </c>
      <c r="I665" s="28">
        <v>46314</v>
      </c>
      <c r="J665" t="s">
        <v>354</v>
      </c>
      <c r="K665" t="s">
        <v>625</v>
      </c>
    </row>
    <row r="666" spans="1:11" hidden="1">
      <c r="A666" s="28">
        <v>46314</v>
      </c>
      <c r="B666" t="s">
        <v>185</v>
      </c>
      <c r="C666" t="s">
        <v>202</v>
      </c>
      <c r="D666" t="s">
        <v>217</v>
      </c>
      <c r="E666">
        <f>IF(LEFT(D666,6)="CLIENT",IFERROR(VLOOKUP(C666,Config_Carteiras!$A:$B,2,FALSE),1),"")</f>
        <v>1</v>
      </c>
      <c r="F666" s="25">
        <v>480</v>
      </c>
      <c r="G666" s="28">
        <f>IF(LEFT(D666,6)="CLIENT",IF(E666=0,WORKDAY(A666-1,1,Dias_Sem_Compensacao!$A$2:$A$500),WORKDAY(A666,E666,Dias_Sem_Compensacao!$A$2:$A$500)),"")</f>
        <v>46315</v>
      </c>
      <c r="H666" s="25">
        <v>0</v>
      </c>
      <c r="I666" s="28">
        <v>46314</v>
      </c>
      <c r="K666" t="s">
        <v>626</v>
      </c>
    </row>
    <row r="667" spans="1:11" hidden="1">
      <c r="A667" s="28">
        <v>46314</v>
      </c>
      <c r="B667" t="s">
        <v>185</v>
      </c>
      <c r="C667" t="s">
        <v>202</v>
      </c>
      <c r="D667" t="s">
        <v>217</v>
      </c>
      <c r="E667">
        <f>IF(LEFT(D667,6)="CLIENT",IFERROR(VLOOKUP(C667,Config_Carteiras!$A:$B,2,FALSE),1),"")</f>
        <v>1</v>
      </c>
      <c r="F667" s="25">
        <v>418.64</v>
      </c>
      <c r="G667" s="28">
        <f>IF(LEFT(D667,6)="CLIENT",IF(E667=0,WORKDAY(A667-1,1,Dias_Sem_Compensacao!$A$2:$A$500),WORKDAY(A667,E667,Dias_Sem_Compensacao!$A$2:$A$500)),"")</f>
        <v>46315</v>
      </c>
      <c r="H667" s="25">
        <v>0</v>
      </c>
      <c r="I667" s="28">
        <v>46314</v>
      </c>
      <c r="J667" t="s">
        <v>632</v>
      </c>
      <c r="K667" t="s">
        <v>633</v>
      </c>
    </row>
    <row r="668" spans="1:11" hidden="1">
      <c r="A668" s="28">
        <v>46314</v>
      </c>
      <c r="B668" t="s">
        <v>185</v>
      </c>
      <c r="C668" t="s">
        <v>202</v>
      </c>
      <c r="D668" t="s">
        <v>217</v>
      </c>
      <c r="E668">
        <f>IF(LEFT(D668,6)="CLIENT",IFERROR(VLOOKUP(C668,Config_Carteiras!$A:$B,2,FALSE),1),"")</f>
        <v>1</v>
      </c>
      <c r="F668" s="25">
        <v>533.4</v>
      </c>
      <c r="G668" s="28">
        <f>IF(LEFT(D668,6)="CLIENT",IF(E668=0,WORKDAY(A668-1,1,Dias_Sem_Compensacao!$A$2:$A$500),WORKDAY(A668,E668,Dias_Sem_Compensacao!$A$2:$A$500)),"")</f>
        <v>46315</v>
      </c>
      <c r="H668" s="25">
        <v>0</v>
      </c>
      <c r="I668" s="28">
        <v>46314</v>
      </c>
      <c r="J668" t="s">
        <v>638</v>
      </c>
      <c r="K668" t="s">
        <v>639</v>
      </c>
    </row>
    <row r="669" spans="1:11" hidden="1">
      <c r="A669" s="28">
        <v>46315</v>
      </c>
      <c r="B669" t="s">
        <v>185</v>
      </c>
      <c r="C669" t="s">
        <v>202</v>
      </c>
      <c r="D669" t="s">
        <v>217</v>
      </c>
      <c r="E669">
        <f>IF(LEFT(D669,6)="CLIENT",IFERROR(VLOOKUP(C669,Config_Carteiras!$A:$B,2,FALSE),1),"")</f>
        <v>1</v>
      </c>
      <c r="F669" s="25">
        <v>386.5</v>
      </c>
      <c r="G669" s="28">
        <f>IF(LEFT(D669,6)="CLIENT",IF(E669=0,WORKDAY(A669-1,1,Dias_Sem_Compensacao!$A$2:$A$500),WORKDAY(A669,E669,Dias_Sem_Compensacao!$A$2:$A$500)),"")</f>
        <v>46316</v>
      </c>
      <c r="H669" s="25">
        <v>0</v>
      </c>
      <c r="I669" s="28">
        <v>46315</v>
      </c>
      <c r="J669" t="s">
        <v>642</v>
      </c>
      <c r="K669" t="s">
        <v>643</v>
      </c>
    </row>
    <row r="670" spans="1:11" hidden="1">
      <c r="A670" s="28">
        <v>46315</v>
      </c>
      <c r="B670" t="s">
        <v>185</v>
      </c>
      <c r="C670" t="s">
        <v>202</v>
      </c>
      <c r="D670" t="s">
        <v>217</v>
      </c>
      <c r="E670">
        <f>IF(LEFT(D670,6)="CLIENT",IFERROR(VLOOKUP(C670,Config_Carteiras!$A:$B,2,FALSE),1),"")</f>
        <v>1</v>
      </c>
      <c r="F670" s="25">
        <v>897</v>
      </c>
      <c r="G670" s="28">
        <f>IF(LEFT(D670,6)="CLIENT",IF(E670=0,WORKDAY(A670-1,1,Dias_Sem_Compensacao!$A$2:$A$500),WORKDAY(A670,E670,Dias_Sem_Compensacao!$A$2:$A$500)),"")</f>
        <v>46316</v>
      </c>
      <c r="H670" s="25">
        <v>0</v>
      </c>
      <c r="I670" s="28">
        <v>46315</v>
      </c>
      <c r="J670" t="s">
        <v>253</v>
      </c>
      <c r="K670" t="s">
        <v>644</v>
      </c>
    </row>
    <row r="671" spans="1:11" hidden="1">
      <c r="A671" s="28">
        <v>46315</v>
      </c>
      <c r="B671" t="s">
        <v>185</v>
      </c>
      <c r="C671" t="s">
        <v>202</v>
      </c>
      <c r="D671" t="s">
        <v>217</v>
      </c>
      <c r="E671">
        <f>IF(LEFT(D671,6)="CLIENT",IFERROR(VLOOKUP(C671,Config_Carteiras!$A:$B,2,FALSE),1),"")</f>
        <v>1</v>
      </c>
      <c r="F671" s="25">
        <v>2014.6</v>
      </c>
      <c r="G671" s="28">
        <f>IF(LEFT(D671,6)="CLIENT",IF(E671=0,WORKDAY(A671-1,1,Dias_Sem_Compensacao!$A$2:$A$500),WORKDAY(A671,E671,Dias_Sem_Compensacao!$A$2:$A$500)),"")</f>
        <v>46316</v>
      </c>
      <c r="H671" s="25">
        <v>0</v>
      </c>
      <c r="I671" s="28">
        <v>46315</v>
      </c>
      <c r="J671" t="s">
        <v>255</v>
      </c>
      <c r="K671" t="s">
        <v>959</v>
      </c>
    </row>
    <row r="672" spans="1:11" hidden="1">
      <c r="A672" s="28">
        <v>46315</v>
      </c>
      <c r="B672" t="s">
        <v>185</v>
      </c>
      <c r="C672" t="s">
        <v>202</v>
      </c>
      <c r="D672" t="s">
        <v>217</v>
      </c>
      <c r="E672">
        <f>IF(LEFT(D672,6)="CLIENT",IFERROR(VLOOKUP(C672,Config_Carteiras!$A:$B,2,FALSE),1),"")</f>
        <v>1</v>
      </c>
      <c r="F672" s="25">
        <v>351.6</v>
      </c>
      <c r="G672" s="28">
        <f>IF(LEFT(D672,6)="CLIENT",IF(E672=0,WORKDAY(A672-1,1,Dias_Sem_Compensacao!$A$2:$A$500),WORKDAY(A672,E672,Dias_Sem_Compensacao!$A$2:$A$500)),"")</f>
        <v>46316</v>
      </c>
      <c r="H672" s="25">
        <v>0</v>
      </c>
      <c r="I672" s="28">
        <v>46315</v>
      </c>
      <c r="J672" t="s">
        <v>647</v>
      </c>
      <c r="K672" t="s">
        <v>648</v>
      </c>
    </row>
    <row r="673" spans="1:11" hidden="1">
      <c r="A673" s="28">
        <v>46315</v>
      </c>
      <c r="B673" t="s">
        <v>185</v>
      </c>
      <c r="C673" t="s">
        <v>202</v>
      </c>
      <c r="D673" t="s">
        <v>217</v>
      </c>
      <c r="E673">
        <f>IF(LEFT(D673,6)="CLIENT",IFERROR(VLOOKUP(C673,Config_Carteiras!$A:$B,2,FALSE),1),"")</f>
        <v>1</v>
      </c>
      <c r="F673" s="25">
        <v>400</v>
      </c>
      <c r="G673" s="28">
        <f>IF(LEFT(D673,6)="CLIENT",IF(E673=0,WORKDAY(A673-1,1,Dias_Sem_Compensacao!$A$2:$A$500),WORKDAY(A673,E673,Dias_Sem_Compensacao!$A$2:$A$500)),"")</f>
        <v>46316</v>
      </c>
      <c r="H673" s="25">
        <v>0</v>
      </c>
      <c r="I673" s="28">
        <v>46315</v>
      </c>
      <c r="J673" t="s">
        <v>804</v>
      </c>
      <c r="K673" t="s">
        <v>805</v>
      </c>
    </row>
    <row r="674" spans="1:11" hidden="1">
      <c r="A674" s="28">
        <v>46315</v>
      </c>
      <c r="B674" t="s">
        <v>185</v>
      </c>
      <c r="C674" t="s">
        <v>202</v>
      </c>
      <c r="D674" t="s">
        <v>217</v>
      </c>
      <c r="E674">
        <f>IF(LEFT(D674,6)="CLIENT",IFERROR(VLOOKUP(C674,Config_Carteiras!$A:$B,2,FALSE),1),"")</f>
        <v>1</v>
      </c>
      <c r="F674" s="25">
        <v>716.5</v>
      </c>
      <c r="G674" s="28">
        <f>IF(LEFT(D674,6)="CLIENT",IF(E674=0,WORKDAY(A674-1,1,Dias_Sem_Compensacao!$A$2:$A$500),WORKDAY(A674,E674,Dias_Sem_Compensacao!$A$2:$A$500)),"")</f>
        <v>46316</v>
      </c>
      <c r="H674" s="25">
        <v>0</v>
      </c>
      <c r="I674" s="28">
        <v>46315</v>
      </c>
      <c r="J674" t="s">
        <v>294</v>
      </c>
      <c r="K674" t="s">
        <v>822</v>
      </c>
    </row>
    <row r="675" spans="1:11" hidden="1">
      <c r="A675" s="28">
        <v>46315</v>
      </c>
      <c r="B675" t="s">
        <v>185</v>
      </c>
      <c r="C675" t="s">
        <v>202</v>
      </c>
      <c r="D675" t="s">
        <v>217</v>
      </c>
      <c r="E675">
        <f>IF(LEFT(D675,6)="CLIENT",IFERROR(VLOOKUP(C675,Config_Carteiras!$A:$B,2,FALSE),1),"")</f>
        <v>1</v>
      </c>
      <c r="F675" s="25">
        <v>677</v>
      </c>
      <c r="G675" s="28">
        <f>IF(LEFT(D675,6)="CLIENT",IF(E675=0,WORKDAY(A675-1,1,Dias_Sem_Compensacao!$A$2:$A$500),WORKDAY(A675,E675,Dias_Sem_Compensacao!$A$2:$A$500)),"")</f>
        <v>46316</v>
      </c>
      <c r="H675" s="25">
        <v>0</v>
      </c>
      <c r="I675" s="28">
        <v>46315</v>
      </c>
      <c r="J675" t="s">
        <v>300</v>
      </c>
      <c r="K675" t="s">
        <v>823</v>
      </c>
    </row>
    <row r="676" spans="1:11" hidden="1">
      <c r="A676" s="28">
        <v>46315</v>
      </c>
      <c r="B676" t="s">
        <v>185</v>
      </c>
      <c r="C676" t="s">
        <v>202</v>
      </c>
      <c r="D676" t="s">
        <v>217</v>
      </c>
      <c r="E676">
        <f>IF(LEFT(D676,6)="CLIENT",IFERROR(VLOOKUP(C676,Config_Carteiras!$A:$B,2,FALSE),1),"")</f>
        <v>1</v>
      </c>
      <c r="F676" s="25">
        <v>541</v>
      </c>
      <c r="G676" s="28">
        <f>IF(LEFT(D676,6)="CLIENT",IF(E676=0,WORKDAY(A676-1,1,Dias_Sem_Compensacao!$A$2:$A$500),WORKDAY(A676,E676,Dias_Sem_Compensacao!$A$2:$A$500)),"")</f>
        <v>46316</v>
      </c>
      <c r="H676" s="25">
        <v>0</v>
      </c>
      <c r="I676" s="28">
        <v>46315</v>
      </c>
      <c r="J676" t="s">
        <v>660</v>
      </c>
      <c r="K676" t="s">
        <v>661</v>
      </c>
    </row>
    <row r="677" spans="1:11" hidden="1">
      <c r="A677" s="28">
        <v>46315</v>
      </c>
      <c r="B677" t="s">
        <v>185</v>
      </c>
      <c r="C677" t="s">
        <v>202</v>
      </c>
      <c r="D677" t="s">
        <v>217</v>
      </c>
      <c r="E677">
        <f>IF(LEFT(D677,6)="CLIENT",IFERROR(VLOOKUP(C677,Config_Carteiras!$A:$B,2,FALSE),1),"")</f>
        <v>1</v>
      </c>
      <c r="F677" s="25">
        <v>720.2</v>
      </c>
      <c r="G677" s="28">
        <f>IF(LEFT(D677,6)="CLIENT",IF(E677=0,WORKDAY(A677-1,1,Dias_Sem_Compensacao!$A$2:$A$500),WORKDAY(A677,E677,Dias_Sem_Compensacao!$A$2:$A$500)),"")</f>
        <v>46316</v>
      </c>
      <c r="H677" s="25">
        <v>0</v>
      </c>
      <c r="I677" s="28">
        <v>46315</v>
      </c>
      <c r="J677" t="s">
        <v>601</v>
      </c>
      <c r="K677" t="s">
        <v>662</v>
      </c>
    </row>
    <row r="678" spans="1:11" hidden="1">
      <c r="A678" s="28">
        <v>46315</v>
      </c>
      <c r="B678" t="s">
        <v>185</v>
      </c>
      <c r="C678" t="s">
        <v>202</v>
      </c>
      <c r="D678" t="s">
        <v>217</v>
      </c>
      <c r="E678">
        <f>IF(LEFT(D678,6)="CLIENT",IFERROR(VLOOKUP(C678,Config_Carteiras!$A:$B,2,FALSE),1),"")</f>
        <v>1</v>
      </c>
      <c r="F678" s="25">
        <v>398</v>
      </c>
      <c r="G678" s="28">
        <f>IF(LEFT(D678,6)="CLIENT",IF(E678=0,WORKDAY(A678-1,1,Dias_Sem_Compensacao!$A$2:$A$500),WORKDAY(A678,E678,Dias_Sem_Compensacao!$A$2:$A$500)),"")</f>
        <v>46316</v>
      </c>
      <c r="H678" s="25">
        <v>0</v>
      </c>
      <c r="I678" s="28">
        <v>46315</v>
      </c>
      <c r="J678" t="s">
        <v>663</v>
      </c>
      <c r="K678" t="s">
        <v>664</v>
      </c>
    </row>
    <row r="679" spans="1:11" hidden="1">
      <c r="A679" s="28">
        <v>46315</v>
      </c>
      <c r="B679" t="s">
        <v>185</v>
      </c>
      <c r="C679" t="s">
        <v>202</v>
      </c>
      <c r="D679" t="s">
        <v>217</v>
      </c>
      <c r="E679">
        <f>IF(LEFT(D679,6)="CLIENT",IFERROR(VLOOKUP(C679,Config_Carteiras!$A:$B,2,FALSE),1),"")</f>
        <v>1</v>
      </c>
      <c r="F679" s="25">
        <v>667</v>
      </c>
      <c r="G679" s="28">
        <f>IF(LEFT(D679,6)="CLIENT",IF(E679=0,WORKDAY(A679-1,1,Dias_Sem_Compensacao!$A$2:$A$500),WORKDAY(A679,E679,Dias_Sem_Compensacao!$A$2:$A$500)),"")</f>
        <v>46316</v>
      </c>
      <c r="H679" s="25">
        <v>0</v>
      </c>
      <c r="I679" s="28">
        <v>46315</v>
      </c>
      <c r="J679" t="s">
        <v>835</v>
      </c>
      <c r="K679" t="s">
        <v>836</v>
      </c>
    </row>
    <row r="680" spans="1:11" hidden="1">
      <c r="A680" s="28">
        <v>46315</v>
      </c>
      <c r="B680" t="s">
        <v>185</v>
      </c>
      <c r="C680" t="s">
        <v>202</v>
      </c>
      <c r="D680" t="s">
        <v>217</v>
      </c>
      <c r="E680">
        <f>IF(LEFT(D680,6)="CLIENT",IFERROR(VLOOKUP(C680,Config_Carteiras!$A:$B,2,FALSE),1),"")</f>
        <v>1</v>
      </c>
      <c r="F680" s="25">
        <v>953</v>
      </c>
      <c r="G680" s="28">
        <f>IF(LEFT(D680,6)="CLIENT",IF(E680=0,WORKDAY(A680-1,1,Dias_Sem_Compensacao!$A$2:$A$500),WORKDAY(A680,E680,Dias_Sem_Compensacao!$A$2:$A$500)),"")</f>
        <v>46316</v>
      </c>
      <c r="H680" s="25">
        <v>0</v>
      </c>
      <c r="I680" s="28">
        <v>46315</v>
      </c>
      <c r="J680" t="s">
        <v>837</v>
      </c>
      <c r="K680" t="s">
        <v>838</v>
      </c>
    </row>
    <row r="681" spans="1:11" hidden="1">
      <c r="A681" s="28">
        <v>46315</v>
      </c>
      <c r="B681" t="s">
        <v>185</v>
      </c>
      <c r="C681" t="s">
        <v>202</v>
      </c>
      <c r="D681" t="s">
        <v>217</v>
      </c>
      <c r="E681">
        <f>IF(LEFT(D681,6)="CLIENT",IFERROR(VLOOKUP(C681,Config_Carteiras!$A:$B,2,FALSE),1),"")</f>
        <v>1</v>
      </c>
      <c r="F681" s="25">
        <v>908</v>
      </c>
      <c r="G681" s="28">
        <f>IF(LEFT(D681,6)="CLIENT",IF(E681=0,WORKDAY(A681-1,1,Dias_Sem_Compensacao!$A$2:$A$500),WORKDAY(A681,E681,Dias_Sem_Compensacao!$A$2:$A$500)),"")</f>
        <v>46316</v>
      </c>
      <c r="H681" s="25">
        <v>0</v>
      </c>
      <c r="I681" s="28">
        <v>46315</v>
      </c>
      <c r="J681" t="s">
        <v>841</v>
      </c>
      <c r="K681" t="s">
        <v>842</v>
      </c>
    </row>
    <row r="682" spans="1:11" hidden="1">
      <c r="A682" s="28">
        <v>46315</v>
      </c>
      <c r="B682" t="s">
        <v>185</v>
      </c>
      <c r="C682" t="s">
        <v>202</v>
      </c>
      <c r="D682" t="s">
        <v>217</v>
      </c>
      <c r="E682">
        <f>IF(LEFT(D682,6)="CLIENT",IFERROR(VLOOKUP(C682,Config_Carteiras!$A:$B,2,FALSE),1),"")</f>
        <v>1</v>
      </c>
      <c r="F682" s="25">
        <v>615</v>
      </c>
      <c r="G682" s="28">
        <f>IF(LEFT(D682,6)="CLIENT",IF(E682=0,WORKDAY(A682-1,1,Dias_Sem_Compensacao!$A$2:$A$500),WORKDAY(A682,E682,Dias_Sem_Compensacao!$A$2:$A$500)),"")</f>
        <v>46316</v>
      </c>
      <c r="H682" s="25">
        <v>0</v>
      </c>
      <c r="I682" s="28">
        <v>46315</v>
      </c>
      <c r="J682" t="s">
        <v>326</v>
      </c>
      <c r="K682" t="s">
        <v>327</v>
      </c>
    </row>
    <row r="683" spans="1:11" hidden="1">
      <c r="A683" s="28">
        <v>46315</v>
      </c>
      <c r="B683" t="s">
        <v>185</v>
      </c>
      <c r="C683" t="s">
        <v>202</v>
      </c>
      <c r="D683" t="s">
        <v>217</v>
      </c>
      <c r="E683">
        <f>IF(LEFT(D683,6)="CLIENT",IFERROR(VLOOKUP(C683,Config_Carteiras!$A:$B,2,FALSE),1),"")</f>
        <v>1</v>
      </c>
      <c r="F683" s="25">
        <v>870</v>
      </c>
      <c r="G683" s="28">
        <f>IF(LEFT(D683,6)="CLIENT",IF(E683=0,WORKDAY(A683-1,1,Dias_Sem_Compensacao!$A$2:$A$500),WORKDAY(A683,E683,Dias_Sem_Compensacao!$A$2:$A$500)),"")</f>
        <v>46316</v>
      </c>
      <c r="H683" s="25">
        <v>0</v>
      </c>
      <c r="I683" s="28">
        <v>46315</v>
      </c>
      <c r="J683" t="s">
        <v>336</v>
      </c>
      <c r="K683" t="s">
        <v>337</v>
      </c>
    </row>
    <row r="684" spans="1:11" hidden="1">
      <c r="A684" s="28">
        <v>46315</v>
      </c>
      <c r="B684" t="s">
        <v>185</v>
      </c>
      <c r="C684" t="s">
        <v>202</v>
      </c>
      <c r="D684" t="s">
        <v>217</v>
      </c>
      <c r="E684">
        <f>IF(LEFT(D684,6)="CLIENT",IFERROR(VLOOKUP(C684,Config_Carteiras!$A:$B,2,FALSE),1),"")</f>
        <v>1</v>
      </c>
      <c r="F684" s="25">
        <v>434</v>
      </c>
      <c r="G684" s="28">
        <f>IF(LEFT(D684,6)="CLIENT",IF(E684=0,WORKDAY(A684-1,1,Dias_Sem_Compensacao!$A$2:$A$500),WORKDAY(A684,E684,Dias_Sem_Compensacao!$A$2:$A$500)),"")</f>
        <v>46316</v>
      </c>
      <c r="H684" s="25">
        <v>0</v>
      </c>
      <c r="I684" s="28">
        <v>46315</v>
      </c>
      <c r="J684" t="s">
        <v>851</v>
      </c>
      <c r="K684" t="s">
        <v>852</v>
      </c>
    </row>
    <row r="685" spans="1:11" hidden="1">
      <c r="A685" s="28">
        <v>46315</v>
      </c>
      <c r="B685" t="s">
        <v>185</v>
      </c>
      <c r="C685" t="s">
        <v>202</v>
      </c>
      <c r="D685" t="s">
        <v>217</v>
      </c>
      <c r="E685">
        <f>IF(LEFT(D685,6)="CLIENT",IFERROR(VLOOKUP(C685,Config_Carteiras!$A:$B,2,FALSE),1),"")</f>
        <v>1</v>
      </c>
      <c r="F685" s="25">
        <v>448</v>
      </c>
      <c r="G685" s="28">
        <f>IF(LEFT(D685,6)="CLIENT",IF(E685=0,WORKDAY(A685-1,1,Dias_Sem_Compensacao!$A$2:$A$500),WORKDAY(A685,E685,Dias_Sem_Compensacao!$A$2:$A$500)),"")</f>
        <v>46316</v>
      </c>
      <c r="H685" s="25">
        <v>0</v>
      </c>
      <c r="I685" s="28">
        <v>46315</v>
      </c>
      <c r="J685" t="s">
        <v>440</v>
      </c>
      <c r="K685" t="s">
        <v>680</v>
      </c>
    </row>
    <row r="686" spans="1:11" hidden="1">
      <c r="A686" s="28">
        <v>46315</v>
      </c>
      <c r="B686" t="s">
        <v>185</v>
      </c>
      <c r="C686" t="s">
        <v>202</v>
      </c>
      <c r="D686" t="s">
        <v>217</v>
      </c>
      <c r="E686">
        <f>IF(LEFT(D686,6)="CLIENT",IFERROR(VLOOKUP(C686,Config_Carteiras!$A:$B,2,FALSE),1),"")</f>
        <v>1</v>
      </c>
      <c r="F686" s="25">
        <v>530.6</v>
      </c>
      <c r="G686" s="28">
        <f>IF(LEFT(D686,6)="CLIENT",IF(E686=0,WORKDAY(A686-1,1,Dias_Sem_Compensacao!$A$2:$A$500),WORKDAY(A686,E686,Dias_Sem_Compensacao!$A$2:$A$500)),"")</f>
        <v>46316</v>
      </c>
      <c r="H686" s="25">
        <v>0</v>
      </c>
      <c r="I686" s="28">
        <v>46315</v>
      </c>
      <c r="J686" t="s">
        <v>859</v>
      </c>
      <c r="K686" t="s">
        <v>860</v>
      </c>
    </row>
    <row r="687" spans="1:11" hidden="1">
      <c r="A687" s="28">
        <v>46315</v>
      </c>
      <c r="B687" t="s">
        <v>185</v>
      </c>
      <c r="C687" t="s">
        <v>202</v>
      </c>
      <c r="D687" t="s">
        <v>217</v>
      </c>
      <c r="E687">
        <f>IF(LEFT(D687,6)="CLIENT",IFERROR(VLOOKUP(C687,Config_Carteiras!$A:$B,2,FALSE),1),"")</f>
        <v>1</v>
      </c>
      <c r="F687" s="25">
        <v>360</v>
      </c>
      <c r="G687" s="28">
        <f>IF(LEFT(D687,6)="CLIENT",IF(E687=0,WORKDAY(A687-1,1,Dias_Sem_Compensacao!$A$2:$A$500),WORKDAY(A687,E687,Dias_Sem_Compensacao!$A$2:$A$500)),"")</f>
        <v>46316</v>
      </c>
      <c r="H687" s="25">
        <v>0</v>
      </c>
      <c r="I687" s="28">
        <v>46315</v>
      </c>
      <c r="J687" t="s">
        <v>354</v>
      </c>
      <c r="K687" t="s">
        <v>355</v>
      </c>
    </row>
    <row r="688" spans="1:11" hidden="1">
      <c r="A688" s="28">
        <v>46315</v>
      </c>
      <c r="B688" t="s">
        <v>185</v>
      </c>
      <c r="C688" t="s">
        <v>202</v>
      </c>
      <c r="D688" t="s">
        <v>217</v>
      </c>
      <c r="E688">
        <f>IF(LEFT(D688,6)="CLIENT",IFERROR(VLOOKUP(C688,Config_Carteiras!$A:$B,2,FALSE),1),"")</f>
        <v>1</v>
      </c>
      <c r="F688" s="25">
        <v>407</v>
      </c>
      <c r="G688" s="28">
        <f>IF(LEFT(D688,6)="CLIENT",IF(E688=0,WORKDAY(A688-1,1,Dias_Sem_Compensacao!$A$2:$A$500),WORKDAY(A688,E688,Dias_Sem_Compensacao!$A$2:$A$500)),"")</f>
        <v>46316</v>
      </c>
      <c r="H688" s="25">
        <v>0</v>
      </c>
      <c r="I688" s="28">
        <v>46315</v>
      </c>
      <c r="J688" t="s">
        <v>868</v>
      </c>
      <c r="K688" t="s">
        <v>869</v>
      </c>
    </row>
    <row r="689" spans="1:11" hidden="1">
      <c r="A689" s="28">
        <v>46315</v>
      </c>
      <c r="B689" t="s">
        <v>185</v>
      </c>
      <c r="C689" t="s">
        <v>202</v>
      </c>
      <c r="D689" t="s">
        <v>217</v>
      </c>
      <c r="E689">
        <f>IF(LEFT(D689,6)="CLIENT",IFERROR(VLOOKUP(C689,Config_Carteiras!$A:$B,2,FALSE),1),"")</f>
        <v>1</v>
      </c>
      <c r="F689" s="25">
        <v>787</v>
      </c>
      <c r="G689" s="28">
        <f>IF(LEFT(D689,6)="CLIENT",IF(E689=0,WORKDAY(A689-1,1,Dias_Sem_Compensacao!$A$2:$A$500),WORKDAY(A689,E689,Dias_Sem_Compensacao!$A$2:$A$500)),"")</f>
        <v>46316</v>
      </c>
      <c r="H689" s="25">
        <v>0</v>
      </c>
      <c r="I689" s="28">
        <v>46315</v>
      </c>
      <c r="J689" t="s">
        <v>694</v>
      </c>
      <c r="K689" t="s">
        <v>695</v>
      </c>
    </row>
    <row r="690" spans="1:11" hidden="1">
      <c r="A690" s="28">
        <v>46315</v>
      </c>
      <c r="B690" t="s">
        <v>185</v>
      </c>
      <c r="C690" t="s">
        <v>202</v>
      </c>
      <c r="D690" t="s">
        <v>217</v>
      </c>
      <c r="E690">
        <f>IF(LEFT(D690,6)="CLIENT",IFERROR(VLOOKUP(C690,Config_Carteiras!$A:$B,2,FALSE),1),"")</f>
        <v>1</v>
      </c>
      <c r="F690" s="25">
        <v>368.5</v>
      </c>
      <c r="G690" s="28">
        <f>IF(LEFT(D690,6)="CLIENT",IF(E690=0,WORKDAY(A690-1,1,Dias_Sem_Compensacao!$A$2:$A$500),WORKDAY(A690,E690,Dias_Sem_Compensacao!$A$2:$A$500)),"")</f>
        <v>46316</v>
      </c>
      <c r="H690" s="25">
        <v>0</v>
      </c>
      <c r="I690" s="28">
        <v>46315</v>
      </c>
      <c r="J690" t="s">
        <v>870</v>
      </c>
      <c r="K690" t="s">
        <v>871</v>
      </c>
    </row>
    <row r="691" spans="1:11" hidden="1">
      <c r="A691" s="28">
        <v>46315</v>
      </c>
      <c r="B691" t="s">
        <v>185</v>
      </c>
      <c r="C691" t="s">
        <v>202</v>
      </c>
      <c r="D691" t="s">
        <v>217</v>
      </c>
      <c r="E691">
        <f>IF(LEFT(D691,6)="CLIENT",IFERROR(VLOOKUP(C691,Config_Carteiras!$A:$B,2,FALSE),1),"")</f>
        <v>1</v>
      </c>
      <c r="F691" s="25">
        <v>1707</v>
      </c>
      <c r="G691" s="28">
        <f>IF(LEFT(D691,6)="CLIENT",IF(E691=0,WORKDAY(A691-1,1,Dias_Sem_Compensacao!$A$2:$A$500),WORKDAY(A691,E691,Dias_Sem_Compensacao!$A$2:$A$500)),"")</f>
        <v>46316</v>
      </c>
      <c r="H691" s="25">
        <v>0</v>
      </c>
      <c r="I691" s="28">
        <v>46315</v>
      </c>
      <c r="J691" t="s">
        <v>698</v>
      </c>
      <c r="K691" t="s">
        <v>699</v>
      </c>
    </row>
    <row r="692" spans="1:11" hidden="1">
      <c r="A692" s="28">
        <v>46315</v>
      </c>
      <c r="B692" t="s">
        <v>185</v>
      </c>
      <c r="C692" t="s">
        <v>202</v>
      </c>
      <c r="D692" t="s">
        <v>217</v>
      </c>
      <c r="E692">
        <f>IF(LEFT(D692,6)="CLIENT",IFERROR(VLOOKUP(C692,Config_Carteiras!$A:$B,2,FALSE),1),"")</f>
        <v>1</v>
      </c>
      <c r="F692" s="25">
        <v>837</v>
      </c>
      <c r="G692" s="28">
        <f>IF(LEFT(D692,6)="CLIENT",IF(E692=0,WORKDAY(A692-1,1,Dias_Sem_Compensacao!$A$2:$A$500),WORKDAY(A692,E692,Dias_Sem_Compensacao!$A$2:$A$500)),"")</f>
        <v>46316</v>
      </c>
      <c r="H692" s="25">
        <v>0</v>
      </c>
      <c r="I692" s="28">
        <v>46315</v>
      </c>
      <c r="J692" t="s">
        <v>227</v>
      </c>
      <c r="K692" t="s">
        <v>702</v>
      </c>
    </row>
    <row r="693" spans="1:11" hidden="1">
      <c r="A693" s="28">
        <v>46315</v>
      </c>
      <c r="B693" t="s">
        <v>185</v>
      </c>
      <c r="C693" t="s">
        <v>202</v>
      </c>
      <c r="D693" t="s">
        <v>217</v>
      </c>
      <c r="E693">
        <f>IF(LEFT(D693,6)="CLIENT",IFERROR(VLOOKUP(C693,Config_Carteiras!$A:$B,2,FALSE),1),"")</f>
        <v>1</v>
      </c>
      <c r="F693" s="25">
        <v>1088.5</v>
      </c>
      <c r="G693" s="28">
        <f>IF(LEFT(D693,6)="CLIENT",IF(E693=0,WORKDAY(A693-1,1,Dias_Sem_Compensacao!$A$2:$A$500),WORKDAY(A693,E693,Dias_Sem_Compensacao!$A$2:$A$500)),"")</f>
        <v>46316</v>
      </c>
      <c r="H693" s="25">
        <v>0</v>
      </c>
      <c r="I693" s="28">
        <v>46315</v>
      </c>
      <c r="J693" t="s">
        <v>371</v>
      </c>
      <c r="K693" t="s">
        <v>707</v>
      </c>
    </row>
    <row r="694" spans="1:11" hidden="1">
      <c r="A694" s="28">
        <v>46316</v>
      </c>
      <c r="B694" t="s">
        <v>185</v>
      </c>
      <c r="C694" t="s">
        <v>202</v>
      </c>
      <c r="D694" t="s">
        <v>217</v>
      </c>
      <c r="E694">
        <f>IF(LEFT(D694,6)="CLIENT",IFERROR(VLOOKUP(C694,Config_Carteiras!$A:$B,2,FALSE),1),"")</f>
        <v>1</v>
      </c>
      <c r="F694" s="25">
        <v>1374.72</v>
      </c>
      <c r="G694" s="28">
        <f>IF(LEFT(D694,6)="CLIENT",IF(E694=0,WORKDAY(A694-1,1,Dias_Sem_Compensacao!$A$2:$A$500),WORKDAY(A694,E694,Dias_Sem_Compensacao!$A$2:$A$500)),"")</f>
        <v>46317</v>
      </c>
      <c r="H694" s="25">
        <v>0</v>
      </c>
      <c r="I694" s="28">
        <v>46316</v>
      </c>
      <c r="J694" t="s">
        <v>377</v>
      </c>
      <c r="K694" t="s">
        <v>378</v>
      </c>
    </row>
    <row r="695" spans="1:11" hidden="1">
      <c r="A695" s="28">
        <v>46316</v>
      </c>
      <c r="B695" t="s">
        <v>185</v>
      </c>
      <c r="C695" t="s">
        <v>202</v>
      </c>
      <c r="D695" t="s">
        <v>217</v>
      </c>
      <c r="E695">
        <f>IF(LEFT(D695,6)="CLIENT",IFERROR(VLOOKUP(C695,Config_Carteiras!$A:$B,2,FALSE),1),"")</f>
        <v>1</v>
      </c>
      <c r="F695" s="25">
        <v>790</v>
      </c>
      <c r="G695" s="28">
        <f>IF(LEFT(D695,6)="CLIENT",IF(E695=0,WORKDAY(A695-1,1,Dias_Sem_Compensacao!$A$2:$A$500),WORKDAY(A695,E695,Dias_Sem_Compensacao!$A$2:$A$500)),"")</f>
        <v>46317</v>
      </c>
      <c r="H695" s="25">
        <v>0</v>
      </c>
      <c r="I695" s="28">
        <v>46316</v>
      </c>
      <c r="J695" t="s">
        <v>960</v>
      </c>
      <c r="K695" t="s">
        <v>961</v>
      </c>
    </row>
    <row r="696" spans="1:11" hidden="1">
      <c r="A696" s="28">
        <v>46316</v>
      </c>
      <c r="B696" t="s">
        <v>185</v>
      </c>
      <c r="C696" t="s">
        <v>202</v>
      </c>
      <c r="D696" t="s">
        <v>217</v>
      </c>
      <c r="E696">
        <f>IF(LEFT(D696,6)="CLIENT",IFERROR(VLOOKUP(C696,Config_Carteiras!$A:$B,2,FALSE),1),"")</f>
        <v>1</v>
      </c>
      <c r="F696" s="25">
        <v>774.1</v>
      </c>
      <c r="G696" s="28">
        <f>IF(LEFT(D696,6)="CLIENT",IF(E696=0,WORKDAY(A696-1,1,Dias_Sem_Compensacao!$A$2:$A$500),WORKDAY(A696,E696,Dias_Sem_Compensacao!$A$2:$A$500)),"")</f>
        <v>46317</v>
      </c>
      <c r="H696" s="25">
        <v>0</v>
      </c>
      <c r="I696" s="28">
        <v>46316</v>
      </c>
      <c r="J696" t="s">
        <v>962</v>
      </c>
      <c r="K696" t="s">
        <v>963</v>
      </c>
    </row>
    <row r="697" spans="1:11" hidden="1">
      <c r="A697" s="28">
        <v>46316</v>
      </c>
      <c r="B697" t="s">
        <v>185</v>
      </c>
      <c r="C697" t="s">
        <v>202</v>
      </c>
      <c r="D697" t="s">
        <v>217</v>
      </c>
      <c r="E697">
        <f>IF(LEFT(D697,6)="CLIENT",IFERROR(VLOOKUP(C697,Config_Carteiras!$A:$B,2,FALSE),1),"")</f>
        <v>1</v>
      </c>
      <c r="F697" s="25">
        <v>876</v>
      </c>
      <c r="G697" s="28">
        <f>IF(LEFT(D697,6)="CLIENT",IF(E697=0,WORKDAY(A697-1,1,Dias_Sem_Compensacao!$A$2:$A$500),WORKDAY(A697,E697,Dias_Sem_Compensacao!$A$2:$A$500)),"")</f>
        <v>46317</v>
      </c>
      <c r="H697" s="25">
        <v>0</v>
      </c>
      <c r="I697" s="28">
        <v>46316</v>
      </c>
      <c r="J697" t="s">
        <v>964</v>
      </c>
      <c r="K697" t="s">
        <v>965</v>
      </c>
    </row>
    <row r="698" spans="1:11" hidden="1">
      <c r="A698" s="28">
        <v>46316</v>
      </c>
      <c r="B698" t="s">
        <v>185</v>
      </c>
      <c r="C698" t="s">
        <v>202</v>
      </c>
      <c r="D698" t="s">
        <v>217</v>
      </c>
      <c r="E698">
        <f>IF(LEFT(D698,6)="CLIENT",IFERROR(VLOOKUP(C698,Config_Carteiras!$A:$B,2,FALSE),1),"")</f>
        <v>1</v>
      </c>
      <c r="F698" s="25">
        <v>138.9</v>
      </c>
      <c r="G698" s="28">
        <f>IF(LEFT(D698,6)="CLIENT",IF(E698=0,WORKDAY(A698-1,1,Dias_Sem_Compensacao!$A$2:$A$500),WORKDAY(A698,E698,Dias_Sem_Compensacao!$A$2:$A$500)),"")</f>
        <v>46317</v>
      </c>
      <c r="H698" s="25">
        <v>0</v>
      </c>
      <c r="I698" s="28">
        <v>46316</v>
      </c>
      <c r="J698" t="s">
        <v>878</v>
      </c>
      <c r="K698" t="s">
        <v>966</v>
      </c>
    </row>
    <row r="699" spans="1:11" hidden="1">
      <c r="A699" s="28">
        <v>46316</v>
      </c>
      <c r="B699" t="s">
        <v>185</v>
      </c>
      <c r="C699" t="s">
        <v>202</v>
      </c>
      <c r="D699" t="s">
        <v>217</v>
      </c>
      <c r="E699">
        <f>IF(LEFT(D699,6)="CLIENT",IFERROR(VLOOKUP(C699,Config_Carteiras!$A:$B,2,FALSE),1),"")</f>
        <v>1</v>
      </c>
      <c r="F699" s="25">
        <v>442</v>
      </c>
      <c r="G699" s="28">
        <f>IF(LEFT(D699,6)="CLIENT",IF(E699=0,WORKDAY(A699-1,1,Dias_Sem_Compensacao!$A$2:$A$500),WORKDAY(A699,E699,Dias_Sem_Compensacao!$A$2:$A$500)),"")</f>
        <v>46317</v>
      </c>
      <c r="H699" s="25">
        <v>0</v>
      </c>
      <c r="I699" s="28">
        <v>46316</v>
      </c>
      <c r="J699" t="s">
        <v>967</v>
      </c>
      <c r="K699" t="s">
        <v>968</v>
      </c>
    </row>
    <row r="700" spans="1:11" hidden="1">
      <c r="A700" s="28">
        <v>46316</v>
      </c>
      <c r="B700" t="s">
        <v>185</v>
      </c>
      <c r="C700" t="s">
        <v>202</v>
      </c>
      <c r="D700" t="s">
        <v>217</v>
      </c>
      <c r="E700">
        <f>IF(LEFT(D700,6)="CLIENT",IFERROR(VLOOKUP(C700,Config_Carteiras!$A:$B,2,FALSE),1),"")</f>
        <v>1</v>
      </c>
      <c r="F700" s="25">
        <v>762</v>
      </c>
      <c r="G700" s="28">
        <f>IF(LEFT(D700,6)="CLIENT",IF(E700=0,WORKDAY(A700-1,1,Dias_Sem_Compensacao!$A$2:$A$500),WORKDAY(A700,E700,Dias_Sem_Compensacao!$A$2:$A$500)),"")</f>
        <v>46317</v>
      </c>
      <c r="H700" s="25">
        <v>0</v>
      </c>
      <c r="I700" s="28">
        <v>46316</v>
      </c>
      <c r="J700" t="s">
        <v>401</v>
      </c>
      <c r="K700" t="s">
        <v>402</v>
      </c>
    </row>
    <row r="701" spans="1:11" hidden="1">
      <c r="A701" s="28">
        <v>46316</v>
      </c>
      <c r="B701" t="s">
        <v>185</v>
      </c>
      <c r="C701" t="s">
        <v>202</v>
      </c>
      <c r="D701" t="s">
        <v>217</v>
      </c>
      <c r="E701">
        <f>IF(LEFT(D701,6)="CLIENT",IFERROR(VLOOKUP(C701,Config_Carteiras!$A:$B,2,FALSE),1),"")</f>
        <v>1</v>
      </c>
      <c r="F701" s="25">
        <v>1530</v>
      </c>
      <c r="G701" s="28">
        <f>IF(LEFT(D701,6)="CLIENT",IF(E701=0,WORKDAY(A701-1,1,Dias_Sem_Compensacao!$A$2:$A$500),WORKDAY(A701,E701,Dias_Sem_Compensacao!$A$2:$A$500)),"")</f>
        <v>46317</v>
      </c>
      <c r="H701" s="25">
        <v>0</v>
      </c>
      <c r="I701" s="28">
        <v>46316</v>
      </c>
      <c r="J701" t="s">
        <v>405</v>
      </c>
      <c r="K701" t="s">
        <v>406</v>
      </c>
    </row>
    <row r="702" spans="1:11" hidden="1">
      <c r="A702" s="28">
        <v>46316</v>
      </c>
      <c r="B702" t="s">
        <v>185</v>
      </c>
      <c r="C702" t="s">
        <v>202</v>
      </c>
      <c r="D702" t="s">
        <v>217</v>
      </c>
      <c r="E702">
        <f>IF(LEFT(D702,6)="CLIENT",IFERROR(VLOOKUP(C702,Config_Carteiras!$A:$B,2,FALSE),1),"")</f>
        <v>1</v>
      </c>
      <c r="F702" s="25">
        <v>399.2</v>
      </c>
      <c r="G702" s="28">
        <f>IF(LEFT(D702,6)="CLIENT",IF(E702=0,WORKDAY(A702-1,1,Dias_Sem_Compensacao!$A$2:$A$500),WORKDAY(A702,E702,Dias_Sem_Compensacao!$A$2:$A$500)),"")</f>
        <v>46317</v>
      </c>
      <c r="H702" s="25">
        <v>0</v>
      </c>
      <c r="I702" s="28">
        <v>46316</v>
      </c>
      <c r="J702" t="s">
        <v>969</v>
      </c>
      <c r="K702" t="s">
        <v>970</v>
      </c>
    </row>
    <row r="703" spans="1:11" hidden="1">
      <c r="A703" s="28">
        <v>46316</v>
      </c>
      <c r="B703" t="s">
        <v>185</v>
      </c>
      <c r="C703" t="s">
        <v>202</v>
      </c>
      <c r="D703" t="s">
        <v>217</v>
      </c>
      <c r="E703">
        <f>IF(LEFT(D703,6)="CLIENT",IFERROR(VLOOKUP(C703,Config_Carteiras!$A:$B,2,FALSE),1),"")</f>
        <v>1</v>
      </c>
      <c r="F703" s="25">
        <v>681</v>
      </c>
      <c r="G703" s="28">
        <f>IF(LEFT(D703,6)="CLIENT",IF(E703=0,WORKDAY(A703-1,1,Dias_Sem_Compensacao!$A$2:$A$500),WORKDAY(A703,E703,Dias_Sem_Compensacao!$A$2:$A$500)),"")</f>
        <v>46317</v>
      </c>
      <c r="H703" s="25">
        <v>0</v>
      </c>
      <c r="I703" s="28">
        <v>46316</v>
      </c>
      <c r="J703" t="s">
        <v>971</v>
      </c>
      <c r="K703" t="s">
        <v>972</v>
      </c>
    </row>
    <row r="704" spans="1:11" hidden="1">
      <c r="A704" s="28">
        <v>46316</v>
      </c>
      <c r="B704" t="s">
        <v>185</v>
      </c>
      <c r="C704" t="s">
        <v>202</v>
      </c>
      <c r="D704" t="s">
        <v>217</v>
      </c>
      <c r="E704">
        <f>IF(LEFT(D704,6)="CLIENT",IFERROR(VLOOKUP(C704,Config_Carteiras!$A:$B,2,FALSE),1),"")</f>
        <v>1</v>
      </c>
      <c r="F704" s="25">
        <v>1099.56</v>
      </c>
      <c r="G704" s="28">
        <f>IF(LEFT(D704,6)="CLIENT",IF(E704=0,WORKDAY(A704-1,1,Dias_Sem_Compensacao!$A$2:$A$500),WORKDAY(A704,E704,Dias_Sem_Compensacao!$A$2:$A$500)),"")</f>
        <v>46317</v>
      </c>
      <c r="H704" s="25">
        <v>0</v>
      </c>
      <c r="I704" s="28">
        <v>46316</v>
      </c>
      <c r="J704" t="s">
        <v>407</v>
      </c>
      <c r="K704" t="s">
        <v>408</v>
      </c>
    </row>
    <row r="705" spans="1:11" hidden="1">
      <c r="A705" s="28">
        <v>46316</v>
      </c>
      <c r="B705" t="s">
        <v>185</v>
      </c>
      <c r="C705" t="s">
        <v>202</v>
      </c>
      <c r="D705" t="s">
        <v>217</v>
      </c>
      <c r="E705">
        <f>IF(LEFT(D705,6)="CLIENT",IFERROR(VLOOKUP(C705,Config_Carteiras!$A:$B,2,FALSE),1),"")</f>
        <v>1</v>
      </c>
      <c r="F705" s="25">
        <v>1155</v>
      </c>
      <c r="G705" s="28">
        <f>IF(LEFT(D705,6)="CLIENT",IF(E705=0,WORKDAY(A705-1,1,Dias_Sem_Compensacao!$A$2:$A$500),WORKDAY(A705,E705,Dias_Sem_Compensacao!$A$2:$A$500)),"")</f>
        <v>46317</v>
      </c>
      <c r="H705" s="25">
        <v>0</v>
      </c>
      <c r="I705" s="28">
        <v>46316</v>
      </c>
      <c r="J705" t="s">
        <v>224</v>
      </c>
      <c r="K705" t="s">
        <v>722</v>
      </c>
    </row>
    <row r="706" spans="1:11" hidden="1">
      <c r="A706" s="28">
        <v>46316</v>
      </c>
      <c r="B706" t="s">
        <v>185</v>
      </c>
      <c r="C706" t="s">
        <v>202</v>
      </c>
      <c r="D706" t="s">
        <v>217</v>
      </c>
      <c r="E706">
        <f>IF(LEFT(D706,6)="CLIENT",IFERROR(VLOOKUP(C706,Config_Carteiras!$A:$B,2,FALSE),1),"")</f>
        <v>1</v>
      </c>
      <c r="F706" s="25">
        <v>1155</v>
      </c>
      <c r="G706" s="28">
        <f>IF(LEFT(D706,6)="CLIENT",IF(E706=0,WORKDAY(A706-1,1,Dias_Sem_Compensacao!$A$2:$A$500),WORKDAY(A706,E706,Dias_Sem_Compensacao!$A$2:$A$500)),"")</f>
        <v>46317</v>
      </c>
      <c r="H706" s="25">
        <v>0</v>
      </c>
      <c r="I706" s="28">
        <v>46316</v>
      </c>
      <c r="K706" t="s">
        <v>886</v>
      </c>
    </row>
    <row r="707" spans="1:11" hidden="1">
      <c r="A707" s="28">
        <v>46316</v>
      </c>
      <c r="B707" t="s">
        <v>185</v>
      </c>
      <c r="C707" t="s">
        <v>202</v>
      </c>
      <c r="D707" t="s">
        <v>217</v>
      </c>
      <c r="E707">
        <f>IF(LEFT(D707,6)="CLIENT",IFERROR(VLOOKUP(C707,Config_Carteiras!$A:$B,2,FALSE),1),"")</f>
        <v>1</v>
      </c>
      <c r="F707" s="25">
        <v>560.6</v>
      </c>
      <c r="G707" s="28">
        <f>IF(LEFT(D707,6)="CLIENT",IF(E707=0,WORKDAY(A707-1,1,Dias_Sem_Compensacao!$A$2:$A$500),WORKDAY(A707,E707,Dias_Sem_Compensacao!$A$2:$A$500)),"")</f>
        <v>46317</v>
      </c>
      <c r="H707" s="25">
        <v>0</v>
      </c>
      <c r="I707" s="28">
        <v>46316</v>
      </c>
      <c r="J707" t="s">
        <v>887</v>
      </c>
      <c r="K707" t="s">
        <v>888</v>
      </c>
    </row>
    <row r="708" spans="1:11" hidden="1">
      <c r="A708" s="28">
        <v>46316</v>
      </c>
      <c r="B708" t="s">
        <v>185</v>
      </c>
      <c r="C708" t="s">
        <v>202</v>
      </c>
      <c r="D708" t="s">
        <v>217</v>
      </c>
      <c r="E708">
        <f>IF(LEFT(D708,6)="CLIENT",IFERROR(VLOOKUP(C708,Config_Carteiras!$A:$B,2,FALSE),1),"")</f>
        <v>1</v>
      </c>
      <c r="F708" s="25">
        <v>527</v>
      </c>
      <c r="G708" s="28">
        <f>IF(LEFT(D708,6)="CLIENT",IF(E708=0,WORKDAY(A708-1,1,Dias_Sem_Compensacao!$A$2:$A$500),WORKDAY(A708,E708,Dias_Sem_Compensacao!$A$2:$A$500)),"")</f>
        <v>46317</v>
      </c>
      <c r="H708" s="25">
        <v>0</v>
      </c>
      <c r="I708" s="28">
        <v>46316</v>
      </c>
      <c r="J708" t="s">
        <v>889</v>
      </c>
      <c r="K708" t="s">
        <v>890</v>
      </c>
    </row>
    <row r="709" spans="1:11" hidden="1">
      <c r="A709" s="28">
        <v>46316</v>
      </c>
      <c r="B709" t="s">
        <v>185</v>
      </c>
      <c r="C709" t="s">
        <v>202</v>
      </c>
      <c r="D709" t="s">
        <v>217</v>
      </c>
      <c r="E709">
        <f>IF(LEFT(D709,6)="CLIENT",IFERROR(VLOOKUP(C709,Config_Carteiras!$A:$B,2,FALSE),1),"")</f>
        <v>1</v>
      </c>
      <c r="F709" s="25">
        <v>959</v>
      </c>
      <c r="G709" s="28">
        <f>IF(LEFT(D709,6)="CLIENT",IF(E709=0,WORKDAY(A709-1,1,Dias_Sem_Compensacao!$A$2:$A$500),WORKDAY(A709,E709,Dias_Sem_Compensacao!$A$2:$A$500)),"")</f>
        <v>46317</v>
      </c>
      <c r="H709" s="25">
        <v>0</v>
      </c>
      <c r="I709" s="28">
        <v>46316</v>
      </c>
      <c r="J709" t="s">
        <v>725</v>
      </c>
      <c r="K709" t="s">
        <v>726</v>
      </c>
    </row>
    <row r="710" spans="1:11" hidden="1">
      <c r="A710" s="28">
        <v>46316</v>
      </c>
      <c r="B710" t="s">
        <v>185</v>
      </c>
      <c r="C710" t="s">
        <v>202</v>
      </c>
      <c r="D710" t="s">
        <v>217</v>
      </c>
      <c r="E710">
        <f>IF(LEFT(D710,6)="CLIENT",IFERROR(VLOOKUP(C710,Config_Carteiras!$A:$B,2,FALSE),1),"")</f>
        <v>1</v>
      </c>
      <c r="F710" s="25">
        <v>618</v>
      </c>
      <c r="G710" s="28">
        <f>IF(LEFT(D710,6)="CLIENT",IF(E710=0,WORKDAY(A710-1,1,Dias_Sem_Compensacao!$A$2:$A$500),WORKDAY(A710,E710,Dias_Sem_Compensacao!$A$2:$A$500)),"")</f>
        <v>46317</v>
      </c>
      <c r="H710" s="25">
        <v>0</v>
      </c>
      <c r="I710" s="28">
        <v>46316</v>
      </c>
      <c r="J710" t="s">
        <v>892</v>
      </c>
      <c r="K710" t="s">
        <v>893</v>
      </c>
    </row>
    <row r="711" spans="1:11" hidden="1">
      <c r="A711" s="28">
        <v>46316</v>
      </c>
      <c r="B711" t="s">
        <v>185</v>
      </c>
      <c r="C711" t="s">
        <v>202</v>
      </c>
      <c r="D711" t="s">
        <v>217</v>
      </c>
      <c r="E711">
        <f>IF(LEFT(D711,6)="CLIENT",IFERROR(VLOOKUP(C711,Config_Carteiras!$A:$B,2,FALSE),1),"")</f>
        <v>1</v>
      </c>
      <c r="F711" s="25">
        <v>731.3</v>
      </c>
      <c r="G711" s="28">
        <f>IF(LEFT(D711,6)="CLIENT",IF(E711=0,WORKDAY(A711-1,1,Dias_Sem_Compensacao!$A$2:$A$500),WORKDAY(A711,E711,Dias_Sem_Compensacao!$A$2:$A$500)),"")</f>
        <v>46317</v>
      </c>
      <c r="H711" s="25">
        <v>0</v>
      </c>
      <c r="I711" s="28">
        <v>46316</v>
      </c>
      <c r="J711" t="s">
        <v>495</v>
      </c>
      <c r="K711" t="s">
        <v>973</v>
      </c>
    </row>
    <row r="712" spans="1:11" hidden="1">
      <c r="A712" s="28">
        <v>46316</v>
      </c>
      <c r="B712" t="s">
        <v>185</v>
      </c>
      <c r="C712" t="s">
        <v>202</v>
      </c>
      <c r="D712" t="s">
        <v>217</v>
      </c>
      <c r="E712">
        <f>IF(LEFT(D712,6)="CLIENT",IFERROR(VLOOKUP(C712,Config_Carteiras!$A:$B,2,FALSE),1),"")</f>
        <v>1</v>
      </c>
      <c r="F712" s="25">
        <v>1813.56</v>
      </c>
      <c r="G712" s="28">
        <f>IF(LEFT(D712,6)="CLIENT",IF(E712=0,WORKDAY(A712-1,1,Dias_Sem_Compensacao!$A$2:$A$500),WORKDAY(A712,E712,Dias_Sem_Compensacao!$A$2:$A$500)),"")</f>
        <v>46317</v>
      </c>
      <c r="H712" s="25">
        <v>0</v>
      </c>
      <c r="I712" s="28">
        <v>46316</v>
      </c>
      <c r="J712" t="s">
        <v>729</v>
      </c>
      <c r="K712" t="s">
        <v>730</v>
      </c>
    </row>
    <row r="713" spans="1:11" hidden="1">
      <c r="A713" s="28">
        <v>46316</v>
      </c>
      <c r="B713" t="s">
        <v>185</v>
      </c>
      <c r="C713" t="s">
        <v>202</v>
      </c>
      <c r="D713" t="s">
        <v>217</v>
      </c>
      <c r="E713">
        <f>IF(LEFT(D713,6)="CLIENT",IFERROR(VLOOKUP(C713,Config_Carteiras!$A:$B,2,FALSE),1),"")</f>
        <v>1</v>
      </c>
      <c r="F713" s="25">
        <v>1790.71</v>
      </c>
      <c r="G713" s="28">
        <f>IF(LEFT(D713,6)="CLIENT",IF(E713=0,WORKDAY(A713-1,1,Dias_Sem_Compensacao!$A$2:$A$500),WORKDAY(A713,E713,Dias_Sem_Compensacao!$A$2:$A$500)),"")</f>
        <v>46317</v>
      </c>
      <c r="H713" s="25">
        <v>0</v>
      </c>
      <c r="I713" s="28">
        <v>46316</v>
      </c>
      <c r="J713" t="s">
        <v>898</v>
      </c>
      <c r="K713" t="s">
        <v>899</v>
      </c>
    </row>
    <row r="714" spans="1:11" hidden="1">
      <c r="A714" s="28">
        <v>46316</v>
      </c>
      <c r="B714" t="s">
        <v>185</v>
      </c>
      <c r="C714" t="s">
        <v>202</v>
      </c>
      <c r="D714" t="s">
        <v>217</v>
      </c>
      <c r="E714">
        <f>IF(LEFT(D714,6)="CLIENT",IFERROR(VLOOKUP(C714,Config_Carteiras!$A:$B,2,FALSE),1),"")</f>
        <v>1</v>
      </c>
      <c r="F714" s="25">
        <v>273.60000000000002</v>
      </c>
      <c r="G714" s="28">
        <f>IF(LEFT(D714,6)="CLIENT",IF(E714=0,WORKDAY(A714-1,1,Dias_Sem_Compensacao!$A$2:$A$500),WORKDAY(A714,E714,Dias_Sem_Compensacao!$A$2:$A$500)),"")</f>
        <v>46317</v>
      </c>
      <c r="H714" s="25">
        <v>0</v>
      </c>
      <c r="I714" s="28">
        <v>46316</v>
      </c>
      <c r="J714" t="s">
        <v>733</v>
      </c>
      <c r="K714" t="s">
        <v>974</v>
      </c>
    </row>
    <row r="715" spans="1:11" hidden="1">
      <c r="A715" s="28">
        <v>46316</v>
      </c>
      <c r="B715" t="s">
        <v>185</v>
      </c>
      <c r="C715" t="s">
        <v>202</v>
      </c>
      <c r="D715" t="s">
        <v>217</v>
      </c>
      <c r="E715">
        <f>IF(LEFT(D715,6)="CLIENT",IFERROR(VLOOKUP(C715,Config_Carteiras!$A:$B,2,FALSE),1),"")</f>
        <v>1</v>
      </c>
      <c r="F715" s="25">
        <v>458</v>
      </c>
      <c r="G715" s="28">
        <f>IF(LEFT(D715,6)="CLIENT",IF(E715=0,WORKDAY(A715-1,1,Dias_Sem_Compensacao!$A$2:$A$500),WORKDAY(A715,E715,Dias_Sem_Compensacao!$A$2:$A$500)),"")</f>
        <v>46317</v>
      </c>
      <c r="H715" s="25">
        <v>0</v>
      </c>
      <c r="I715" s="28">
        <v>46316</v>
      </c>
      <c r="J715" t="s">
        <v>312</v>
      </c>
      <c r="K715" t="s">
        <v>975</v>
      </c>
    </row>
    <row r="716" spans="1:11" hidden="1">
      <c r="A716" s="28">
        <v>46316</v>
      </c>
      <c r="B716" t="s">
        <v>185</v>
      </c>
      <c r="C716" t="s">
        <v>202</v>
      </c>
      <c r="D716" t="s">
        <v>217</v>
      </c>
      <c r="E716">
        <f>IF(LEFT(D716,6)="CLIENT",IFERROR(VLOOKUP(C716,Config_Carteiras!$A:$B,2,FALSE),1),"")</f>
        <v>1</v>
      </c>
      <c r="F716" s="25">
        <v>1767.86</v>
      </c>
      <c r="G716" s="28">
        <f>IF(LEFT(D716,6)="CLIENT",IF(E716=0,WORKDAY(A716-1,1,Dias_Sem_Compensacao!$A$2:$A$500),WORKDAY(A716,E716,Dias_Sem_Compensacao!$A$2:$A$500)),"")</f>
        <v>46317</v>
      </c>
      <c r="H716" s="25">
        <v>0</v>
      </c>
      <c r="I716" s="28">
        <v>46316</v>
      </c>
      <c r="J716" t="s">
        <v>901</v>
      </c>
      <c r="K716" t="s">
        <v>902</v>
      </c>
    </row>
    <row r="717" spans="1:11" hidden="1">
      <c r="A717" s="28">
        <v>46316</v>
      </c>
      <c r="B717" t="s">
        <v>185</v>
      </c>
      <c r="C717" t="s">
        <v>202</v>
      </c>
      <c r="D717" t="s">
        <v>217</v>
      </c>
      <c r="E717">
        <f>IF(LEFT(D717,6)="CLIENT",IFERROR(VLOOKUP(C717,Config_Carteiras!$A:$B,2,FALSE),1),"")</f>
        <v>1</v>
      </c>
      <c r="F717" s="25">
        <v>356</v>
      </c>
      <c r="G717" s="28">
        <f>IF(LEFT(D717,6)="CLIENT",IF(E717=0,WORKDAY(A717-1,1,Dias_Sem_Compensacao!$A$2:$A$500),WORKDAY(A717,E717,Dias_Sem_Compensacao!$A$2:$A$500)),"")</f>
        <v>46317</v>
      </c>
      <c r="H717" s="25">
        <v>0</v>
      </c>
      <c r="I717" s="28">
        <v>46316</v>
      </c>
      <c r="J717" t="s">
        <v>976</v>
      </c>
      <c r="K717" t="s">
        <v>977</v>
      </c>
    </row>
    <row r="718" spans="1:11" hidden="1">
      <c r="A718" s="28">
        <v>46316</v>
      </c>
      <c r="B718" t="s">
        <v>185</v>
      </c>
      <c r="C718" t="s">
        <v>202</v>
      </c>
      <c r="D718" t="s">
        <v>217</v>
      </c>
      <c r="E718">
        <f>IF(LEFT(D718,6)="CLIENT",IFERROR(VLOOKUP(C718,Config_Carteiras!$A:$B,2,FALSE),1),"")</f>
        <v>1</v>
      </c>
      <c r="F718" s="25">
        <v>605.38</v>
      </c>
      <c r="G718" s="28">
        <f>IF(LEFT(D718,6)="CLIENT",IF(E718=0,WORKDAY(A718-1,1,Dias_Sem_Compensacao!$A$2:$A$500),WORKDAY(A718,E718,Dias_Sem_Compensacao!$A$2:$A$500)),"")</f>
        <v>46317</v>
      </c>
      <c r="H718" s="25">
        <v>0</v>
      </c>
      <c r="I718" s="28">
        <v>46316</v>
      </c>
      <c r="J718" t="s">
        <v>423</v>
      </c>
      <c r="K718" t="s">
        <v>424</v>
      </c>
    </row>
    <row r="719" spans="1:11" hidden="1">
      <c r="A719" s="28">
        <v>46316</v>
      </c>
      <c r="B719" t="s">
        <v>185</v>
      </c>
      <c r="C719" t="s">
        <v>202</v>
      </c>
      <c r="D719" t="s">
        <v>217</v>
      </c>
      <c r="E719">
        <f>IF(LEFT(D719,6)="CLIENT",IFERROR(VLOOKUP(C719,Config_Carteiras!$A:$B,2,FALSE),1),"")</f>
        <v>1</v>
      </c>
      <c r="F719" s="25">
        <v>383</v>
      </c>
      <c r="G719" s="28">
        <f>IF(LEFT(D719,6)="CLIENT",IF(E719=0,WORKDAY(A719-1,1,Dias_Sem_Compensacao!$A$2:$A$500),WORKDAY(A719,E719,Dias_Sem_Compensacao!$A$2:$A$500)),"")</f>
        <v>46317</v>
      </c>
      <c r="H719" s="25">
        <v>0</v>
      </c>
      <c r="I719" s="28">
        <v>46316</v>
      </c>
      <c r="J719" t="s">
        <v>605</v>
      </c>
      <c r="K719" t="s">
        <v>903</v>
      </c>
    </row>
    <row r="720" spans="1:11" hidden="1">
      <c r="A720" s="28">
        <v>46316</v>
      </c>
      <c r="B720" t="s">
        <v>185</v>
      </c>
      <c r="C720" t="s">
        <v>202</v>
      </c>
      <c r="D720" t="s">
        <v>217</v>
      </c>
      <c r="E720">
        <f>IF(LEFT(D720,6)="CLIENT",IFERROR(VLOOKUP(C720,Config_Carteiras!$A:$B,2,FALSE),1),"")</f>
        <v>1</v>
      </c>
      <c r="F720" s="25">
        <v>462.1</v>
      </c>
      <c r="G720" s="28">
        <f>IF(LEFT(D720,6)="CLIENT",IF(E720=0,WORKDAY(A720-1,1,Dias_Sem_Compensacao!$A$2:$A$500),WORKDAY(A720,E720,Dias_Sem_Compensacao!$A$2:$A$500)),"")</f>
        <v>46317</v>
      </c>
      <c r="H720" s="25">
        <v>0</v>
      </c>
      <c r="I720" s="28">
        <v>46316</v>
      </c>
      <c r="J720" t="s">
        <v>505</v>
      </c>
      <c r="K720" t="s">
        <v>978</v>
      </c>
    </row>
    <row r="721" spans="1:11" hidden="1">
      <c r="A721" s="28">
        <v>46316</v>
      </c>
      <c r="B721" t="s">
        <v>185</v>
      </c>
      <c r="C721" t="s">
        <v>202</v>
      </c>
      <c r="D721" t="s">
        <v>217</v>
      </c>
      <c r="E721">
        <f>IF(LEFT(D721,6)="CLIENT",IFERROR(VLOOKUP(C721,Config_Carteiras!$A:$B,2,FALSE),1),"")</f>
        <v>1</v>
      </c>
      <c r="F721" s="25">
        <v>784</v>
      </c>
      <c r="G721" s="28">
        <f>IF(LEFT(D721,6)="CLIENT",IF(E721=0,WORKDAY(A721-1,1,Dias_Sem_Compensacao!$A$2:$A$500),WORKDAY(A721,E721,Dias_Sem_Compensacao!$A$2:$A$500)),"")</f>
        <v>46317</v>
      </c>
      <c r="H721" s="25">
        <v>0</v>
      </c>
      <c r="I721" s="28">
        <v>46316</v>
      </c>
      <c r="J721" t="s">
        <v>979</v>
      </c>
      <c r="K721" t="s">
        <v>980</v>
      </c>
    </row>
    <row r="722" spans="1:11" hidden="1">
      <c r="A722" s="28">
        <v>46316</v>
      </c>
      <c r="B722" t="s">
        <v>185</v>
      </c>
      <c r="C722" t="s">
        <v>202</v>
      </c>
      <c r="D722" t="s">
        <v>217</v>
      </c>
      <c r="E722">
        <f>IF(LEFT(D722,6)="CLIENT",IFERROR(VLOOKUP(C722,Config_Carteiras!$A:$B,2,FALSE),1),"")</f>
        <v>1</v>
      </c>
      <c r="F722" s="25">
        <v>579.20000000000005</v>
      </c>
      <c r="G722" s="28">
        <f>IF(LEFT(D722,6)="CLIENT",IF(E722=0,WORKDAY(A722-1,1,Dias_Sem_Compensacao!$A$2:$A$500),WORKDAY(A722,E722,Dias_Sem_Compensacao!$A$2:$A$500)),"")</f>
        <v>46317</v>
      </c>
      <c r="H722" s="25">
        <v>0</v>
      </c>
      <c r="I722" s="28">
        <v>46316</v>
      </c>
      <c r="J722" t="s">
        <v>914</v>
      </c>
      <c r="K722" t="s">
        <v>915</v>
      </c>
    </row>
    <row r="723" spans="1:11" hidden="1">
      <c r="A723" s="28">
        <v>46316</v>
      </c>
      <c r="B723" t="s">
        <v>185</v>
      </c>
      <c r="C723" t="s">
        <v>202</v>
      </c>
      <c r="D723" t="s">
        <v>217</v>
      </c>
      <c r="E723">
        <f>IF(LEFT(D723,6)="CLIENT",IFERROR(VLOOKUP(C723,Config_Carteiras!$A:$B,2,FALSE),1),"")</f>
        <v>1</v>
      </c>
      <c r="F723" s="25">
        <v>297</v>
      </c>
      <c r="G723" s="28">
        <f>IF(LEFT(D723,6)="CLIENT",IF(E723=0,WORKDAY(A723-1,1,Dias_Sem_Compensacao!$A$2:$A$500),WORKDAY(A723,E723,Dias_Sem_Compensacao!$A$2:$A$500)),"")</f>
        <v>46317</v>
      </c>
      <c r="H723" s="25">
        <v>0</v>
      </c>
      <c r="I723" s="28">
        <v>46316</v>
      </c>
      <c r="J723" t="s">
        <v>440</v>
      </c>
      <c r="K723" t="s">
        <v>441</v>
      </c>
    </row>
    <row r="724" spans="1:11" hidden="1">
      <c r="A724" s="28">
        <v>46316</v>
      </c>
      <c r="B724" t="s">
        <v>185</v>
      </c>
      <c r="C724" t="s">
        <v>202</v>
      </c>
      <c r="D724" t="s">
        <v>217</v>
      </c>
      <c r="E724">
        <f>IF(LEFT(D724,6)="CLIENT",IFERROR(VLOOKUP(C724,Config_Carteiras!$A:$B,2,FALSE),1),"")</f>
        <v>1</v>
      </c>
      <c r="F724" s="25">
        <v>442</v>
      </c>
      <c r="G724" s="28">
        <f>IF(LEFT(D724,6)="CLIENT",IF(E724=0,WORKDAY(A724-1,1,Dias_Sem_Compensacao!$A$2:$A$500),WORKDAY(A724,E724,Dias_Sem_Compensacao!$A$2:$A$500)),"")</f>
        <v>46317</v>
      </c>
      <c r="H724" s="25">
        <v>0</v>
      </c>
      <c r="I724" s="28">
        <v>46316</v>
      </c>
      <c r="J724" t="s">
        <v>442</v>
      </c>
      <c r="K724" t="s">
        <v>444</v>
      </c>
    </row>
    <row r="725" spans="1:11" hidden="1">
      <c r="A725" s="28">
        <v>46316</v>
      </c>
      <c r="B725" t="s">
        <v>185</v>
      </c>
      <c r="C725" t="s">
        <v>202</v>
      </c>
      <c r="D725" t="s">
        <v>217</v>
      </c>
      <c r="E725">
        <f>IF(LEFT(D725,6)="CLIENT",IFERROR(VLOOKUP(C725,Config_Carteiras!$A:$B,2,FALSE),1),"")</f>
        <v>1</v>
      </c>
      <c r="F725" s="25">
        <v>394.2</v>
      </c>
      <c r="G725" s="28">
        <f>IF(LEFT(D725,6)="CLIENT",IF(E725=0,WORKDAY(A725-1,1,Dias_Sem_Compensacao!$A$2:$A$500),WORKDAY(A725,E725,Dias_Sem_Compensacao!$A$2:$A$500)),"")</f>
        <v>46317</v>
      </c>
      <c r="H725" s="25">
        <v>0</v>
      </c>
      <c r="I725" s="28">
        <v>46316</v>
      </c>
      <c r="J725" t="s">
        <v>981</v>
      </c>
      <c r="K725" t="s">
        <v>982</v>
      </c>
    </row>
    <row r="726" spans="1:11" hidden="1">
      <c r="A726" s="28">
        <v>46316</v>
      </c>
      <c r="B726" t="s">
        <v>185</v>
      </c>
      <c r="C726" t="s">
        <v>202</v>
      </c>
      <c r="D726" t="s">
        <v>217</v>
      </c>
      <c r="E726">
        <f>IF(LEFT(D726,6)="CLIENT",IFERROR(VLOOKUP(C726,Config_Carteiras!$A:$B,2,FALSE),1),"")</f>
        <v>1</v>
      </c>
      <c r="F726" s="25">
        <v>373.6</v>
      </c>
      <c r="G726" s="28">
        <f>IF(LEFT(D726,6)="CLIENT",IF(E726=0,WORKDAY(A726-1,1,Dias_Sem_Compensacao!$A$2:$A$500),WORKDAY(A726,E726,Dias_Sem_Compensacao!$A$2:$A$500)),"")</f>
        <v>46317</v>
      </c>
      <c r="H726" s="25">
        <v>0</v>
      </c>
      <c r="I726" s="28">
        <v>46316</v>
      </c>
      <c r="J726" t="s">
        <v>916</v>
      </c>
      <c r="K726" t="s">
        <v>917</v>
      </c>
    </row>
    <row r="727" spans="1:11" hidden="1">
      <c r="A727" s="28">
        <v>46316</v>
      </c>
      <c r="B727" t="s">
        <v>185</v>
      </c>
      <c r="C727" t="s">
        <v>202</v>
      </c>
      <c r="D727" t="s">
        <v>217</v>
      </c>
      <c r="E727">
        <f>IF(LEFT(D727,6)="CLIENT",IFERROR(VLOOKUP(C727,Config_Carteiras!$A:$B,2,FALSE),1),"")</f>
        <v>1</v>
      </c>
      <c r="F727" s="25">
        <v>682</v>
      </c>
      <c r="G727" s="28">
        <f>IF(LEFT(D727,6)="CLIENT",IF(E727=0,WORKDAY(A727-1,1,Dias_Sem_Compensacao!$A$2:$A$500),WORKDAY(A727,E727,Dias_Sem_Compensacao!$A$2:$A$500)),"")</f>
        <v>46317</v>
      </c>
      <c r="H727" s="25">
        <v>0</v>
      </c>
      <c r="I727" s="28">
        <v>46316</v>
      </c>
      <c r="J727" t="s">
        <v>562</v>
      </c>
      <c r="K727" t="s">
        <v>920</v>
      </c>
    </row>
    <row r="728" spans="1:11" hidden="1">
      <c r="A728" s="28">
        <v>46316</v>
      </c>
      <c r="B728" t="s">
        <v>185</v>
      </c>
      <c r="C728" t="s">
        <v>202</v>
      </c>
      <c r="D728" t="s">
        <v>217</v>
      </c>
      <c r="E728">
        <f>IF(LEFT(D728,6)="CLIENT",IFERROR(VLOOKUP(C728,Config_Carteiras!$A:$B,2,FALSE),1),"")</f>
        <v>1</v>
      </c>
      <c r="F728" s="25">
        <v>652.5</v>
      </c>
      <c r="G728" s="28">
        <f>IF(LEFT(D728,6)="CLIENT",IF(E728=0,WORKDAY(A728-1,1,Dias_Sem_Compensacao!$A$2:$A$500),WORKDAY(A728,E728,Dias_Sem_Compensacao!$A$2:$A$500)),"")</f>
        <v>46317</v>
      </c>
      <c r="H728" s="25">
        <v>0</v>
      </c>
      <c r="I728" s="28">
        <v>46316</v>
      </c>
      <c r="J728" t="s">
        <v>566</v>
      </c>
      <c r="K728" t="s">
        <v>983</v>
      </c>
    </row>
    <row r="729" spans="1:11" hidden="1">
      <c r="A729" s="28">
        <v>46316</v>
      </c>
      <c r="B729" t="s">
        <v>185</v>
      </c>
      <c r="C729" t="s">
        <v>202</v>
      </c>
      <c r="D729" t="s">
        <v>217</v>
      </c>
      <c r="E729">
        <f>IF(LEFT(D729,6)="CLIENT",IFERROR(VLOOKUP(C729,Config_Carteiras!$A:$B,2,FALSE),1),"")</f>
        <v>1</v>
      </c>
      <c r="F729" s="25">
        <v>434</v>
      </c>
      <c r="G729" s="28">
        <f>IF(LEFT(D729,6)="CLIENT",IF(E729=0,WORKDAY(A729-1,1,Dias_Sem_Compensacao!$A$2:$A$500),WORKDAY(A729,E729,Dias_Sem_Compensacao!$A$2:$A$500)),"")</f>
        <v>46317</v>
      </c>
      <c r="H729" s="25">
        <v>0</v>
      </c>
      <c r="I729" s="28">
        <v>46316</v>
      </c>
      <c r="J729" t="s">
        <v>922</v>
      </c>
      <c r="K729" t="s">
        <v>923</v>
      </c>
    </row>
    <row r="730" spans="1:11" hidden="1">
      <c r="A730" s="28">
        <v>46316</v>
      </c>
      <c r="B730" t="s">
        <v>185</v>
      </c>
      <c r="C730" t="s">
        <v>202</v>
      </c>
      <c r="D730" t="s">
        <v>217</v>
      </c>
      <c r="E730">
        <f>IF(LEFT(D730,6)="CLIENT",IFERROR(VLOOKUP(C730,Config_Carteiras!$A:$B,2,FALSE),1),"")</f>
        <v>1</v>
      </c>
      <c r="F730" s="25">
        <v>1942.64</v>
      </c>
      <c r="G730" s="28">
        <f>IF(LEFT(D730,6)="CLIENT",IF(E730=0,WORKDAY(A730-1,1,Dias_Sem_Compensacao!$A$2:$A$500),WORKDAY(A730,E730,Dias_Sem_Compensacao!$A$2:$A$500)),"")</f>
        <v>46317</v>
      </c>
      <c r="H730" s="25">
        <v>0</v>
      </c>
      <c r="I730" s="28">
        <v>46316</v>
      </c>
      <c r="J730" t="s">
        <v>749</v>
      </c>
      <c r="K730" t="s">
        <v>750</v>
      </c>
    </row>
    <row r="731" spans="1:11" hidden="1">
      <c r="A731" s="28">
        <v>46316</v>
      </c>
      <c r="B731" t="s">
        <v>185</v>
      </c>
      <c r="C731" t="s">
        <v>202</v>
      </c>
      <c r="D731" t="s">
        <v>217</v>
      </c>
      <c r="E731">
        <f>IF(LEFT(D731,6)="CLIENT",IFERROR(VLOOKUP(C731,Config_Carteiras!$A:$B,2,FALSE),1),"")</f>
        <v>1</v>
      </c>
      <c r="F731" s="25">
        <v>624</v>
      </c>
      <c r="G731" s="28">
        <f>IF(LEFT(D731,6)="CLIENT",IF(E731=0,WORKDAY(A731-1,1,Dias_Sem_Compensacao!$A$2:$A$500),WORKDAY(A731,E731,Dias_Sem_Compensacao!$A$2:$A$500)),"")</f>
        <v>46317</v>
      </c>
      <c r="H731" s="25">
        <v>0</v>
      </c>
      <c r="I731" s="28">
        <v>46316</v>
      </c>
      <c r="J731" t="s">
        <v>984</v>
      </c>
      <c r="K731" t="s">
        <v>985</v>
      </c>
    </row>
    <row r="732" spans="1:11" hidden="1">
      <c r="A732" s="28">
        <v>46316</v>
      </c>
      <c r="B732" t="s">
        <v>185</v>
      </c>
      <c r="C732" t="s">
        <v>202</v>
      </c>
      <c r="D732" t="s">
        <v>217</v>
      </c>
      <c r="E732">
        <f>IF(LEFT(D732,6)="CLIENT",IFERROR(VLOOKUP(C732,Config_Carteiras!$A:$B,2,FALSE),1),"")</f>
        <v>1</v>
      </c>
      <c r="F732" s="25">
        <v>410.5</v>
      </c>
      <c r="G732" s="28">
        <f>IF(LEFT(D732,6)="CLIENT",IF(E732=0,WORKDAY(A732-1,1,Dias_Sem_Compensacao!$A$2:$A$500),WORKDAY(A732,E732,Dias_Sem_Compensacao!$A$2:$A$500)),"")</f>
        <v>46317</v>
      </c>
      <c r="H732" s="25">
        <v>0</v>
      </c>
      <c r="I732" s="28">
        <v>46316</v>
      </c>
      <c r="J732" t="s">
        <v>986</v>
      </c>
      <c r="K732" t="s">
        <v>987</v>
      </c>
    </row>
    <row r="733" spans="1:11" hidden="1">
      <c r="A733" s="28">
        <v>46316</v>
      </c>
      <c r="B733" t="s">
        <v>185</v>
      </c>
      <c r="C733" t="s">
        <v>202</v>
      </c>
      <c r="D733" t="s">
        <v>217</v>
      </c>
      <c r="E733">
        <f>IF(LEFT(D733,6)="CLIENT",IFERROR(VLOOKUP(C733,Config_Carteiras!$A:$B,2,FALSE),1),"")</f>
        <v>1</v>
      </c>
      <c r="F733" s="25">
        <v>1459</v>
      </c>
      <c r="G733" s="28">
        <f>IF(LEFT(D733,6)="CLIENT",IF(E733=0,WORKDAY(A733-1,1,Dias_Sem_Compensacao!$A$2:$A$500),WORKDAY(A733,E733,Dias_Sem_Compensacao!$A$2:$A$500)),"")</f>
        <v>46317</v>
      </c>
      <c r="H733" s="25">
        <v>0</v>
      </c>
      <c r="I733" s="28">
        <v>46316</v>
      </c>
      <c r="J733" t="s">
        <v>101</v>
      </c>
      <c r="K733" t="s">
        <v>462</v>
      </c>
    </row>
    <row r="734" spans="1:11" hidden="1">
      <c r="A734" s="28">
        <v>46316</v>
      </c>
      <c r="B734" t="s">
        <v>185</v>
      </c>
      <c r="C734" t="s">
        <v>202</v>
      </c>
      <c r="D734" t="s">
        <v>217</v>
      </c>
      <c r="E734">
        <f>IF(LEFT(D734,6)="CLIENT",IFERROR(VLOOKUP(C734,Config_Carteiras!$A:$B,2,FALSE),1),"")</f>
        <v>1</v>
      </c>
      <c r="F734" s="25">
        <v>929</v>
      </c>
      <c r="G734" s="28">
        <f>IF(LEFT(D734,6)="CLIENT",IF(E734=0,WORKDAY(A734-1,1,Dias_Sem_Compensacao!$A$2:$A$500),WORKDAY(A734,E734,Dias_Sem_Compensacao!$A$2:$A$500)),"")</f>
        <v>46317</v>
      </c>
      <c r="H734" s="25">
        <v>0</v>
      </c>
      <c r="I734" s="28">
        <v>46316</v>
      </c>
      <c r="J734" t="s">
        <v>988</v>
      </c>
      <c r="K734" t="s">
        <v>989</v>
      </c>
    </row>
    <row r="735" spans="1:11" hidden="1">
      <c r="A735" s="28">
        <v>46316</v>
      </c>
      <c r="B735" t="s">
        <v>185</v>
      </c>
      <c r="C735" t="s">
        <v>202</v>
      </c>
      <c r="D735" t="s">
        <v>217</v>
      </c>
      <c r="E735">
        <f>IF(LEFT(D735,6)="CLIENT",IFERROR(VLOOKUP(C735,Config_Carteiras!$A:$B,2,FALSE),1),"")</f>
        <v>1</v>
      </c>
      <c r="F735" s="25">
        <v>405.6</v>
      </c>
      <c r="G735" s="28">
        <f>IF(LEFT(D735,6)="CLIENT",IF(E735=0,WORKDAY(A735-1,1,Dias_Sem_Compensacao!$A$2:$A$500),WORKDAY(A735,E735,Dias_Sem_Compensacao!$A$2:$A$500)),"")</f>
        <v>46317</v>
      </c>
      <c r="H735" s="25">
        <v>0</v>
      </c>
      <c r="I735" s="28">
        <v>46316</v>
      </c>
      <c r="J735" t="s">
        <v>465</v>
      </c>
      <c r="K735" t="s">
        <v>466</v>
      </c>
    </row>
    <row r="736" spans="1:11" hidden="1">
      <c r="A736" s="28">
        <v>46316</v>
      </c>
      <c r="B736" t="s">
        <v>185</v>
      </c>
      <c r="C736" t="s">
        <v>202</v>
      </c>
      <c r="D736" t="s">
        <v>217</v>
      </c>
      <c r="E736">
        <f>IF(LEFT(D736,6)="CLIENT",IFERROR(VLOOKUP(C736,Config_Carteiras!$A:$B,2,FALSE),1),"")</f>
        <v>1</v>
      </c>
      <c r="F736" s="25">
        <v>1200</v>
      </c>
      <c r="G736" s="28">
        <f>IF(LEFT(D736,6)="CLIENT",IF(E736=0,WORKDAY(A736-1,1,Dias_Sem_Compensacao!$A$2:$A$500),WORKDAY(A736,E736,Dias_Sem_Compensacao!$A$2:$A$500)),"")</f>
        <v>46317</v>
      </c>
      <c r="H736" s="25">
        <v>0</v>
      </c>
      <c r="I736" s="28">
        <v>46316</v>
      </c>
      <c r="J736" t="s">
        <v>754</v>
      </c>
      <c r="K736" t="s">
        <v>755</v>
      </c>
    </row>
    <row r="737" spans="1:11" hidden="1">
      <c r="A737" s="28">
        <v>46316</v>
      </c>
      <c r="B737" t="s">
        <v>185</v>
      </c>
      <c r="C737" t="s">
        <v>202</v>
      </c>
      <c r="D737" t="s">
        <v>217</v>
      </c>
      <c r="E737">
        <f>IF(LEFT(D737,6)="CLIENT",IFERROR(VLOOKUP(C737,Config_Carteiras!$A:$B,2,FALSE),1),"")</f>
        <v>1</v>
      </c>
      <c r="F737" s="25">
        <v>992.5</v>
      </c>
      <c r="G737" s="28">
        <f>IF(LEFT(D737,6)="CLIENT",IF(E737=0,WORKDAY(A737-1,1,Dias_Sem_Compensacao!$A$2:$A$500),WORKDAY(A737,E737,Dias_Sem_Compensacao!$A$2:$A$500)),"")</f>
        <v>46317</v>
      </c>
      <c r="H737" s="25">
        <v>0</v>
      </c>
      <c r="I737" s="28">
        <v>46316</v>
      </c>
      <c r="J737" t="s">
        <v>471</v>
      </c>
      <c r="K737" t="s">
        <v>472</v>
      </c>
    </row>
    <row r="738" spans="1:11" hidden="1">
      <c r="A738" s="28">
        <v>46316</v>
      </c>
      <c r="B738" t="s">
        <v>185</v>
      </c>
      <c r="C738" t="s">
        <v>202</v>
      </c>
      <c r="D738" t="s">
        <v>217</v>
      </c>
      <c r="E738">
        <f>IF(LEFT(D738,6)="CLIENT",IFERROR(VLOOKUP(C738,Config_Carteiras!$A:$B,2,FALSE),1),"")</f>
        <v>1</v>
      </c>
      <c r="F738" s="25">
        <v>659.74</v>
      </c>
      <c r="G738" s="28">
        <f>IF(LEFT(D738,6)="CLIENT",IF(E738=0,WORKDAY(A738-1,1,Dias_Sem_Compensacao!$A$2:$A$500),WORKDAY(A738,E738,Dias_Sem_Compensacao!$A$2:$A$500)),"")</f>
        <v>46317</v>
      </c>
      <c r="H738" s="25">
        <v>0</v>
      </c>
      <c r="I738" s="28">
        <v>46316</v>
      </c>
      <c r="J738" t="s">
        <v>475</v>
      </c>
      <c r="K738" t="s">
        <v>476</v>
      </c>
    </row>
    <row r="739" spans="1:11" hidden="1">
      <c r="A739" s="28">
        <v>46317</v>
      </c>
      <c r="B739" t="s">
        <v>185</v>
      </c>
      <c r="C739" t="s">
        <v>202</v>
      </c>
      <c r="D739" t="s">
        <v>217</v>
      </c>
      <c r="E739">
        <f>IF(LEFT(D739,6)="CLIENT",IFERROR(VLOOKUP(C739,Config_Carteiras!$A:$B,2,FALSE),1),"")</f>
        <v>1</v>
      </c>
      <c r="F739" s="25">
        <v>809</v>
      </c>
      <c r="G739" s="28">
        <f>IF(LEFT(D739,6)="CLIENT",IF(E739=0,WORKDAY(A739-1,1,Dias_Sem_Compensacao!$A$2:$A$500),WORKDAY(A739,E739,Dias_Sem_Compensacao!$A$2:$A$500)),"")</f>
        <v>46318</v>
      </c>
      <c r="H739" s="25">
        <v>0</v>
      </c>
      <c r="I739" s="28">
        <v>46317</v>
      </c>
      <c r="J739" t="s">
        <v>760</v>
      </c>
      <c r="K739" t="s">
        <v>761</v>
      </c>
    </row>
    <row r="740" spans="1:11" hidden="1">
      <c r="A740" s="28">
        <v>46317</v>
      </c>
      <c r="B740" t="s">
        <v>185</v>
      </c>
      <c r="C740" t="s">
        <v>202</v>
      </c>
      <c r="D740" t="s">
        <v>217</v>
      </c>
      <c r="E740">
        <f>IF(LEFT(D740,6)="CLIENT",IFERROR(VLOOKUP(C740,Config_Carteiras!$A:$B,2,FALSE),1),"")</f>
        <v>1</v>
      </c>
      <c r="F740" s="25">
        <v>418</v>
      </c>
      <c r="G740" s="28">
        <f>IF(LEFT(D740,6)="CLIENT",IF(E740=0,WORKDAY(A740-1,1,Dias_Sem_Compensacao!$A$2:$A$500),WORKDAY(A740,E740,Dias_Sem_Compensacao!$A$2:$A$500)),"")</f>
        <v>46318</v>
      </c>
      <c r="H740" s="25">
        <v>0</v>
      </c>
      <c r="I740" s="28">
        <v>46317</v>
      </c>
      <c r="J740" t="s">
        <v>928</v>
      </c>
      <c r="K740" t="s">
        <v>990</v>
      </c>
    </row>
    <row r="741" spans="1:11" hidden="1">
      <c r="A741" s="28">
        <v>46317</v>
      </c>
      <c r="B741" t="s">
        <v>185</v>
      </c>
      <c r="C741" t="s">
        <v>202</v>
      </c>
      <c r="D741" t="s">
        <v>217</v>
      </c>
      <c r="E741">
        <f>IF(LEFT(D741,6)="CLIENT",IFERROR(VLOOKUP(C741,Config_Carteiras!$A:$B,2,FALSE),1),"")</f>
        <v>1</v>
      </c>
      <c r="F741" s="25">
        <v>514</v>
      </c>
      <c r="G741" s="28">
        <f>IF(LEFT(D741,6)="CLIENT",IF(E741=0,WORKDAY(A741-1,1,Dias_Sem_Compensacao!$A$2:$A$500),WORKDAY(A741,E741,Dias_Sem_Compensacao!$A$2:$A$500)),"")</f>
        <v>46318</v>
      </c>
      <c r="H741" s="25">
        <v>0</v>
      </c>
      <c r="I741" s="28">
        <v>46317</v>
      </c>
      <c r="K741" t="s">
        <v>929</v>
      </c>
    </row>
    <row r="742" spans="1:11" hidden="1">
      <c r="A742" s="28">
        <v>46317</v>
      </c>
      <c r="B742" t="s">
        <v>185</v>
      </c>
      <c r="C742" t="s">
        <v>202</v>
      </c>
      <c r="D742" t="s">
        <v>217</v>
      </c>
      <c r="E742">
        <f>IF(LEFT(D742,6)="CLIENT",IFERROR(VLOOKUP(C742,Config_Carteiras!$A:$B,2,FALSE),1),"")</f>
        <v>1</v>
      </c>
      <c r="F742" s="25">
        <v>2184.35</v>
      </c>
      <c r="G742" s="28">
        <f>IF(LEFT(D742,6)="CLIENT",IF(E742=0,WORKDAY(A742-1,1,Dias_Sem_Compensacao!$A$2:$A$500),WORKDAY(A742,E742,Dias_Sem_Compensacao!$A$2:$A$500)),"")</f>
        <v>46318</v>
      </c>
      <c r="H742" s="25">
        <v>0</v>
      </c>
      <c r="I742" s="28">
        <v>46317</v>
      </c>
      <c r="J742" t="s">
        <v>762</v>
      </c>
      <c r="K742" t="s">
        <v>763</v>
      </c>
    </row>
    <row r="743" spans="1:11" hidden="1">
      <c r="A743" s="28">
        <v>46317</v>
      </c>
      <c r="B743" t="s">
        <v>185</v>
      </c>
      <c r="C743" t="s">
        <v>202</v>
      </c>
      <c r="D743" t="s">
        <v>217</v>
      </c>
      <c r="E743">
        <f>IF(LEFT(D743,6)="CLIENT",IFERROR(VLOOKUP(C743,Config_Carteiras!$A:$B,2,FALSE),1),"")</f>
        <v>1</v>
      </c>
      <c r="F743" s="25">
        <v>499.5</v>
      </c>
      <c r="G743" s="28">
        <f>IF(LEFT(D743,6)="CLIENT",IF(E743=0,WORKDAY(A743-1,1,Dias_Sem_Compensacao!$A$2:$A$500),WORKDAY(A743,E743,Dias_Sem_Compensacao!$A$2:$A$500)),"")</f>
        <v>46318</v>
      </c>
      <c r="H743" s="25">
        <v>0</v>
      </c>
      <c r="I743" s="28">
        <v>46317</v>
      </c>
      <c r="J743" t="s">
        <v>930</v>
      </c>
      <c r="K743" t="s">
        <v>931</v>
      </c>
    </row>
    <row r="744" spans="1:11" hidden="1">
      <c r="A744" s="28">
        <v>46317</v>
      </c>
      <c r="B744" t="s">
        <v>185</v>
      </c>
      <c r="C744" t="s">
        <v>202</v>
      </c>
      <c r="D744" t="s">
        <v>217</v>
      </c>
      <c r="E744">
        <f>IF(LEFT(D744,6)="CLIENT",IFERROR(VLOOKUP(C744,Config_Carteiras!$A:$B,2,FALSE),1),"")</f>
        <v>1</v>
      </c>
      <c r="F744" s="25">
        <v>487</v>
      </c>
      <c r="G744" s="28">
        <f>IF(LEFT(D744,6)="CLIENT",IF(E744=0,WORKDAY(A744-1,1,Dias_Sem_Compensacao!$A$2:$A$500),WORKDAY(A744,E744,Dias_Sem_Compensacao!$A$2:$A$500)),"")</f>
        <v>46318</v>
      </c>
      <c r="H744" s="25">
        <v>0</v>
      </c>
      <c r="I744" s="28">
        <v>46317</v>
      </c>
      <c r="J744" t="s">
        <v>932</v>
      </c>
      <c r="K744" t="s">
        <v>933</v>
      </c>
    </row>
    <row r="745" spans="1:11" hidden="1">
      <c r="A745" s="28">
        <v>46317</v>
      </c>
      <c r="B745" t="s">
        <v>185</v>
      </c>
      <c r="C745" t="s">
        <v>202</v>
      </c>
      <c r="D745" t="s">
        <v>217</v>
      </c>
      <c r="E745">
        <f>IF(LEFT(D745,6)="CLIENT",IFERROR(VLOOKUP(C745,Config_Carteiras!$A:$B,2,FALSE),1),"")</f>
        <v>1</v>
      </c>
      <c r="F745" s="25">
        <v>2511</v>
      </c>
      <c r="G745" s="28">
        <f>IF(LEFT(D745,6)="CLIENT",IF(E745=0,WORKDAY(A745-1,1,Dias_Sem_Compensacao!$A$2:$A$500),WORKDAY(A745,E745,Dias_Sem_Compensacao!$A$2:$A$500)),"")</f>
        <v>46318</v>
      </c>
      <c r="H745" s="25">
        <v>0</v>
      </c>
      <c r="I745" s="28">
        <v>46317</v>
      </c>
      <c r="J745" t="s">
        <v>489</v>
      </c>
      <c r="K745" t="s">
        <v>490</v>
      </c>
    </row>
    <row r="746" spans="1:11" hidden="1">
      <c r="A746" s="28">
        <v>46317</v>
      </c>
      <c r="B746" t="s">
        <v>185</v>
      </c>
      <c r="C746" t="s">
        <v>202</v>
      </c>
      <c r="D746" t="s">
        <v>217</v>
      </c>
      <c r="E746">
        <f>IF(LEFT(D746,6)="CLIENT",IFERROR(VLOOKUP(C746,Config_Carteiras!$A:$B,2,FALSE),1),"")</f>
        <v>1</v>
      </c>
      <c r="F746" s="25">
        <v>193.2</v>
      </c>
      <c r="G746" s="28">
        <f>IF(LEFT(D746,6)="CLIENT",IF(E746=0,WORKDAY(A746-1,1,Dias_Sem_Compensacao!$A$2:$A$500),WORKDAY(A746,E746,Dias_Sem_Compensacao!$A$2:$A$500)),"")</f>
        <v>46318</v>
      </c>
      <c r="H746" s="25">
        <v>0</v>
      </c>
      <c r="I746" s="28">
        <v>46317</v>
      </c>
      <c r="J746" t="s">
        <v>991</v>
      </c>
      <c r="K746" t="s">
        <v>992</v>
      </c>
    </row>
    <row r="747" spans="1:11" hidden="1">
      <c r="A747" s="28">
        <v>46317</v>
      </c>
      <c r="B747" t="s">
        <v>185</v>
      </c>
      <c r="C747" t="s">
        <v>202</v>
      </c>
      <c r="D747" t="s">
        <v>217</v>
      </c>
      <c r="E747">
        <f>IF(LEFT(D747,6)="CLIENT",IFERROR(VLOOKUP(C747,Config_Carteiras!$A:$B,2,FALSE),1),"")</f>
        <v>1</v>
      </c>
      <c r="F747" s="25">
        <v>763.6</v>
      </c>
      <c r="G747" s="28">
        <f>IF(LEFT(D747,6)="CLIENT",IF(E747=0,WORKDAY(A747-1,1,Dias_Sem_Compensacao!$A$2:$A$500),WORKDAY(A747,E747,Dias_Sem_Compensacao!$A$2:$A$500)),"")</f>
        <v>46318</v>
      </c>
      <c r="H747" s="25">
        <v>0</v>
      </c>
      <c r="I747" s="28">
        <v>46317</v>
      </c>
      <c r="J747" t="s">
        <v>993</v>
      </c>
      <c r="K747" t="s">
        <v>994</v>
      </c>
    </row>
    <row r="748" spans="1:11" hidden="1">
      <c r="A748" s="28">
        <v>46317</v>
      </c>
      <c r="B748" t="s">
        <v>185</v>
      </c>
      <c r="C748" t="s">
        <v>202</v>
      </c>
      <c r="D748" t="s">
        <v>217</v>
      </c>
      <c r="E748">
        <f>IF(LEFT(D748,6)="CLIENT",IFERROR(VLOOKUP(C748,Config_Carteiras!$A:$B,2,FALSE),1),"")</f>
        <v>1</v>
      </c>
      <c r="F748" s="25">
        <v>559.79999999999995</v>
      </c>
      <c r="G748" s="28">
        <f>IF(LEFT(D748,6)="CLIENT",IF(E748=0,WORKDAY(A748-1,1,Dias_Sem_Compensacao!$A$2:$A$500),WORKDAY(A748,E748,Dias_Sem_Compensacao!$A$2:$A$500)),"")</f>
        <v>46318</v>
      </c>
      <c r="H748" s="25">
        <v>0</v>
      </c>
      <c r="I748" s="28">
        <v>46317</v>
      </c>
      <c r="J748" t="s">
        <v>995</v>
      </c>
      <c r="K748" t="s">
        <v>996</v>
      </c>
    </row>
    <row r="749" spans="1:11" hidden="1">
      <c r="A749" s="28">
        <v>46317</v>
      </c>
      <c r="B749" t="s">
        <v>185</v>
      </c>
      <c r="C749" t="s">
        <v>202</v>
      </c>
      <c r="D749" t="s">
        <v>217</v>
      </c>
      <c r="E749">
        <f>IF(LEFT(D749,6)="CLIENT",IFERROR(VLOOKUP(C749,Config_Carteiras!$A:$B,2,FALSE),1),"")</f>
        <v>1</v>
      </c>
      <c r="F749" s="25">
        <v>4993</v>
      </c>
      <c r="G749" s="28">
        <f>IF(LEFT(D749,6)="CLIENT",IF(E749=0,WORKDAY(A749-1,1,Dias_Sem_Compensacao!$A$2:$A$500),WORKDAY(A749,E749,Dias_Sem_Compensacao!$A$2:$A$500)),"")</f>
        <v>46318</v>
      </c>
      <c r="H749" s="25">
        <v>0</v>
      </c>
      <c r="I749" s="28">
        <v>46317</v>
      </c>
      <c r="J749" t="s">
        <v>665</v>
      </c>
      <c r="K749" t="s">
        <v>934</v>
      </c>
    </row>
    <row r="750" spans="1:11" hidden="1">
      <c r="A750" s="28">
        <v>46317</v>
      </c>
      <c r="B750" t="s">
        <v>185</v>
      </c>
      <c r="C750" t="s">
        <v>202</v>
      </c>
      <c r="D750" t="s">
        <v>217</v>
      </c>
      <c r="E750">
        <f>IF(LEFT(D750,6)="CLIENT",IFERROR(VLOOKUP(C750,Config_Carteiras!$A:$B,2,FALSE),1),"")</f>
        <v>1</v>
      </c>
      <c r="F750" s="25">
        <v>404</v>
      </c>
      <c r="G750" s="28">
        <f>IF(LEFT(D750,6)="CLIENT",IF(E750=0,WORKDAY(A750-1,1,Dias_Sem_Compensacao!$A$2:$A$500),WORKDAY(A750,E750,Dias_Sem_Compensacao!$A$2:$A$500)),"")</f>
        <v>46318</v>
      </c>
      <c r="H750" s="25">
        <v>0</v>
      </c>
      <c r="I750" s="28">
        <v>46317</v>
      </c>
      <c r="J750" t="s">
        <v>935</v>
      </c>
      <c r="K750" t="s">
        <v>936</v>
      </c>
    </row>
    <row r="751" spans="1:11" hidden="1">
      <c r="A751" s="28">
        <v>46317</v>
      </c>
      <c r="B751" t="s">
        <v>185</v>
      </c>
      <c r="C751" t="s">
        <v>202</v>
      </c>
      <c r="D751" t="s">
        <v>217</v>
      </c>
      <c r="E751">
        <f>IF(LEFT(D751,6)="CLIENT",IFERROR(VLOOKUP(C751,Config_Carteiras!$A:$B,2,FALSE),1),"")</f>
        <v>1</v>
      </c>
      <c r="F751" s="25">
        <v>660</v>
      </c>
      <c r="G751" s="28">
        <f>IF(LEFT(D751,6)="CLIENT",IF(E751=0,WORKDAY(A751-1,1,Dias_Sem_Compensacao!$A$2:$A$500),WORKDAY(A751,E751,Dias_Sem_Compensacao!$A$2:$A$500)),"")</f>
        <v>46318</v>
      </c>
      <c r="H751" s="25">
        <v>0</v>
      </c>
      <c r="I751" s="28">
        <v>46317</v>
      </c>
      <c r="J751" t="s">
        <v>513</v>
      </c>
      <c r="K751" t="s">
        <v>514</v>
      </c>
    </row>
    <row r="752" spans="1:11" hidden="1">
      <c r="A752" s="28">
        <v>46317</v>
      </c>
      <c r="B752" t="s">
        <v>185</v>
      </c>
      <c r="C752" t="s">
        <v>202</v>
      </c>
      <c r="D752" t="s">
        <v>217</v>
      </c>
      <c r="E752">
        <f>IF(LEFT(D752,6)="CLIENT",IFERROR(VLOOKUP(C752,Config_Carteiras!$A:$B,2,FALSE),1),"")</f>
        <v>1</v>
      </c>
      <c r="F752" s="25">
        <v>1032.05</v>
      </c>
      <c r="G752" s="28">
        <f>IF(LEFT(D752,6)="CLIENT",IF(E752=0,WORKDAY(A752-1,1,Dias_Sem_Compensacao!$A$2:$A$500),WORKDAY(A752,E752,Dias_Sem_Compensacao!$A$2:$A$500)),"")</f>
        <v>46318</v>
      </c>
      <c r="H752" s="25">
        <v>0</v>
      </c>
      <c r="I752" s="28">
        <v>46317</v>
      </c>
      <c r="J752" t="s">
        <v>521</v>
      </c>
      <c r="K752" t="s">
        <v>522</v>
      </c>
    </row>
    <row r="753" spans="1:11" hidden="1">
      <c r="A753" s="28">
        <v>46317</v>
      </c>
      <c r="B753" t="s">
        <v>185</v>
      </c>
      <c r="C753" t="s">
        <v>202</v>
      </c>
      <c r="D753" t="s">
        <v>217</v>
      </c>
      <c r="E753">
        <f>IF(LEFT(D753,6)="CLIENT",IFERROR(VLOOKUP(C753,Config_Carteiras!$A:$B,2,FALSE),1),"")</f>
        <v>1</v>
      </c>
      <c r="F753" s="25">
        <v>1260</v>
      </c>
      <c r="G753" s="28">
        <f>IF(LEFT(D753,6)="CLIENT",IF(E753=0,WORKDAY(A753-1,1,Dias_Sem_Compensacao!$A$2:$A$500),WORKDAY(A753,E753,Dias_Sem_Compensacao!$A$2:$A$500)),"")</f>
        <v>46318</v>
      </c>
      <c r="H753" s="25">
        <v>0</v>
      </c>
      <c r="I753" s="28">
        <v>46317</v>
      </c>
      <c r="J753" t="s">
        <v>527</v>
      </c>
      <c r="K753" t="s">
        <v>528</v>
      </c>
    </row>
    <row r="754" spans="1:11" hidden="1">
      <c r="A754" s="28">
        <v>46317</v>
      </c>
      <c r="B754" t="s">
        <v>185</v>
      </c>
      <c r="C754" t="s">
        <v>202</v>
      </c>
      <c r="D754" t="s">
        <v>217</v>
      </c>
      <c r="E754">
        <f>IF(LEFT(D754,6)="CLIENT",IFERROR(VLOOKUP(C754,Config_Carteiras!$A:$B,2,FALSE),1),"")</f>
        <v>1</v>
      </c>
      <c r="F754" s="25">
        <v>752.2</v>
      </c>
      <c r="G754" s="28">
        <f>IF(LEFT(D754,6)="CLIENT",IF(E754=0,WORKDAY(A754-1,1,Dias_Sem_Compensacao!$A$2:$A$500),WORKDAY(A754,E754,Dias_Sem_Compensacao!$A$2:$A$500)),"")</f>
        <v>46318</v>
      </c>
      <c r="H754" s="25">
        <v>0</v>
      </c>
      <c r="I754" s="28">
        <v>46317</v>
      </c>
      <c r="J754" t="s">
        <v>780</v>
      </c>
      <c r="K754" t="s">
        <v>781</v>
      </c>
    </row>
    <row r="755" spans="1:11" hidden="1">
      <c r="A755" s="28">
        <v>46317</v>
      </c>
      <c r="B755" t="s">
        <v>185</v>
      </c>
      <c r="C755" t="s">
        <v>202</v>
      </c>
      <c r="D755" t="s">
        <v>217</v>
      </c>
      <c r="E755">
        <f>IF(LEFT(D755,6)="CLIENT",IFERROR(VLOOKUP(C755,Config_Carteiras!$A:$B,2,FALSE),1),"")</f>
        <v>1</v>
      </c>
      <c r="F755" s="25">
        <v>1975.99</v>
      </c>
      <c r="G755" s="28">
        <f>IF(LEFT(D755,6)="CLIENT",IF(E755=0,WORKDAY(A755-1,1,Dias_Sem_Compensacao!$A$2:$A$500),WORKDAY(A755,E755,Dias_Sem_Compensacao!$A$2:$A$500)),"")</f>
        <v>46318</v>
      </c>
      <c r="H755" s="25">
        <v>0</v>
      </c>
      <c r="I755" s="28">
        <v>46317</v>
      </c>
      <c r="J755" t="s">
        <v>537</v>
      </c>
      <c r="K755" t="s">
        <v>538</v>
      </c>
    </row>
    <row r="756" spans="1:11" hidden="1">
      <c r="A756" s="28">
        <v>46318</v>
      </c>
      <c r="B756" t="s">
        <v>185</v>
      </c>
      <c r="C756" t="s">
        <v>202</v>
      </c>
      <c r="D756" t="s">
        <v>217</v>
      </c>
      <c r="E756">
        <f>IF(LEFT(D756,6)="CLIENT",IFERROR(VLOOKUP(C756,Config_Carteiras!$A:$B,2,FALSE),1),"")</f>
        <v>1</v>
      </c>
      <c r="F756" s="25">
        <v>14560</v>
      </c>
      <c r="G756" s="28">
        <f>IF(LEFT(D756,6)="CLIENT",IF(E756=0,WORKDAY(A756-1,1,Dias_Sem_Compensacao!$A$2:$A$500),WORKDAY(A756,E756,Dias_Sem_Compensacao!$A$2:$A$500)),"")</f>
        <v>46321</v>
      </c>
      <c r="H756" s="25">
        <v>0</v>
      </c>
      <c r="I756" s="28">
        <v>46318</v>
      </c>
      <c r="J756" t="s">
        <v>939</v>
      </c>
      <c r="K756" t="s">
        <v>940</v>
      </c>
    </row>
    <row r="757" spans="1:11" hidden="1">
      <c r="A757" s="28">
        <v>46318</v>
      </c>
      <c r="B757" t="s">
        <v>185</v>
      </c>
      <c r="C757" t="s">
        <v>202</v>
      </c>
      <c r="D757" t="s">
        <v>217</v>
      </c>
      <c r="E757">
        <f>IF(LEFT(D757,6)="CLIENT",IFERROR(VLOOKUP(C757,Config_Carteiras!$A:$B,2,FALSE),1),"")</f>
        <v>1</v>
      </c>
      <c r="F757" s="25">
        <v>284.14</v>
      </c>
      <c r="G757" s="28">
        <f>IF(LEFT(D757,6)="CLIENT",IF(E757=0,WORKDAY(A757-1,1,Dias_Sem_Compensacao!$A$2:$A$500),WORKDAY(A757,E757,Dias_Sem_Compensacao!$A$2:$A$500)),"")</f>
        <v>46321</v>
      </c>
      <c r="H757" s="25">
        <v>0</v>
      </c>
      <c r="I757" s="28">
        <v>46318</v>
      </c>
      <c r="J757" t="s">
        <v>399</v>
      </c>
      <c r="K757" t="s">
        <v>547</v>
      </c>
    </row>
    <row r="758" spans="1:11" hidden="1">
      <c r="A758" s="28">
        <v>46318</v>
      </c>
      <c r="B758" t="s">
        <v>185</v>
      </c>
      <c r="C758" t="s">
        <v>202</v>
      </c>
      <c r="D758" t="s">
        <v>217</v>
      </c>
      <c r="E758">
        <f>IF(LEFT(D758,6)="CLIENT",IFERROR(VLOOKUP(C758,Config_Carteiras!$A:$B,2,FALSE),1),"")</f>
        <v>1</v>
      </c>
      <c r="F758" s="25">
        <v>7234</v>
      </c>
      <c r="G758" s="28">
        <f>IF(LEFT(D758,6)="CLIENT",IF(E758=0,WORKDAY(A758-1,1,Dias_Sem_Compensacao!$A$2:$A$500),WORKDAY(A758,E758,Dias_Sem_Compensacao!$A$2:$A$500)),"")</f>
        <v>46321</v>
      </c>
      <c r="H758" s="25">
        <v>0</v>
      </c>
      <c r="I758" s="28">
        <v>46318</v>
      </c>
      <c r="J758" t="s">
        <v>782</v>
      </c>
      <c r="K758" t="s">
        <v>783</v>
      </c>
    </row>
    <row r="759" spans="1:11" hidden="1">
      <c r="A759" s="28">
        <v>46318</v>
      </c>
      <c r="B759" t="s">
        <v>185</v>
      </c>
      <c r="C759" t="s">
        <v>202</v>
      </c>
      <c r="D759" t="s">
        <v>217</v>
      </c>
      <c r="E759">
        <f>IF(LEFT(D759,6)="CLIENT",IFERROR(VLOOKUP(C759,Config_Carteiras!$A:$B,2,FALSE),1),"")</f>
        <v>1</v>
      </c>
      <c r="F759" s="25">
        <v>876.5</v>
      </c>
      <c r="G759" s="28">
        <f>IF(LEFT(D759,6)="CLIENT",IF(E759=0,WORKDAY(A759-1,1,Dias_Sem_Compensacao!$A$2:$A$500),WORKDAY(A759,E759,Dias_Sem_Compensacao!$A$2:$A$500)),"")</f>
        <v>46321</v>
      </c>
      <c r="H759" s="25">
        <v>0</v>
      </c>
      <c r="I759" s="28">
        <v>46318</v>
      </c>
      <c r="J759" t="s">
        <v>918</v>
      </c>
      <c r="K759" t="s">
        <v>997</v>
      </c>
    </row>
    <row r="760" spans="1:11" hidden="1">
      <c r="A760" s="28">
        <v>46318</v>
      </c>
      <c r="B760" t="s">
        <v>185</v>
      </c>
      <c r="C760" t="s">
        <v>202</v>
      </c>
      <c r="D760" t="s">
        <v>217</v>
      </c>
      <c r="E760">
        <f>IF(LEFT(D760,6)="CLIENT",IFERROR(VLOOKUP(C760,Config_Carteiras!$A:$B,2,FALSE),1),"")</f>
        <v>1</v>
      </c>
      <c r="F760" s="25">
        <v>506.5</v>
      </c>
      <c r="G760" s="28">
        <f>IF(LEFT(D760,6)="CLIENT",IF(E760=0,WORKDAY(A760-1,1,Dias_Sem_Compensacao!$A$2:$A$500),WORKDAY(A760,E760,Dias_Sem_Compensacao!$A$2:$A$500)),"")</f>
        <v>46321</v>
      </c>
      <c r="H760" s="25">
        <v>0</v>
      </c>
      <c r="I760" s="28">
        <v>46318</v>
      </c>
      <c r="K760" t="s">
        <v>998</v>
      </c>
    </row>
    <row r="761" spans="1:11" hidden="1">
      <c r="A761" s="28">
        <v>46318</v>
      </c>
      <c r="B761" t="s">
        <v>185</v>
      </c>
      <c r="C761" t="s">
        <v>202</v>
      </c>
      <c r="D761" t="s">
        <v>217</v>
      </c>
      <c r="E761">
        <f>IF(LEFT(D761,6)="CLIENT",IFERROR(VLOOKUP(C761,Config_Carteiras!$A:$B,2,FALSE),1),"")</f>
        <v>1</v>
      </c>
      <c r="F761" s="25">
        <v>276</v>
      </c>
      <c r="G761" s="28">
        <f>IF(LEFT(D761,6)="CLIENT",IF(E761=0,WORKDAY(A761-1,1,Dias_Sem_Compensacao!$A$2:$A$500),WORKDAY(A761,E761,Dias_Sem_Compensacao!$A$2:$A$500)),"")</f>
        <v>46321</v>
      </c>
      <c r="H761" s="25">
        <v>0</v>
      </c>
      <c r="I761" s="28">
        <v>46318</v>
      </c>
      <c r="J761" t="s">
        <v>999</v>
      </c>
      <c r="K761" t="s">
        <v>1000</v>
      </c>
    </row>
    <row r="762" spans="1:11" hidden="1">
      <c r="A762" s="28">
        <v>46318</v>
      </c>
      <c r="B762" t="s">
        <v>185</v>
      </c>
      <c r="C762" t="s">
        <v>202</v>
      </c>
      <c r="D762" t="s">
        <v>217</v>
      </c>
      <c r="E762">
        <f>IF(LEFT(D762,6)="CLIENT",IFERROR(VLOOKUP(C762,Config_Carteiras!$A:$B,2,FALSE),1),"")</f>
        <v>1</v>
      </c>
      <c r="F762" s="25">
        <v>360</v>
      </c>
      <c r="G762" s="28">
        <f>IF(LEFT(D762,6)="CLIENT",IF(E762=0,WORKDAY(A762-1,1,Dias_Sem_Compensacao!$A$2:$A$500),WORKDAY(A762,E762,Dias_Sem_Compensacao!$A$2:$A$500)),"")</f>
        <v>46321</v>
      </c>
      <c r="H762" s="25">
        <v>0</v>
      </c>
      <c r="I762" s="28">
        <v>46318</v>
      </c>
      <c r="J762" t="s">
        <v>354</v>
      </c>
      <c r="K762" t="s">
        <v>945</v>
      </c>
    </row>
    <row r="763" spans="1:11" hidden="1">
      <c r="A763" s="28">
        <v>46321</v>
      </c>
      <c r="B763" t="s">
        <v>185</v>
      </c>
      <c r="C763" t="s">
        <v>202</v>
      </c>
      <c r="D763" t="s">
        <v>217</v>
      </c>
      <c r="E763">
        <f>IF(LEFT(D763,6)="CLIENT",IFERROR(VLOOKUP(C763,Config_Carteiras!$A:$B,2,FALSE),1),"")</f>
        <v>1</v>
      </c>
      <c r="F763" s="25">
        <v>13747.8</v>
      </c>
      <c r="G763" s="28">
        <f>IF(LEFT(D763,6)="CLIENT",IF(E763=0,WORKDAY(A763-1,1,Dias_Sem_Compensacao!$A$2:$A$500),WORKDAY(A763,E763,Dias_Sem_Compensacao!$A$2:$A$500)),"")</f>
        <v>46322</v>
      </c>
      <c r="H763" s="25">
        <v>0</v>
      </c>
      <c r="I763" s="28">
        <v>46321</v>
      </c>
      <c r="J763" t="s">
        <v>937</v>
      </c>
      <c r="K763" t="s">
        <v>1001</v>
      </c>
    </row>
    <row r="764" spans="1:11" hidden="1">
      <c r="A764" s="28">
        <v>46321</v>
      </c>
      <c r="B764" t="s">
        <v>185</v>
      </c>
      <c r="C764" t="s">
        <v>202</v>
      </c>
      <c r="D764" t="s">
        <v>217</v>
      </c>
      <c r="E764">
        <f>IF(LEFT(D764,6)="CLIENT",IFERROR(VLOOKUP(C764,Config_Carteiras!$A:$B,2,FALSE),1),"")</f>
        <v>1</v>
      </c>
      <c r="F764" s="25">
        <v>1267</v>
      </c>
      <c r="G764" s="28">
        <f>IF(LEFT(D764,6)="CLIENT",IF(E764=0,WORKDAY(A764-1,1,Dias_Sem_Compensacao!$A$2:$A$500),WORKDAY(A764,E764,Dias_Sem_Compensacao!$A$2:$A$500)),"")</f>
        <v>46322</v>
      </c>
      <c r="H764" s="25">
        <v>0</v>
      </c>
      <c r="I764" s="28">
        <v>46321</v>
      </c>
      <c r="J764" t="s">
        <v>261</v>
      </c>
      <c r="K764" t="s">
        <v>948</v>
      </c>
    </row>
    <row r="765" spans="1:11" hidden="1">
      <c r="A765" s="28">
        <v>46321</v>
      </c>
      <c r="B765" t="s">
        <v>185</v>
      </c>
      <c r="C765" t="s">
        <v>202</v>
      </c>
      <c r="D765" t="s">
        <v>217</v>
      </c>
      <c r="E765">
        <f>IF(LEFT(D765,6)="CLIENT",IFERROR(VLOOKUP(C765,Config_Carteiras!$A:$B,2,FALSE),1),"")</f>
        <v>1</v>
      </c>
      <c r="F765" s="25">
        <v>609</v>
      </c>
      <c r="G765" s="28">
        <f>IF(LEFT(D765,6)="CLIENT",IF(E765=0,WORKDAY(A765-1,1,Dias_Sem_Compensacao!$A$2:$A$500),WORKDAY(A765,E765,Dias_Sem_Compensacao!$A$2:$A$500)),"")</f>
        <v>46322</v>
      </c>
      <c r="H765" s="25">
        <v>0</v>
      </c>
      <c r="I765" s="28">
        <v>46321</v>
      </c>
      <c r="J765" t="s">
        <v>794</v>
      </c>
      <c r="K765" t="s">
        <v>795</v>
      </c>
    </row>
    <row r="766" spans="1:11" hidden="1">
      <c r="A766" s="28">
        <v>46321</v>
      </c>
      <c r="B766" t="s">
        <v>185</v>
      </c>
      <c r="C766" t="s">
        <v>202</v>
      </c>
      <c r="D766" t="s">
        <v>217</v>
      </c>
      <c r="E766">
        <f>IF(LEFT(D766,6)="CLIENT",IFERROR(VLOOKUP(C766,Config_Carteiras!$A:$B,2,FALSE),1),"")</f>
        <v>1</v>
      </c>
      <c r="F766" s="25">
        <v>351.4</v>
      </c>
      <c r="G766" s="28">
        <f>IF(LEFT(D766,6)="CLIENT",IF(E766=0,WORKDAY(A766-1,1,Dias_Sem_Compensacao!$A$2:$A$500),WORKDAY(A766,E766,Dias_Sem_Compensacao!$A$2:$A$500)),"")</f>
        <v>46322</v>
      </c>
      <c r="H766" s="25">
        <v>0</v>
      </c>
      <c r="I766" s="28">
        <v>46321</v>
      </c>
      <c r="J766" t="s">
        <v>237</v>
      </c>
      <c r="K766" t="s">
        <v>238</v>
      </c>
    </row>
    <row r="767" spans="1:11" hidden="1">
      <c r="A767" s="28">
        <v>46321</v>
      </c>
      <c r="B767" t="s">
        <v>185</v>
      </c>
      <c r="C767" t="s">
        <v>202</v>
      </c>
      <c r="D767" t="s">
        <v>217</v>
      </c>
      <c r="E767">
        <f>IF(LEFT(D767,6)="CLIENT",IFERROR(VLOOKUP(C767,Config_Carteiras!$A:$B,2,FALSE),1),"")</f>
        <v>1</v>
      </c>
      <c r="F767" s="25">
        <v>13550</v>
      </c>
      <c r="G767" s="28">
        <f>IF(LEFT(D767,6)="CLIENT",IF(E767=0,WORKDAY(A767-1,1,Dias_Sem_Compensacao!$A$2:$A$500),WORKDAY(A767,E767,Dias_Sem_Compensacao!$A$2:$A$500)),"")</f>
        <v>46322</v>
      </c>
      <c r="H767" s="25">
        <v>0</v>
      </c>
      <c r="I767" s="28">
        <v>46321</v>
      </c>
      <c r="J767" t="s">
        <v>1002</v>
      </c>
      <c r="K767" t="s">
        <v>1003</v>
      </c>
    </row>
    <row r="768" spans="1:11" hidden="1">
      <c r="A768" s="28">
        <v>46321</v>
      </c>
      <c r="B768" t="s">
        <v>185</v>
      </c>
      <c r="C768" t="s">
        <v>202</v>
      </c>
      <c r="D768" t="s">
        <v>217</v>
      </c>
      <c r="E768">
        <f>IF(LEFT(D768,6)="CLIENT",IFERROR(VLOOKUP(C768,Config_Carteiras!$A:$B,2,FALSE),1),"")</f>
        <v>1</v>
      </c>
      <c r="F768" s="25">
        <v>1441.22</v>
      </c>
      <c r="G768" s="28">
        <f>IF(LEFT(D768,6)="CLIENT",IF(E768=0,WORKDAY(A768-1,1,Dias_Sem_Compensacao!$A$2:$A$500),WORKDAY(A768,E768,Dias_Sem_Compensacao!$A$2:$A$500)),"")</f>
        <v>46322</v>
      </c>
      <c r="H768" s="25">
        <v>0</v>
      </c>
      <c r="I768" s="28">
        <v>46321</v>
      </c>
      <c r="J768" t="s">
        <v>580</v>
      </c>
      <c r="K768" t="s">
        <v>581</v>
      </c>
    </row>
    <row r="769" spans="1:11" hidden="1">
      <c r="A769" s="28">
        <v>46321</v>
      </c>
      <c r="B769" t="s">
        <v>185</v>
      </c>
      <c r="C769" t="s">
        <v>202</v>
      </c>
      <c r="D769" t="s">
        <v>217</v>
      </c>
      <c r="E769">
        <f>IF(LEFT(D769,6)="CLIENT",IFERROR(VLOOKUP(C769,Config_Carteiras!$A:$B,2,FALSE),1),"")</f>
        <v>1</v>
      </c>
      <c r="F769" s="25">
        <v>1348</v>
      </c>
      <c r="G769" s="28">
        <f>IF(LEFT(D769,6)="CLIENT",IF(E769=0,WORKDAY(A769-1,1,Dias_Sem_Compensacao!$A$2:$A$500),WORKDAY(A769,E769,Dias_Sem_Compensacao!$A$2:$A$500)),"")</f>
        <v>46322</v>
      </c>
      <c r="H769" s="25">
        <v>0</v>
      </c>
      <c r="I769" s="28">
        <v>46321</v>
      </c>
      <c r="J769" t="s">
        <v>269</v>
      </c>
      <c r="K769" t="s">
        <v>949</v>
      </c>
    </row>
    <row r="770" spans="1:11" hidden="1">
      <c r="A770" s="28">
        <v>46321</v>
      </c>
      <c r="B770" t="s">
        <v>185</v>
      </c>
      <c r="C770" t="s">
        <v>202</v>
      </c>
      <c r="D770" t="s">
        <v>217</v>
      </c>
      <c r="E770">
        <f>IF(LEFT(D770,6)="CLIENT",IFERROR(VLOOKUP(C770,Config_Carteiras!$A:$B,2,FALSE),1),"")</f>
        <v>1</v>
      </c>
      <c r="F770" s="25">
        <v>2130</v>
      </c>
      <c r="G770" s="28">
        <f>IF(LEFT(D770,6)="CLIENT",IF(E770=0,WORKDAY(A770-1,1,Dias_Sem_Compensacao!$A$2:$A$500),WORKDAY(A770,E770,Dias_Sem_Compensacao!$A$2:$A$500)),"")</f>
        <v>46322</v>
      </c>
      <c r="H770" s="25">
        <v>0</v>
      </c>
      <c r="I770" s="28">
        <v>46321</v>
      </c>
      <c r="J770" t="s">
        <v>271</v>
      </c>
      <c r="K770" t="s">
        <v>808</v>
      </c>
    </row>
    <row r="771" spans="1:11" hidden="1">
      <c r="A771" s="28">
        <v>46321</v>
      </c>
      <c r="B771" t="s">
        <v>185</v>
      </c>
      <c r="C771" t="s">
        <v>202</v>
      </c>
      <c r="D771" t="s">
        <v>217</v>
      </c>
      <c r="E771">
        <f>IF(LEFT(D771,6)="CLIENT",IFERROR(VLOOKUP(C771,Config_Carteiras!$A:$B,2,FALSE),1),"")</f>
        <v>1</v>
      </c>
      <c r="F771" s="25">
        <v>496</v>
      </c>
      <c r="G771" s="28">
        <f>IF(LEFT(D771,6)="CLIENT",IF(E771=0,WORKDAY(A771-1,1,Dias_Sem_Compensacao!$A$2:$A$500),WORKDAY(A771,E771,Dias_Sem_Compensacao!$A$2:$A$500)),"")</f>
        <v>46322</v>
      </c>
      <c r="H771" s="25">
        <v>0</v>
      </c>
      <c r="I771" s="28">
        <v>46321</v>
      </c>
      <c r="J771" t="s">
        <v>811</v>
      </c>
      <c r="K771" t="s">
        <v>812</v>
      </c>
    </row>
    <row r="772" spans="1:11" hidden="1">
      <c r="A772" s="28">
        <v>46321</v>
      </c>
      <c r="B772" t="s">
        <v>185</v>
      </c>
      <c r="C772" t="s">
        <v>202</v>
      </c>
      <c r="D772" t="s">
        <v>217</v>
      </c>
      <c r="E772">
        <f>IF(LEFT(D772,6)="CLIENT",IFERROR(VLOOKUP(C772,Config_Carteiras!$A:$B,2,FALSE),1),"")</f>
        <v>1</v>
      </c>
      <c r="F772" s="25">
        <v>620.6</v>
      </c>
      <c r="G772" s="28">
        <f>IF(LEFT(D772,6)="CLIENT",IF(E772=0,WORKDAY(A772-1,1,Dias_Sem_Compensacao!$A$2:$A$500),WORKDAY(A772,E772,Dias_Sem_Compensacao!$A$2:$A$500)),"")</f>
        <v>46322</v>
      </c>
      <c r="H772" s="25">
        <v>0</v>
      </c>
      <c r="I772" s="28">
        <v>46321</v>
      </c>
      <c r="J772" t="s">
        <v>813</v>
      </c>
      <c r="K772" t="s">
        <v>814</v>
      </c>
    </row>
    <row r="773" spans="1:11" hidden="1">
      <c r="A773" s="28">
        <v>46321</v>
      </c>
      <c r="B773" t="s">
        <v>185</v>
      </c>
      <c r="C773" t="s">
        <v>202</v>
      </c>
      <c r="D773" t="s">
        <v>217</v>
      </c>
      <c r="E773">
        <f>IF(LEFT(D773,6)="CLIENT",IFERROR(VLOOKUP(C773,Config_Carteiras!$A:$B,2,FALSE),1),"")</f>
        <v>1</v>
      </c>
      <c r="F773" s="25">
        <v>379.5</v>
      </c>
      <c r="G773" s="28">
        <f>IF(LEFT(D773,6)="CLIENT",IF(E773=0,WORKDAY(A773-1,1,Dias_Sem_Compensacao!$A$2:$A$500),WORKDAY(A773,E773,Dias_Sem_Compensacao!$A$2:$A$500)),"")</f>
        <v>46322</v>
      </c>
      <c r="H773" s="25">
        <v>0</v>
      </c>
      <c r="I773" s="28">
        <v>46321</v>
      </c>
      <c r="J773" t="s">
        <v>1004</v>
      </c>
      <c r="K773" t="s">
        <v>1005</v>
      </c>
    </row>
    <row r="774" spans="1:11" hidden="1">
      <c r="A774" s="28">
        <v>46321</v>
      </c>
      <c r="B774" t="s">
        <v>185</v>
      </c>
      <c r="C774" t="s">
        <v>202</v>
      </c>
      <c r="D774" t="s">
        <v>217</v>
      </c>
      <c r="E774">
        <f>IF(LEFT(D774,6)="CLIENT",IFERROR(VLOOKUP(C774,Config_Carteiras!$A:$B,2,FALSE),1),"")</f>
        <v>1</v>
      </c>
      <c r="F774" s="25">
        <v>486</v>
      </c>
      <c r="G774" s="28">
        <f>IF(LEFT(D774,6)="CLIENT",IF(E774=0,WORKDAY(A774-1,1,Dias_Sem_Compensacao!$A$2:$A$500),WORKDAY(A774,E774,Dias_Sem_Compensacao!$A$2:$A$500)),"")</f>
        <v>46322</v>
      </c>
      <c r="H774" s="25">
        <v>0</v>
      </c>
      <c r="I774" s="28">
        <v>46321</v>
      </c>
      <c r="J774" t="s">
        <v>552</v>
      </c>
      <c r="K774" t="s">
        <v>830</v>
      </c>
    </row>
    <row r="775" spans="1:11" hidden="1">
      <c r="A775" s="28">
        <v>46321</v>
      </c>
      <c r="B775" t="s">
        <v>185</v>
      </c>
      <c r="C775" t="s">
        <v>202</v>
      </c>
      <c r="D775" t="s">
        <v>217</v>
      </c>
      <c r="E775">
        <f>IF(LEFT(D775,6)="CLIENT",IFERROR(VLOOKUP(C775,Config_Carteiras!$A:$B,2,FALSE),1),"")</f>
        <v>1</v>
      </c>
      <c r="F775" s="25">
        <v>365</v>
      </c>
      <c r="G775" s="28">
        <f>IF(LEFT(D775,6)="CLIENT",IF(E775=0,WORKDAY(A775-1,1,Dias_Sem_Compensacao!$A$2:$A$500),WORKDAY(A775,E775,Dias_Sem_Compensacao!$A$2:$A$500)),"")</f>
        <v>46322</v>
      </c>
      <c r="H775" s="25">
        <v>0</v>
      </c>
      <c r="I775" s="28">
        <v>46321</v>
      </c>
      <c r="J775" t="s">
        <v>950</v>
      </c>
      <c r="K775" t="s">
        <v>951</v>
      </c>
    </row>
    <row r="776" spans="1:11" hidden="1">
      <c r="A776" s="28">
        <v>46321</v>
      </c>
      <c r="B776" t="s">
        <v>185</v>
      </c>
      <c r="C776" t="s">
        <v>202</v>
      </c>
      <c r="D776" t="s">
        <v>217</v>
      </c>
      <c r="E776">
        <f>IF(LEFT(D776,6)="CLIENT",IFERROR(VLOOKUP(C776,Config_Carteiras!$A:$B,2,FALSE),1),"")</f>
        <v>1</v>
      </c>
      <c r="F776" s="25">
        <v>675</v>
      </c>
      <c r="G776" s="28">
        <f>IF(LEFT(D776,6)="CLIENT",IF(E776=0,WORKDAY(A776-1,1,Dias_Sem_Compensacao!$A$2:$A$500),WORKDAY(A776,E776,Dias_Sem_Compensacao!$A$2:$A$500)),"")</f>
        <v>46322</v>
      </c>
      <c r="H776" s="25">
        <v>0</v>
      </c>
      <c r="I776" s="28">
        <v>46321</v>
      </c>
      <c r="J776" t="s">
        <v>1006</v>
      </c>
      <c r="K776" t="s">
        <v>1007</v>
      </c>
    </row>
    <row r="777" spans="1:11" hidden="1">
      <c r="A777" s="28">
        <v>46321</v>
      </c>
      <c r="B777" t="s">
        <v>185</v>
      </c>
      <c r="C777" t="s">
        <v>202</v>
      </c>
      <c r="D777" t="s">
        <v>217</v>
      </c>
      <c r="E777">
        <f>IF(LEFT(D777,6)="CLIENT",IFERROR(VLOOKUP(C777,Config_Carteiras!$A:$B,2,FALSE),1),"")</f>
        <v>1</v>
      </c>
      <c r="F777" s="25">
        <v>667.58</v>
      </c>
      <c r="G777" s="28">
        <f>IF(LEFT(D777,6)="CLIENT",IF(E777=0,WORKDAY(A777-1,1,Dias_Sem_Compensacao!$A$2:$A$500),WORKDAY(A777,E777,Dias_Sem_Compensacao!$A$2:$A$500)),"")</f>
        <v>46322</v>
      </c>
      <c r="H777" s="25">
        <v>0</v>
      </c>
      <c r="I777" s="28">
        <v>46321</v>
      </c>
      <c r="J777" t="s">
        <v>615</v>
      </c>
      <c r="K777" t="s">
        <v>616</v>
      </c>
    </row>
    <row r="778" spans="1:11" hidden="1">
      <c r="A778" s="28">
        <v>46321</v>
      </c>
      <c r="B778" t="s">
        <v>185</v>
      </c>
      <c r="C778" t="s">
        <v>202</v>
      </c>
      <c r="D778" t="s">
        <v>217</v>
      </c>
      <c r="E778">
        <f>IF(LEFT(D778,6)="CLIENT",IFERROR(VLOOKUP(C778,Config_Carteiras!$A:$B,2,FALSE),1),"")</f>
        <v>1</v>
      </c>
      <c r="F778" s="25">
        <v>450</v>
      </c>
      <c r="G778" s="28">
        <f>IF(LEFT(D778,6)="CLIENT",IF(E778=0,WORKDAY(A778-1,1,Dias_Sem_Compensacao!$A$2:$A$500),WORKDAY(A778,E778,Dias_Sem_Compensacao!$A$2:$A$500)),"")</f>
        <v>46322</v>
      </c>
      <c r="H778" s="25">
        <v>0</v>
      </c>
      <c r="I778" s="28">
        <v>46321</v>
      </c>
      <c r="J778" t="s">
        <v>853</v>
      </c>
      <c r="K778" t="s">
        <v>854</v>
      </c>
    </row>
    <row r="779" spans="1:11" hidden="1">
      <c r="A779" s="28">
        <v>46321</v>
      </c>
      <c r="B779" t="s">
        <v>185</v>
      </c>
      <c r="C779" t="s">
        <v>202</v>
      </c>
      <c r="D779" t="s">
        <v>217</v>
      </c>
      <c r="E779">
        <f>IF(LEFT(D779,6)="CLIENT",IFERROR(VLOOKUP(C779,Config_Carteiras!$A:$B,2,FALSE),1),"")</f>
        <v>1</v>
      </c>
      <c r="F779" s="25">
        <v>408.2</v>
      </c>
      <c r="G779" s="28">
        <f>IF(LEFT(D779,6)="CLIENT",IF(E779=0,WORKDAY(A779-1,1,Dias_Sem_Compensacao!$A$2:$A$500),WORKDAY(A779,E779,Dias_Sem_Compensacao!$A$2:$A$500)),"")</f>
        <v>46322</v>
      </c>
      <c r="H779" s="25">
        <v>0</v>
      </c>
      <c r="I779" s="28">
        <v>46321</v>
      </c>
      <c r="J779" t="s">
        <v>957</v>
      </c>
      <c r="K779" t="s">
        <v>958</v>
      </c>
    </row>
    <row r="780" spans="1:11" hidden="1">
      <c r="A780" s="28">
        <v>46321</v>
      </c>
      <c r="B780" t="s">
        <v>185</v>
      </c>
      <c r="C780" t="s">
        <v>202</v>
      </c>
      <c r="D780" t="s">
        <v>217</v>
      </c>
      <c r="E780">
        <f>IF(LEFT(D780,6)="CLIENT",IFERROR(VLOOKUP(C780,Config_Carteiras!$A:$B,2,FALSE),1),"")</f>
        <v>1</v>
      </c>
      <c r="F780" s="25">
        <v>390.6</v>
      </c>
      <c r="G780" s="28">
        <f>IF(LEFT(D780,6)="CLIENT",IF(E780=0,WORKDAY(A780-1,1,Dias_Sem_Compensacao!$A$2:$A$500),WORKDAY(A780,E780,Dias_Sem_Compensacao!$A$2:$A$500)),"")</f>
        <v>46322</v>
      </c>
      <c r="H780" s="25">
        <v>0</v>
      </c>
      <c r="I780" s="28">
        <v>46321</v>
      </c>
      <c r="J780" t="s">
        <v>251</v>
      </c>
      <c r="K780" t="s">
        <v>252</v>
      </c>
    </row>
    <row r="781" spans="1:11" hidden="1">
      <c r="A781" s="28">
        <v>46321</v>
      </c>
      <c r="B781" t="s">
        <v>185</v>
      </c>
      <c r="C781" t="s">
        <v>202</v>
      </c>
      <c r="D781" t="s">
        <v>217</v>
      </c>
      <c r="E781">
        <f>IF(LEFT(D781,6)="CLIENT",IFERROR(VLOOKUP(C781,Config_Carteiras!$A:$B,2,FALSE),1),"")</f>
        <v>1</v>
      </c>
      <c r="F781" s="25">
        <v>410.2</v>
      </c>
      <c r="G781" s="28">
        <f>IF(LEFT(D781,6)="CLIENT",IF(E781=0,WORKDAY(A781-1,1,Dias_Sem_Compensacao!$A$2:$A$500),WORKDAY(A781,E781,Dias_Sem_Compensacao!$A$2:$A$500)),"")</f>
        <v>46322</v>
      </c>
      <c r="H781" s="25">
        <v>0</v>
      </c>
      <c r="I781" s="28">
        <v>46321</v>
      </c>
      <c r="J781" t="s">
        <v>866</v>
      </c>
      <c r="K781" t="s">
        <v>867</v>
      </c>
    </row>
    <row r="782" spans="1:11" hidden="1">
      <c r="A782" s="28">
        <v>46321</v>
      </c>
      <c r="B782" t="s">
        <v>185</v>
      </c>
      <c r="C782" t="s">
        <v>202</v>
      </c>
      <c r="D782" t="s">
        <v>217</v>
      </c>
      <c r="E782">
        <f>IF(LEFT(D782,6)="CLIENT",IFERROR(VLOOKUP(C782,Config_Carteiras!$A:$B,2,FALSE),1),"")</f>
        <v>1</v>
      </c>
      <c r="F782" s="25">
        <v>360</v>
      </c>
      <c r="G782" s="28">
        <f>IF(LEFT(D782,6)="CLIENT",IF(E782=0,WORKDAY(A782-1,1,Dias_Sem_Compensacao!$A$2:$A$500),WORKDAY(A782,E782,Dias_Sem_Compensacao!$A$2:$A$500)),"")</f>
        <v>46322</v>
      </c>
      <c r="H782" s="25">
        <v>0</v>
      </c>
      <c r="I782" s="28">
        <v>46321</v>
      </c>
      <c r="J782" t="s">
        <v>354</v>
      </c>
      <c r="K782" t="s">
        <v>625</v>
      </c>
    </row>
    <row r="783" spans="1:11" hidden="1">
      <c r="A783" s="28">
        <v>46321</v>
      </c>
      <c r="B783" t="s">
        <v>185</v>
      </c>
      <c r="C783" t="s">
        <v>202</v>
      </c>
      <c r="D783" t="s">
        <v>217</v>
      </c>
      <c r="E783">
        <f>IF(LEFT(D783,6)="CLIENT",IFERROR(VLOOKUP(C783,Config_Carteiras!$A:$B,2,FALSE),1),"")</f>
        <v>1</v>
      </c>
      <c r="F783" s="25">
        <v>480</v>
      </c>
      <c r="G783" s="28">
        <f>IF(LEFT(D783,6)="CLIENT",IF(E783=0,WORKDAY(A783-1,1,Dias_Sem_Compensacao!$A$2:$A$500),WORKDAY(A783,E783,Dias_Sem_Compensacao!$A$2:$A$500)),"")</f>
        <v>46322</v>
      </c>
      <c r="H783" s="25">
        <v>0</v>
      </c>
      <c r="I783" s="28">
        <v>46321</v>
      </c>
      <c r="K783" t="s">
        <v>626</v>
      </c>
    </row>
    <row r="784" spans="1:11" hidden="1">
      <c r="A784" s="28">
        <v>46322</v>
      </c>
      <c r="B784" t="s">
        <v>185</v>
      </c>
      <c r="C784" t="s">
        <v>202</v>
      </c>
      <c r="D784" t="s">
        <v>217</v>
      </c>
      <c r="E784">
        <f>IF(LEFT(D784,6)="CLIENT",IFERROR(VLOOKUP(C784,Config_Carteiras!$A:$B,2,FALSE),1),"")</f>
        <v>1</v>
      </c>
      <c r="F784" s="25">
        <v>399.6</v>
      </c>
      <c r="G784" s="28">
        <f>IF(LEFT(D784,6)="CLIENT",IF(E784=0,WORKDAY(A784-1,1,Dias_Sem_Compensacao!$A$2:$A$500),WORKDAY(A784,E784,Dias_Sem_Compensacao!$A$2:$A$500)),"")</f>
        <v>46323</v>
      </c>
      <c r="H784" s="25">
        <v>0</v>
      </c>
      <c r="I784" s="28">
        <v>46322</v>
      </c>
      <c r="J784" t="s">
        <v>804</v>
      </c>
      <c r="K784" t="s">
        <v>805</v>
      </c>
    </row>
    <row r="785" spans="1:11" hidden="1">
      <c r="A785" s="28">
        <v>46322</v>
      </c>
      <c r="B785" t="s">
        <v>185</v>
      </c>
      <c r="C785" t="s">
        <v>202</v>
      </c>
      <c r="D785" t="s">
        <v>217</v>
      </c>
      <c r="E785">
        <f>IF(LEFT(D785,6)="CLIENT",IFERROR(VLOOKUP(C785,Config_Carteiras!$A:$B,2,FALSE),1),"")</f>
        <v>1</v>
      </c>
      <c r="F785" s="25">
        <v>676</v>
      </c>
      <c r="G785" s="28">
        <f>IF(LEFT(D785,6)="CLIENT",IF(E785=0,WORKDAY(A785-1,1,Dias_Sem_Compensacao!$A$2:$A$500),WORKDAY(A785,E785,Dias_Sem_Compensacao!$A$2:$A$500)),"")</f>
        <v>46323</v>
      </c>
      <c r="H785" s="25">
        <v>0</v>
      </c>
      <c r="I785" s="28">
        <v>46322</v>
      </c>
      <c r="J785" t="s">
        <v>300</v>
      </c>
      <c r="K785" t="s">
        <v>823</v>
      </c>
    </row>
    <row r="786" spans="1:11" hidden="1">
      <c r="A786" s="28">
        <v>46322</v>
      </c>
      <c r="B786" t="s">
        <v>185</v>
      </c>
      <c r="C786" t="s">
        <v>202</v>
      </c>
      <c r="D786" t="s">
        <v>217</v>
      </c>
      <c r="E786">
        <f>IF(LEFT(D786,6)="CLIENT",IFERROR(VLOOKUP(C786,Config_Carteiras!$A:$B,2,FALSE),1),"")</f>
        <v>1</v>
      </c>
      <c r="F786" s="25">
        <v>541</v>
      </c>
      <c r="G786" s="28">
        <f>IF(LEFT(D786,6)="CLIENT",IF(E786=0,WORKDAY(A786-1,1,Dias_Sem_Compensacao!$A$2:$A$500),WORKDAY(A786,E786,Dias_Sem_Compensacao!$A$2:$A$500)),"")</f>
        <v>46323</v>
      </c>
      <c r="H786" s="25">
        <v>0</v>
      </c>
      <c r="I786" s="28">
        <v>46322</v>
      </c>
      <c r="J786" t="s">
        <v>660</v>
      </c>
      <c r="K786" t="s">
        <v>661</v>
      </c>
    </row>
    <row r="787" spans="1:11" hidden="1">
      <c r="A787" s="28">
        <v>46322</v>
      </c>
      <c r="B787" t="s">
        <v>185</v>
      </c>
      <c r="C787" t="s">
        <v>202</v>
      </c>
      <c r="D787" t="s">
        <v>217</v>
      </c>
      <c r="E787">
        <f>IF(LEFT(D787,6)="CLIENT",IFERROR(VLOOKUP(C787,Config_Carteiras!$A:$B,2,FALSE),1),"")</f>
        <v>1</v>
      </c>
      <c r="F787" s="25">
        <v>398</v>
      </c>
      <c r="G787" s="28">
        <f>IF(LEFT(D787,6)="CLIENT",IF(E787=0,WORKDAY(A787-1,1,Dias_Sem_Compensacao!$A$2:$A$500),WORKDAY(A787,E787,Dias_Sem_Compensacao!$A$2:$A$500)),"")</f>
        <v>46323</v>
      </c>
      <c r="H787" s="25">
        <v>0</v>
      </c>
      <c r="I787" s="28">
        <v>46322</v>
      </c>
      <c r="J787" t="s">
        <v>663</v>
      </c>
      <c r="K787" t="s">
        <v>664</v>
      </c>
    </row>
    <row r="788" spans="1:11" hidden="1">
      <c r="A788" s="28">
        <v>46322</v>
      </c>
      <c r="B788" t="s">
        <v>185</v>
      </c>
      <c r="C788" t="s">
        <v>202</v>
      </c>
      <c r="D788" t="s">
        <v>217</v>
      </c>
      <c r="E788">
        <f>IF(LEFT(D788,6)="CLIENT",IFERROR(VLOOKUP(C788,Config_Carteiras!$A:$B,2,FALSE),1),"")</f>
        <v>1</v>
      </c>
      <c r="F788" s="25">
        <v>667</v>
      </c>
      <c r="G788" s="28">
        <f>IF(LEFT(D788,6)="CLIENT",IF(E788=0,WORKDAY(A788-1,1,Dias_Sem_Compensacao!$A$2:$A$500),WORKDAY(A788,E788,Dias_Sem_Compensacao!$A$2:$A$500)),"")</f>
        <v>46323</v>
      </c>
      <c r="H788" s="25">
        <v>0</v>
      </c>
      <c r="I788" s="28">
        <v>46322</v>
      </c>
      <c r="J788" t="s">
        <v>835</v>
      </c>
      <c r="K788" t="s">
        <v>836</v>
      </c>
    </row>
    <row r="789" spans="1:11" hidden="1">
      <c r="A789" s="28">
        <v>46322</v>
      </c>
      <c r="B789" t="s">
        <v>185</v>
      </c>
      <c r="C789" t="s">
        <v>202</v>
      </c>
      <c r="D789" t="s">
        <v>217</v>
      </c>
      <c r="E789">
        <f>IF(LEFT(D789,6)="CLIENT",IFERROR(VLOOKUP(C789,Config_Carteiras!$A:$B,2,FALSE),1),"")</f>
        <v>1</v>
      </c>
      <c r="F789" s="25">
        <v>954</v>
      </c>
      <c r="G789" s="28">
        <f>IF(LEFT(D789,6)="CLIENT",IF(E789=0,WORKDAY(A789-1,1,Dias_Sem_Compensacao!$A$2:$A$500),WORKDAY(A789,E789,Dias_Sem_Compensacao!$A$2:$A$500)),"")</f>
        <v>46323</v>
      </c>
      <c r="H789" s="25">
        <v>0</v>
      </c>
      <c r="I789" s="28">
        <v>46322</v>
      </c>
      <c r="J789" t="s">
        <v>837</v>
      </c>
      <c r="K789" t="s">
        <v>838</v>
      </c>
    </row>
    <row r="790" spans="1:11" hidden="1">
      <c r="A790" s="28">
        <v>46322</v>
      </c>
      <c r="B790" t="s">
        <v>185</v>
      </c>
      <c r="C790" t="s">
        <v>202</v>
      </c>
      <c r="D790" t="s">
        <v>217</v>
      </c>
      <c r="E790">
        <f>IF(LEFT(D790,6)="CLIENT",IFERROR(VLOOKUP(C790,Config_Carteiras!$A:$B,2,FALSE),1),"")</f>
        <v>1</v>
      </c>
      <c r="F790" s="25">
        <v>907.6</v>
      </c>
      <c r="G790" s="28">
        <f>IF(LEFT(D790,6)="CLIENT",IF(E790=0,WORKDAY(A790-1,1,Dias_Sem_Compensacao!$A$2:$A$500),WORKDAY(A790,E790,Dias_Sem_Compensacao!$A$2:$A$500)),"")</f>
        <v>46323</v>
      </c>
      <c r="H790" s="25">
        <v>0</v>
      </c>
      <c r="I790" s="28">
        <v>46322</v>
      </c>
      <c r="J790" t="s">
        <v>841</v>
      </c>
      <c r="K790" t="s">
        <v>842</v>
      </c>
    </row>
    <row r="791" spans="1:11" hidden="1">
      <c r="A791" s="28">
        <v>46322</v>
      </c>
      <c r="B791" t="s">
        <v>185</v>
      </c>
      <c r="C791" t="s">
        <v>202</v>
      </c>
      <c r="D791" t="s">
        <v>217</v>
      </c>
      <c r="E791">
        <f>IF(LEFT(D791,6)="CLIENT",IFERROR(VLOOKUP(C791,Config_Carteiras!$A:$B,2,FALSE),1),"")</f>
        <v>1</v>
      </c>
      <c r="F791" s="25">
        <v>434</v>
      </c>
      <c r="G791" s="28">
        <f>IF(LEFT(D791,6)="CLIENT",IF(E791=0,WORKDAY(A791-1,1,Dias_Sem_Compensacao!$A$2:$A$500),WORKDAY(A791,E791,Dias_Sem_Compensacao!$A$2:$A$500)),"")</f>
        <v>46323</v>
      </c>
      <c r="H791" s="25">
        <v>0</v>
      </c>
      <c r="I791" s="28">
        <v>46322</v>
      </c>
      <c r="J791" t="s">
        <v>851</v>
      </c>
      <c r="K791" t="s">
        <v>852</v>
      </c>
    </row>
    <row r="792" spans="1:11" hidden="1">
      <c r="A792" s="28">
        <v>46322</v>
      </c>
      <c r="B792" t="s">
        <v>185</v>
      </c>
      <c r="C792" t="s">
        <v>202</v>
      </c>
      <c r="D792" t="s">
        <v>217</v>
      </c>
      <c r="E792">
        <f>IF(LEFT(D792,6)="CLIENT",IFERROR(VLOOKUP(C792,Config_Carteiras!$A:$B,2,FALSE),1),"")</f>
        <v>1</v>
      </c>
      <c r="F792" s="25">
        <v>448</v>
      </c>
      <c r="G792" s="28">
        <f>IF(LEFT(D792,6)="CLIENT",IF(E792=0,WORKDAY(A792-1,1,Dias_Sem_Compensacao!$A$2:$A$500),WORKDAY(A792,E792,Dias_Sem_Compensacao!$A$2:$A$500)),"")</f>
        <v>46323</v>
      </c>
      <c r="H792" s="25">
        <v>0</v>
      </c>
      <c r="I792" s="28">
        <v>46322</v>
      </c>
      <c r="J792" t="s">
        <v>440</v>
      </c>
      <c r="K792" t="s">
        <v>680</v>
      </c>
    </row>
    <row r="793" spans="1:11" hidden="1">
      <c r="A793" s="28">
        <v>46322</v>
      </c>
      <c r="B793" t="s">
        <v>185</v>
      </c>
      <c r="C793" t="s">
        <v>202</v>
      </c>
      <c r="D793" t="s">
        <v>217</v>
      </c>
      <c r="E793">
        <f>IF(LEFT(D793,6)="CLIENT",IFERROR(VLOOKUP(C793,Config_Carteiras!$A:$B,2,FALSE),1),"")</f>
        <v>1</v>
      </c>
      <c r="F793" s="25">
        <v>360</v>
      </c>
      <c r="G793" s="28">
        <f>IF(LEFT(D793,6)="CLIENT",IF(E793=0,WORKDAY(A793-1,1,Dias_Sem_Compensacao!$A$2:$A$500),WORKDAY(A793,E793,Dias_Sem_Compensacao!$A$2:$A$500)),"")</f>
        <v>46323</v>
      </c>
      <c r="H793" s="25">
        <v>0</v>
      </c>
      <c r="I793" s="28">
        <v>46322</v>
      </c>
      <c r="J793" t="s">
        <v>354</v>
      </c>
      <c r="K793" t="s">
        <v>355</v>
      </c>
    </row>
    <row r="794" spans="1:11" hidden="1">
      <c r="A794" s="28">
        <v>46322</v>
      </c>
      <c r="B794" t="s">
        <v>185</v>
      </c>
      <c r="C794" t="s">
        <v>202</v>
      </c>
      <c r="D794" t="s">
        <v>217</v>
      </c>
      <c r="E794">
        <f>IF(LEFT(D794,6)="CLIENT",IFERROR(VLOOKUP(C794,Config_Carteiras!$A:$B,2,FALSE),1),"")</f>
        <v>1</v>
      </c>
      <c r="F794" s="25">
        <v>789</v>
      </c>
      <c r="G794" s="28">
        <f>IF(LEFT(D794,6)="CLIENT",IF(E794=0,WORKDAY(A794-1,1,Dias_Sem_Compensacao!$A$2:$A$500),WORKDAY(A794,E794,Dias_Sem_Compensacao!$A$2:$A$500)),"")</f>
        <v>46323</v>
      </c>
      <c r="H794" s="25">
        <v>0</v>
      </c>
      <c r="I794" s="28">
        <v>46322</v>
      </c>
      <c r="J794" t="s">
        <v>694</v>
      </c>
      <c r="K794" t="s">
        <v>695</v>
      </c>
    </row>
    <row r="795" spans="1:11" hidden="1">
      <c r="A795" s="28">
        <v>46322</v>
      </c>
      <c r="B795" t="s">
        <v>185</v>
      </c>
      <c r="C795" t="s">
        <v>202</v>
      </c>
      <c r="D795" t="s">
        <v>217</v>
      </c>
      <c r="E795">
        <f>IF(LEFT(D795,6)="CLIENT",IFERROR(VLOOKUP(C795,Config_Carteiras!$A:$B,2,FALSE),1),"")</f>
        <v>1</v>
      </c>
      <c r="F795" s="25">
        <v>839</v>
      </c>
      <c r="G795" s="28">
        <f>IF(LEFT(D795,6)="CLIENT",IF(E795=0,WORKDAY(A795-1,1,Dias_Sem_Compensacao!$A$2:$A$500),WORKDAY(A795,E795,Dias_Sem_Compensacao!$A$2:$A$500)),"")</f>
        <v>46323</v>
      </c>
      <c r="H795" s="25">
        <v>0</v>
      </c>
      <c r="I795" s="28">
        <v>46322</v>
      </c>
      <c r="J795" t="s">
        <v>227</v>
      </c>
      <c r="K795" t="s">
        <v>702</v>
      </c>
    </row>
    <row r="796" spans="1:11" hidden="1">
      <c r="A796" s="28">
        <v>46323</v>
      </c>
      <c r="B796" t="s">
        <v>185</v>
      </c>
      <c r="C796" t="s">
        <v>202</v>
      </c>
      <c r="D796" t="s">
        <v>217</v>
      </c>
      <c r="E796">
        <f>IF(LEFT(D796,6)="CLIENT",IFERROR(VLOOKUP(C796,Config_Carteiras!$A:$B,2,FALSE),1),"")</f>
        <v>1</v>
      </c>
      <c r="F796" s="25">
        <v>443</v>
      </c>
      <c r="G796" s="28">
        <f>IF(LEFT(D796,6)="CLIENT",IF(E796=0,WORKDAY(A796-1,1,Dias_Sem_Compensacao!$A$2:$A$500),WORKDAY(A796,E796,Dias_Sem_Compensacao!$A$2:$A$500)),"")</f>
        <v>46324</v>
      </c>
      <c r="H796" s="25">
        <v>0</v>
      </c>
      <c r="I796" s="28">
        <v>46323</v>
      </c>
      <c r="J796" t="s">
        <v>967</v>
      </c>
      <c r="K796" t="s">
        <v>968</v>
      </c>
    </row>
    <row r="797" spans="1:11" hidden="1">
      <c r="A797" s="28">
        <v>46323</v>
      </c>
      <c r="B797" t="s">
        <v>185</v>
      </c>
      <c r="C797" t="s">
        <v>202</v>
      </c>
      <c r="D797" t="s">
        <v>217</v>
      </c>
      <c r="E797">
        <f>IF(LEFT(D797,6)="CLIENT",IFERROR(VLOOKUP(C797,Config_Carteiras!$A:$B,2,FALSE),1),"")</f>
        <v>1</v>
      </c>
      <c r="F797" s="25">
        <v>612.79999999999995</v>
      </c>
      <c r="G797" s="28">
        <f>IF(LEFT(D797,6)="CLIENT",IF(E797=0,WORKDAY(A797-1,1,Dias_Sem_Compensacao!$A$2:$A$500),WORKDAY(A797,E797,Dias_Sem_Compensacao!$A$2:$A$500)),"")</f>
        <v>46324</v>
      </c>
      <c r="H797" s="25">
        <v>0</v>
      </c>
      <c r="I797" s="28">
        <v>46323</v>
      </c>
      <c r="J797" t="s">
        <v>769</v>
      </c>
      <c r="K797" t="s">
        <v>1008</v>
      </c>
    </row>
    <row r="798" spans="1:11" hidden="1">
      <c r="A798" s="28">
        <v>46323</v>
      </c>
      <c r="B798" t="s">
        <v>185</v>
      </c>
      <c r="C798" t="s">
        <v>202</v>
      </c>
      <c r="D798" t="s">
        <v>217</v>
      </c>
      <c r="E798">
        <f>IF(LEFT(D798,6)="CLIENT",IFERROR(VLOOKUP(C798,Config_Carteiras!$A:$B,2,FALSE),1),"")</f>
        <v>1</v>
      </c>
      <c r="F798" s="25">
        <v>1099.56</v>
      </c>
      <c r="G798" s="28">
        <f>IF(LEFT(D798,6)="CLIENT",IF(E798=0,WORKDAY(A798-1,1,Dias_Sem_Compensacao!$A$2:$A$500),WORKDAY(A798,E798,Dias_Sem_Compensacao!$A$2:$A$500)),"")</f>
        <v>46324</v>
      </c>
      <c r="H798" s="25">
        <v>0</v>
      </c>
      <c r="I798" s="28">
        <v>46323</v>
      </c>
      <c r="J798" t="s">
        <v>407</v>
      </c>
      <c r="K798" t="s">
        <v>408</v>
      </c>
    </row>
    <row r="799" spans="1:11" hidden="1">
      <c r="A799" s="28">
        <v>46323</v>
      </c>
      <c r="B799" t="s">
        <v>185</v>
      </c>
      <c r="C799" t="s">
        <v>202</v>
      </c>
      <c r="D799" t="s">
        <v>217</v>
      </c>
      <c r="E799">
        <f>IF(LEFT(D799,6)="CLIENT",IFERROR(VLOOKUP(C799,Config_Carteiras!$A:$B,2,FALSE),1),"")</f>
        <v>1</v>
      </c>
      <c r="F799" s="25">
        <v>1155</v>
      </c>
      <c r="G799" s="28">
        <f>IF(LEFT(D799,6)="CLIENT",IF(E799=0,WORKDAY(A799-1,1,Dias_Sem_Compensacao!$A$2:$A$500),WORKDAY(A799,E799,Dias_Sem_Compensacao!$A$2:$A$500)),"")</f>
        <v>46324</v>
      </c>
      <c r="H799" s="25">
        <v>0</v>
      </c>
      <c r="I799" s="28">
        <v>46323</v>
      </c>
      <c r="J799" t="s">
        <v>224</v>
      </c>
      <c r="K799" t="s">
        <v>722</v>
      </c>
    </row>
    <row r="800" spans="1:11" hidden="1">
      <c r="A800" s="28">
        <v>46323</v>
      </c>
      <c r="B800" t="s">
        <v>185</v>
      </c>
      <c r="C800" t="s">
        <v>202</v>
      </c>
      <c r="D800" t="s">
        <v>217</v>
      </c>
      <c r="E800">
        <f>IF(LEFT(D800,6)="CLIENT",IFERROR(VLOOKUP(C800,Config_Carteiras!$A:$B,2,FALSE),1),"")</f>
        <v>1</v>
      </c>
      <c r="F800" s="25">
        <v>1155</v>
      </c>
      <c r="G800" s="28">
        <f>IF(LEFT(D800,6)="CLIENT",IF(E800=0,WORKDAY(A800-1,1,Dias_Sem_Compensacao!$A$2:$A$500),WORKDAY(A800,E800,Dias_Sem_Compensacao!$A$2:$A$500)),"")</f>
        <v>46324</v>
      </c>
      <c r="H800" s="25">
        <v>0</v>
      </c>
      <c r="I800" s="28">
        <v>46323</v>
      </c>
      <c r="K800" t="s">
        <v>886</v>
      </c>
    </row>
    <row r="801" spans="1:11" hidden="1">
      <c r="A801" s="28">
        <v>46323</v>
      </c>
      <c r="B801" t="s">
        <v>185</v>
      </c>
      <c r="C801" t="s">
        <v>202</v>
      </c>
      <c r="D801" t="s">
        <v>217</v>
      </c>
      <c r="E801">
        <f>IF(LEFT(D801,6)="CLIENT",IFERROR(VLOOKUP(C801,Config_Carteiras!$A:$B,2,FALSE),1),"")</f>
        <v>1</v>
      </c>
      <c r="F801" s="25">
        <v>527</v>
      </c>
      <c r="G801" s="28">
        <f>IF(LEFT(D801,6)="CLIENT",IF(E801=0,WORKDAY(A801-1,1,Dias_Sem_Compensacao!$A$2:$A$500),WORKDAY(A801,E801,Dias_Sem_Compensacao!$A$2:$A$500)),"")</f>
        <v>46324</v>
      </c>
      <c r="H801" s="25">
        <v>0</v>
      </c>
      <c r="I801" s="28">
        <v>46323</v>
      </c>
      <c r="J801" t="s">
        <v>889</v>
      </c>
      <c r="K801" t="s">
        <v>890</v>
      </c>
    </row>
    <row r="802" spans="1:11" hidden="1">
      <c r="A802" s="28">
        <v>46323</v>
      </c>
      <c r="B802" t="s">
        <v>185</v>
      </c>
      <c r="C802" t="s">
        <v>202</v>
      </c>
      <c r="D802" t="s">
        <v>217</v>
      </c>
      <c r="E802">
        <f>IF(LEFT(D802,6)="CLIENT",IFERROR(VLOOKUP(C802,Config_Carteiras!$A:$B,2,FALSE),1),"")</f>
        <v>1</v>
      </c>
      <c r="F802" s="25">
        <v>619.5</v>
      </c>
      <c r="G802" s="28">
        <f>IF(LEFT(D802,6)="CLIENT",IF(E802=0,WORKDAY(A802-1,1,Dias_Sem_Compensacao!$A$2:$A$500),WORKDAY(A802,E802,Dias_Sem_Compensacao!$A$2:$A$500)),"")</f>
        <v>46324</v>
      </c>
      <c r="H802" s="25">
        <v>0</v>
      </c>
      <c r="I802" s="28">
        <v>46323</v>
      </c>
      <c r="J802" t="s">
        <v>892</v>
      </c>
      <c r="K802" t="s">
        <v>893</v>
      </c>
    </row>
    <row r="803" spans="1:11" hidden="1">
      <c r="A803" s="28">
        <v>46323</v>
      </c>
      <c r="B803" t="s">
        <v>185</v>
      </c>
      <c r="C803" t="s">
        <v>202</v>
      </c>
      <c r="D803" t="s">
        <v>217</v>
      </c>
      <c r="E803">
        <f>IF(LEFT(D803,6)="CLIENT",IFERROR(VLOOKUP(C803,Config_Carteiras!$A:$B,2,FALSE),1),"")</f>
        <v>1</v>
      </c>
      <c r="F803" s="25">
        <v>1813.56</v>
      </c>
      <c r="G803" s="28">
        <f>IF(LEFT(D803,6)="CLIENT",IF(E803=0,WORKDAY(A803-1,1,Dias_Sem_Compensacao!$A$2:$A$500),WORKDAY(A803,E803,Dias_Sem_Compensacao!$A$2:$A$500)),"")</f>
        <v>46324</v>
      </c>
      <c r="H803" s="25">
        <v>0</v>
      </c>
      <c r="I803" s="28">
        <v>46323</v>
      </c>
      <c r="J803" t="s">
        <v>729</v>
      </c>
      <c r="K803" t="s">
        <v>730</v>
      </c>
    </row>
    <row r="804" spans="1:11" hidden="1">
      <c r="A804" s="28">
        <v>46323</v>
      </c>
      <c r="B804" t="s">
        <v>185</v>
      </c>
      <c r="C804" t="s">
        <v>202</v>
      </c>
      <c r="D804" t="s">
        <v>217</v>
      </c>
      <c r="E804">
        <f>IF(LEFT(D804,6)="CLIENT",IFERROR(VLOOKUP(C804,Config_Carteiras!$A:$B,2,FALSE),1),"")</f>
        <v>1</v>
      </c>
      <c r="F804" s="25">
        <v>1790.71</v>
      </c>
      <c r="G804" s="28">
        <f>IF(LEFT(D804,6)="CLIENT",IF(E804=0,WORKDAY(A804-1,1,Dias_Sem_Compensacao!$A$2:$A$500),WORKDAY(A804,E804,Dias_Sem_Compensacao!$A$2:$A$500)),"")</f>
        <v>46324</v>
      </c>
      <c r="H804" s="25">
        <v>0</v>
      </c>
      <c r="I804" s="28">
        <v>46323</v>
      </c>
      <c r="J804" t="s">
        <v>898</v>
      </c>
      <c r="K804" t="s">
        <v>899</v>
      </c>
    </row>
    <row r="805" spans="1:11" hidden="1">
      <c r="A805" s="28">
        <v>46323</v>
      </c>
      <c r="B805" t="s">
        <v>185</v>
      </c>
      <c r="C805" t="s">
        <v>202</v>
      </c>
      <c r="D805" t="s">
        <v>217</v>
      </c>
      <c r="E805">
        <f>IF(LEFT(D805,6)="CLIENT",IFERROR(VLOOKUP(C805,Config_Carteiras!$A:$B,2,FALSE),1),"")</f>
        <v>1</v>
      </c>
      <c r="F805" s="25">
        <v>459</v>
      </c>
      <c r="G805" s="28">
        <f>IF(LEFT(D805,6)="CLIENT",IF(E805=0,WORKDAY(A805-1,1,Dias_Sem_Compensacao!$A$2:$A$500),WORKDAY(A805,E805,Dias_Sem_Compensacao!$A$2:$A$500)),"")</f>
        <v>46324</v>
      </c>
      <c r="H805" s="25">
        <v>0</v>
      </c>
      <c r="I805" s="28">
        <v>46323</v>
      </c>
      <c r="J805" t="s">
        <v>312</v>
      </c>
      <c r="K805" t="s">
        <v>975</v>
      </c>
    </row>
    <row r="806" spans="1:11" hidden="1">
      <c r="A806" s="28">
        <v>46323</v>
      </c>
      <c r="B806" t="s">
        <v>185</v>
      </c>
      <c r="C806" t="s">
        <v>202</v>
      </c>
      <c r="D806" t="s">
        <v>217</v>
      </c>
      <c r="E806">
        <f>IF(LEFT(D806,6)="CLIENT",IFERROR(VLOOKUP(C806,Config_Carteiras!$A:$B,2,FALSE),1),"")</f>
        <v>1</v>
      </c>
      <c r="F806" s="25">
        <v>1767.86</v>
      </c>
      <c r="G806" s="28">
        <f>IF(LEFT(D806,6)="CLIENT",IF(E806=0,WORKDAY(A806-1,1,Dias_Sem_Compensacao!$A$2:$A$500),WORKDAY(A806,E806,Dias_Sem_Compensacao!$A$2:$A$500)),"")</f>
        <v>46324</v>
      </c>
      <c r="H806" s="25">
        <v>0</v>
      </c>
      <c r="I806" s="28">
        <v>46323</v>
      </c>
      <c r="J806" t="s">
        <v>901</v>
      </c>
      <c r="K806" t="s">
        <v>902</v>
      </c>
    </row>
    <row r="807" spans="1:11" hidden="1">
      <c r="A807" s="28">
        <v>46323</v>
      </c>
      <c r="B807" t="s">
        <v>185</v>
      </c>
      <c r="C807" t="s">
        <v>202</v>
      </c>
      <c r="D807" t="s">
        <v>217</v>
      </c>
      <c r="E807">
        <f>IF(LEFT(D807,6)="CLIENT",IFERROR(VLOOKUP(C807,Config_Carteiras!$A:$B,2,FALSE),1),"")</f>
        <v>1</v>
      </c>
      <c r="F807" s="25">
        <v>383.6</v>
      </c>
      <c r="G807" s="28">
        <f>IF(LEFT(D807,6)="CLIENT",IF(E807=0,WORKDAY(A807-1,1,Dias_Sem_Compensacao!$A$2:$A$500),WORKDAY(A807,E807,Dias_Sem_Compensacao!$A$2:$A$500)),"")</f>
        <v>46324</v>
      </c>
      <c r="H807" s="25">
        <v>0</v>
      </c>
      <c r="I807" s="28">
        <v>46323</v>
      </c>
      <c r="J807" t="s">
        <v>605</v>
      </c>
      <c r="K807" t="s">
        <v>903</v>
      </c>
    </row>
    <row r="808" spans="1:11" hidden="1">
      <c r="A808" s="28">
        <v>46323</v>
      </c>
      <c r="B808" t="s">
        <v>185</v>
      </c>
      <c r="C808" t="s">
        <v>202</v>
      </c>
      <c r="D808" t="s">
        <v>217</v>
      </c>
      <c r="E808">
        <f>IF(LEFT(D808,6)="CLIENT",IFERROR(VLOOKUP(C808,Config_Carteiras!$A:$B,2,FALSE),1),"")</f>
        <v>1</v>
      </c>
      <c r="F808" s="25">
        <v>297</v>
      </c>
      <c r="G808" s="28">
        <f>IF(LEFT(D808,6)="CLIENT",IF(E808=0,WORKDAY(A808-1,1,Dias_Sem_Compensacao!$A$2:$A$500),WORKDAY(A808,E808,Dias_Sem_Compensacao!$A$2:$A$500)),"")</f>
        <v>46324</v>
      </c>
      <c r="H808" s="25">
        <v>0</v>
      </c>
      <c r="I808" s="28">
        <v>46323</v>
      </c>
      <c r="J808" t="s">
        <v>440</v>
      </c>
      <c r="K808" t="s">
        <v>441</v>
      </c>
    </row>
    <row r="809" spans="1:11" hidden="1">
      <c r="A809" s="28">
        <v>46323</v>
      </c>
      <c r="B809" t="s">
        <v>185</v>
      </c>
      <c r="C809" t="s">
        <v>202</v>
      </c>
      <c r="D809" t="s">
        <v>217</v>
      </c>
      <c r="E809">
        <f>IF(LEFT(D809,6)="CLIENT",IFERROR(VLOOKUP(C809,Config_Carteiras!$A:$B,2,FALSE),1),"")</f>
        <v>1</v>
      </c>
      <c r="F809" s="25">
        <v>440</v>
      </c>
      <c r="G809" s="28">
        <f>IF(LEFT(D809,6)="CLIENT",IF(E809=0,WORKDAY(A809-1,1,Dias_Sem_Compensacao!$A$2:$A$500),WORKDAY(A809,E809,Dias_Sem_Compensacao!$A$2:$A$500)),"")</f>
        <v>46324</v>
      </c>
      <c r="H809" s="25">
        <v>0</v>
      </c>
      <c r="I809" s="28">
        <v>46323</v>
      </c>
      <c r="J809" t="s">
        <v>442</v>
      </c>
      <c r="K809" t="s">
        <v>444</v>
      </c>
    </row>
    <row r="810" spans="1:11" hidden="1">
      <c r="A810" s="28">
        <v>46323</v>
      </c>
      <c r="B810" t="s">
        <v>185</v>
      </c>
      <c r="C810" t="s">
        <v>202</v>
      </c>
      <c r="D810" t="s">
        <v>217</v>
      </c>
      <c r="E810">
        <f>IF(LEFT(D810,6)="CLIENT",IFERROR(VLOOKUP(C810,Config_Carteiras!$A:$B,2,FALSE),1),"")</f>
        <v>1</v>
      </c>
      <c r="F810" s="25">
        <v>682</v>
      </c>
      <c r="G810" s="28">
        <f>IF(LEFT(D810,6)="CLIENT",IF(E810=0,WORKDAY(A810-1,1,Dias_Sem_Compensacao!$A$2:$A$500),WORKDAY(A810,E810,Dias_Sem_Compensacao!$A$2:$A$500)),"")</f>
        <v>46324</v>
      </c>
      <c r="H810" s="25">
        <v>0</v>
      </c>
      <c r="I810" s="28">
        <v>46323</v>
      </c>
      <c r="J810" t="s">
        <v>562</v>
      </c>
      <c r="K810" t="s">
        <v>920</v>
      </c>
    </row>
    <row r="811" spans="1:11" hidden="1">
      <c r="A811" s="28">
        <v>46323</v>
      </c>
      <c r="B811" t="s">
        <v>185</v>
      </c>
      <c r="C811" t="s">
        <v>202</v>
      </c>
      <c r="D811" t="s">
        <v>217</v>
      </c>
      <c r="E811">
        <f>IF(LEFT(D811,6)="CLIENT",IFERROR(VLOOKUP(C811,Config_Carteiras!$A:$B,2,FALSE),1),"")</f>
        <v>1</v>
      </c>
      <c r="F811" s="25">
        <v>434</v>
      </c>
      <c r="G811" s="28">
        <f>IF(LEFT(D811,6)="CLIENT",IF(E811=0,WORKDAY(A811-1,1,Dias_Sem_Compensacao!$A$2:$A$500),WORKDAY(A811,E811,Dias_Sem_Compensacao!$A$2:$A$500)),"")</f>
        <v>46324</v>
      </c>
      <c r="H811" s="25">
        <v>0</v>
      </c>
      <c r="I811" s="28">
        <v>46323</v>
      </c>
      <c r="J811" t="s">
        <v>922</v>
      </c>
      <c r="K811" t="s">
        <v>923</v>
      </c>
    </row>
    <row r="812" spans="1:11" hidden="1">
      <c r="A812" s="28">
        <v>46323</v>
      </c>
      <c r="B812" t="s">
        <v>185</v>
      </c>
      <c r="C812" t="s">
        <v>202</v>
      </c>
      <c r="D812" t="s">
        <v>217</v>
      </c>
      <c r="E812">
        <f>IF(LEFT(D812,6)="CLIENT",IFERROR(VLOOKUP(C812,Config_Carteiras!$A:$B,2,FALSE),1),"")</f>
        <v>1</v>
      </c>
      <c r="F812" s="25">
        <v>1942.64</v>
      </c>
      <c r="G812" s="28">
        <f>IF(LEFT(D812,6)="CLIENT",IF(E812=0,WORKDAY(A812-1,1,Dias_Sem_Compensacao!$A$2:$A$500),WORKDAY(A812,E812,Dias_Sem_Compensacao!$A$2:$A$500)),"")</f>
        <v>46324</v>
      </c>
      <c r="H812" s="25">
        <v>0</v>
      </c>
      <c r="I812" s="28">
        <v>46323</v>
      </c>
      <c r="J812" t="s">
        <v>749</v>
      </c>
      <c r="K812" t="s">
        <v>750</v>
      </c>
    </row>
    <row r="813" spans="1:11" hidden="1">
      <c r="A813" s="28">
        <v>46323</v>
      </c>
      <c r="B813" t="s">
        <v>185</v>
      </c>
      <c r="C813" t="s">
        <v>202</v>
      </c>
      <c r="D813" t="s">
        <v>217</v>
      </c>
      <c r="E813">
        <f>IF(LEFT(D813,6)="CLIENT",IFERROR(VLOOKUP(C813,Config_Carteiras!$A:$B,2,FALSE),1),"")</f>
        <v>1</v>
      </c>
      <c r="F813" s="25">
        <v>1459</v>
      </c>
      <c r="G813" s="28">
        <f>IF(LEFT(D813,6)="CLIENT",IF(E813=0,WORKDAY(A813-1,1,Dias_Sem_Compensacao!$A$2:$A$500),WORKDAY(A813,E813,Dias_Sem_Compensacao!$A$2:$A$500)),"")</f>
        <v>46324</v>
      </c>
      <c r="H813" s="25">
        <v>0</v>
      </c>
      <c r="I813" s="28">
        <v>46323</v>
      </c>
      <c r="J813" t="s">
        <v>101</v>
      </c>
      <c r="K813" t="s">
        <v>462</v>
      </c>
    </row>
    <row r="814" spans="1:11" hidden="1">
      <c r="A814" s="28">
        <v>46323</v>
      </c>
      <c r="B814" t="s">
        <v>185</v>
      </c>
      <c r="C814" t="s">
        <v>202</v>
      </c>
      <c r="D814" t="s">
        <v>217</v>
      </c>
      <c r="E814">
        <f>IF(LEFT(D814,6)="CLIENT",IFERROR(VLOOKUP(C814,Config_Carteiras!$A:$B,2,FALSE),1),"")</f>
        <v>1</v>
      </c>
      <c r="F814" s="25">
        <v>405.6</v>
      </c>
      <c r="G814" s="28">
        <f>IF(LEFT(D814,6)="CLIENT",IF(E814=0,WORKDAY(A814-1,1,Dias_Sem_Compensacao!$A$2:$A$500),WORKDAY(A814,E814,Dias_Sem_Compensacao!$A$2:$A$500)),"")</f>
        <v>46324</v>
      </c>
      <c r="H814" s="25">
        <v>0</v>
      </c>
      <c r="I814" s="28">
        <v>46323</v>
      </c>
      <c r="J814" t="s">
        <v>465</v>
      </c>
      <c r="K814" t="s">
        <v>466</v>
      </c>
    </row>
    <row r="815" spans="1:11" hidden="1">
      <c r="A815" s="28">
        <v>46323</v>
      </c>
      <c r="B815" t="s">
        <v>185</v>
      </c>
      <c r="C815" t="s">
        <v>202</v>
      </c>
      <c r="D815" t="s">
        <v>217</v>
      </c>
      <c r="E815">
        <f>IF(LEFT(D815,6)="CLIENT",IFERROR(VLOOKUP(C815,Config_Carteiras!$A:$B,2,FALSE),1),"")</f>
        <v>1</v>
      </c>
      <c r="F815" s="25">
        <v>992.5</v>
      </c>
      <c r="G815" s="28">
        <f>IF(LEFT(D815,6)="CLIENT",IF(E815=0,WORKDAY(A815-1,1,Dias_Sem_Compensacao!$A$2:$A$500),WORKDAY(A815,E815,Dias_Sem_Compensacao!$A$2:$A$500)),"")</f>
        <v>46324</v>
      </c>
      <c r="H815" s="25">
        <v>0</v>
      </c>
      <c r="I815" s="28">
        <v>46323</v>
      </c>
      <c r="J815" t="s">
        <v>471</v>
      </c>
      <c r="K815" t="s">
        <v>472</v>
      </c>
    </row>
    <row r="816" spans="1:11" hidden="1">
      <c r="A816" s="28">
        <v>46323</v>
      </c>
      <c r="B816" t="s">
        <v>185</v>
      </c>
      <c r="C816" t="s">
        <v>202</v>
      </c>
      <c r="D816" t="s">
        <v>217</v>
      </c>
      <c r="E816">
        <f>IF(LEFT(D816,6)="CLIENT",IFERROR(VLOOKUP(C816,Config_Carteiras!$A:$B,2,FALSE),1),"")</f>
        <v>1</v>
      </c>
      <c r="F816" s="25">
        <v>661.3</v>
      </c>
      <c r="G816" s="28">
        <f>IF(LEFT(D816,6)="CLIENT",IF(E816=0,WORKDAY(A816-1,1,Dias_Sem_Compensacao!$A$2:$A$500),WORKDAY(A816,E816,Dias_Sem_Compensacao!$A$2:$A$500)),"")</f>
        <v>46324</v>
      </c>
      <c r="H816" s="25">
        <v>0</v>
      </c>
      <c r="I816" s="28">
        <v>46323</v>
      </c>
      <c r="J816" t="s">
        <v>475</v>
      </c>
      <c r="K816" t="s">
        <v>476</v>
      </c>
    </row>
    <row r="817" spans="1:11" hidden="1">
      <c r="A817" s="28">
        <v>46324</v>
      </c>
      <c r="B817" t="s">
        <v>185</v>
      </c>
      <c r="C817" t="s">
        <v>202</v>
      </c>
      <c r="D817" t="s">
        <v>217</v>
      </c>
      <c r="E817">
        <f>IF(LEFT(D817,6)="CLIENT",IFERROR(VLOOKUP(C817,Config_Carteiras!$A:$B,2,FALSE),1),"")</f>
        <v>1</v>
      </c>
      <c r="F817" s="25">
        <v>417.2</v>
      </c>
      <c r="G817" s="28">
        <f>IF(LEFT(D817,6)="CLIENT",IF(E817=0,WORKDAY(A817-1,1,Dias_Sem_Compensacao!$A$2:$A$500),WORKDAY(A817,E817,Dias_Sem_Compensacao!$A$2:$A$500)),"")</f>
        <v>46325</v>
      </c>
      <c r="H817" s="25">
        <v>0</v>
      </c>
      <c r="I817" s="28">
        <v>46324</v>
      </c>
      <c r="J817" t="s">
        <v>928</v>
      </c>
      <c r="K817" t="s">
        <v>990</v>
      </c>
    </row>
    <row r="818" spans="1:11" hidden="1">
      <c r="A818" s="28">
        <v>46324</v>
      </c>
      <c r="B818" t="s">
        <v>185</v>
      </c>
      <c r="C818" t="s">
        <v>202</v>
      </c>
      <c r="D818" t="s">
        <v>217</v>
      </c>
      <c r="E818">
        <f>IF(LEFT(D818,6)="CLIENT",IFERROR(VLOOKUP(C818,Config_Carteiras!$A:$B,2,FALSE),1),"")</f>
        <v>1</v>
      </c>
      <c r="F818" s="25">
        <v>514</v>
      </c>
      <c r="G818" s="28">
        <f>IF(LEFT(D818,6)="CLIENT",IF(E818=0,WORKDAY(A818-1,1,Dias_Sem_Compensacao!$A$2:$A$500),WORKDAY(A818,E818,Dias_Sem_Compensacao!$A$2:$A$500)),"")</f>
        <v>46325</v>
      </c>
      <c r="H818" s="25">
        <v>0</v>
      </c>
      <c r="I818" s="28">
        <v>46324</v>
      </c>
      <c r="K818" t="s">
        <v>929</v>
      </c>
    </row>
    <row r="819" spans="1:11" hidden="1">
      <c r="A819" s="28">
        <v>46324</v>
      </c>
      <c r="B819" t="s">
        <v>185</v>
      </c>
      <c r="C819" t="s">
        <v>202</v>
      </c>
      <c r="D819" t="s">
        <v>217</v>
      </c>
      <c r="E819">
        <f>IF(LEFT(D819,6)="CLIENT",IFERROR(VLOOKUP(C819,Config_Carteiras!$A:$B,2,FALSE),1),"")</f>
        <v>1</v>
      </c>
      <c r="F819" s="25">
        <v>486</v>
      </c>
      <c r="G819" s="28">
        <f>IF(LEFT(D819,6)="CLIENT",IF(E819=0,WORKDAY(A819-1,1,Dias_Sem_Compensacao!$A$2:$A$500),WORKDAY(A819,E819,Dias_Sem_Compensacao!$A$2:$A$500)),"")</f>
        <v>46325</v>
      </c>
      <c r="H819" s="25">
        <v>0</v>
      </c>
      <c r="I819" s="28">
        <v>46324</v>
      </c>
      <c r="J819" t="s">
        <v>932</v>
      </c>
      <c r="K819" t="s">
        <v>933</v>
      </c>
    </row>
    <row r="820" spans="1:11" hidden="1">
      <c r="A820" s="28">
        <v>46324</v>
      </c>
      <c r="B820" t="s">
        <v>185</v>
      </c>
      <c r="C820" t="s">
        <v>202</v>
      </c>
      <c r="D820" t="s">
        <v>217</v>
      </c>
      <c r="E820">
        <f>IF(LEFT(D820,6)="CLIENT",IFERROR(VLOOKUP(C820,Config_Carteiras!$A:$B,2,FALSE),1),"")</f>
        <v>1</v>
      </c>
      <c r="F820" s="25">
        <v>405.5</v>
      </c>
      <c r="G820" s="28">
        <f>IF(LEFT(D820,6)="CLIENT",IF(E820=0,WORKDAY(A820-1,1,Dias_Sem_Compensacao!$A$2:$A$500),WORKDAY(A820,E820,Dias_Sem_Compensacao!$A$2:$A$500)),"")</f>
        <v>46325</v>
      </c>
      <c r="H820" s="25">
        <v>0</v>
      </c>
      <c r="I820" s="28">
        <v>46324</v>
      </c>
      <c r="J820" t="s">
        <v>935</v>
      </c>
      <c r="K820" t="s">
        <v>936</v>
      </c>
    </row>
    <row r="821" spans="1:11" hidden="1">
      <c r="A821" s="28">
        <v>46324</v>
      </c>
      <c r="B821" t="s">
        <v>185</v>
      </c>
      <c r="C821" t="s">
        <v>202</v>
      </c>
      <c r="D821" t="s">
        <v>217</v>
      </c>
      <c r="E821">
        <f>IF(LEFT(D821,6)="CLIENT",IFERROR(VLOOKUP(C821,Config_Carteiras!$A:$B,2,FALSE),1),"")</f>
        <v>1</v>
      </c>
      <c r="F821" s="25">
        <v>1981.56</v>
      </c>
      <c r="G821" s="28">
        <f>IF(LEFT(D821,6)="CLIENT",IF(E821=0,WORKDAY(A821-1,1,Dias_Sem_Compensacao!$A$2:$A$500),WORKDAY(A821,E821,Dias_Sem_Compensacao!$A$2:$A$500)),"")</f>
        <v>46325</v>
      </c>
      <c r="H821" s="25">
        <v>0</v>
      </c>
      <c r="I821" s="28">
        <v>46324</v>
      </c>
      <c r="J821" t="s">
        <v>537</v>
      </c>
      <c r="K821" t="s">
        <v>538</v>
      </c>
    </row>
    <row r="822" spans="1:11" hidden="1">
      <c r="A822" s="28">
        <v>46325</v>
      </c>
      <c r="B822" t="s">
        <v>185</v>
      </c>
      <c r="C822" t="s">
        <v>202</v>
      </c>
      <c r="D822" t="s">
        <v>217</v>
      </c>
      <c r="E822">
        <f>IF(LEFT(D822,6)="CLIENT",IFERROR(VLOOKUP(C822,Config_Carteiras!$A:$B,2,FALSE),1),"")</f>
        <v>1</v>
      </c>
      <c r="F822" s="25">
        <v>360</v>
      </c>
      <c r="G822" s="28">
        <f>IF(LEFT(D822,6)="CLIENT",IF(E822=0,WORKDAY(A822-1,1,Dias_Sem_Compensacao!$A$2:$A$500),WORKDAY(A822,E822,Dias_Sem_Compensacao!$A$2:$A$500)),"")</f>
        <v>46328</v>
      </c>
      <c r="H822" s="25">
        <v>0</v>
      </c>
      <c r="I822" s="28">
        <v>46325</v>
      </c>
      <c r="J822" t="s">
        <v>354</v>
      </c>
      <c r="K822" t="s">
        <v>945</v>
      </c>
    </row>
    <row r="823" spans="1:11" hidden="1">
      <c r="A823" s="28">
        <v>46329</v>
      </c>
      <c r="B823" t="s">
        <v>185</v>
      </c>
      <c r="C823" t="s">
        <v>202</v>
      </c>
      <c r="D823" t="s">
        <v>217</v>
      </c>
      <c r="E823">
        <f>IF(LEFT(D823,6)="CLIENT",IFERROR(VLOOKUP(C823,Config_Carteiras!$A:$B,2,FALSE),1),"")</f>
        <v>1</v>
      </c>
      <c r="F823" s="25">
        <v>1267</v>
      </c>
      <c r="G823" s="28">
        <f>IF(LEFT(D823,6)="CLIENT",IF(E823=0,WORKDAY(A823-1,1,Dias_Sem_Compensacao!$A$2:$A$500),WORKDAY(A823,E823,Dias_Sem_Compensacao!$A$2:$A$500)),"")</f>
        <v>46330</v>
      </c>
      <c r="H823" s="25">
        <v>0</v>
      </c>
      <c r="I823" s="28">
        <v>46329</v>
      </c>
      <c r="J823" t="s">
        <v>261</v>
      </c>
      <c r="K823" t="s">
        <v>948</v>
      </c>
    </row>
    <row r="824" spans="1:11" hidden="1">
      <c r="A824" s="28">
        <v>46329</v>
      </c>
      <c r="B824" t="s">
        <v>185</v>
      </c>
      <c r="C824" t="s">
        <v>202</v>
      </c>
      <c r="D824" t="s">
        <v>217</v>
      </c>
      <c r="E824">
        <f>IF(LEFT(D824,6)="CLIENT",IFERROR(VLOOKUP(C824,Config_Carteiras!$A:$B,2,FALSE),1),"")</f>
        <v>1</v>
      </c>
      <c r="F824" s="25">
        <v>1348</v>
      </c>
      <c r="G824" s="28">
        <f>IF(LEFT(D824,6)="CLIENT",IF(E824=0,WORKDAY(A824-1,1,Dias_Sem_Compensacao!$A$2:$A$500),WORKDAY(A824,E824,Dias_Sem_Compensacao!$A$2:$A$500)),"")</f>
        <v>46330</v>
      </c>
      <c r="H824" s="25">
        <v>0</v>
      </c>
      <c r="I824" s="28">
        <v>46329</v>
      </c>
      <c r="J824" t="s">
        <v>269</v>
      </c>
      <c r="K824" t="s">
        <v>949</v>
      </c>
    </row>
    <row r="825" spans="1:11" hidden="1">
      <c r="A825" s="28">
        <v>46329</v>
      </c>
      <c r="B825" t="s">
        <v>185</v>
      </c>
      <c r="C825" t="s">
        <v>202</v>
      </c>
      <c r="D825" t="s">
        <v>217</v>
      </c>
      <c r="E825">
        <f>IF(LEFT(D825,6)="CLIENT",IFERROR(VLOOKUP(C825,Config_Carteiras!$A:$B,2,FALSE),1),"")</f>
        <v>1</v>
      </c>
      <c r="F825" s="25">
        <v>542</v>
      </c>
      <c r="G825" s="28">
        <f>IF(LEFT(D825,6)="CLIENT",IF(E825=0,WORKDAY(A825-1,1,Dias_Sem_Compensacao!$A$2:$A$500),WORKDAY(A825,E825,Dias_Sem_Compensacao!$A$2:$A$500)),"")</f>
        <v>46330</v>
      </c>
      <c r="H825" s="25">
        <v>0</v>
      </c>
      <c r="I825" s="28">
        <v>46329</v>
      </c>
      <c r="J825" t="s">
        <v>660</v>
      </c>
      <c r="K825" t="s">
        <v>661</v>
      </c>
    </row>
    <row r="826" spans="1:11" hidden="1">
      <c r="A826" s="28">
        <v>46329</v>
      </c>
      <c r="B826" t="s">
        <v>185</v>
      </c>
      <c r="C826" t="s">
        <v>202</v>
      </c>
      <c r="D826" t="s">
        <v>217</v>
      </c>
      <c r="E826">
        <f>IF(LEFT(D826,6)="CLIENT",IFERROR(VLOOKUP(C826,Config_Carteiras!$A:$B,2,FALSE),1),"")</f>
        <v>1</v>
      </c>
      <c r="F826" s="25">
        <v>398.5</v>
      </c>
      <c r="G826" s="28">
        <f>IF(LEFT(D826,6)="CLIENT",IF(E826=0,WORKDAY(A826-1,1,Dias_Sem_Compensacao!$A$2:$A$500),WORKDAY(A826,E826,Dias_Sem_Compensacao!$A$2:$A$500)),"")</f>
        <v>46330</v>
      </c>
      <c r="H826" s="25">
        <v>0</v>
      </c>
      <c r="I826" s="28">
        <v>46329</v>
      </c>
      <c r="J826" t="s">
        <v>663</v>
      </c>
      <c r="K826" t="s">
        <v>664</v>
      </c>
    </row>
    <row r="827" spans="1:11" hidden="1">
      <c r="A827" s="28">
        <v>46329</v>
      </c>
      <c r="B827" t="s">
        <v>185</v>
      </c>
      <c r="C827" t="s">
        <v>202</v>
      </c>
      <c r="D827" t="s">
        <v>217</v>
      </c>
      <c r="E827">
        <f>IF(LEFT(D827,6)="CLIENT",IFERROR(VLOOKUP(C827,Config_Carteiras!$A:$B,2,FALSE),1),"")</f>
        <v>1</v>
      </c>
      <c r="F827" s="25">
        <v>667</v>
      </c>
      <c r="G827" s="28">
        <f>IF(LEFT(D827,6)="CLIENT",IF(E827=0,WORKDAY(A827-1,1,Dias_Sem_Compensacao!$A$2:$A$500),WORKDAY(A827,E827,Dias_Sem_Compensacao!$A$2:$A$500)),"")</f>
        <v>46330</v>
      </c>
      <c r="H827" s="25">
        <v>0</v>
      </c>
      <c r="I827" s="28">
        <v>46329</v>
      </c>
      <c r="J827" t="s">
        <v>835</v>
      </c>
      <c r="K827" t="s">
        <v>836</v>
      </c>
    </row>
    <row r="828" spans="1:11" hidden="1">
      <c r="A828" s="28">
        <v>46329</v>
      </c>
      <c r="B828" t="s">
        <v>185</v>
      </c>
      <c r="C828" t="s">
        <v>202</v>
      </c>
      <c r="D828" t="s">
        <v>217</v>
      </c>
      <c r="E828">
        <f>IF(LEFT(D828,6)="CLIENT",IFERROR(VLOOKUP(C828,Config_Carteiras!$A:$B,2,FALSE),1),"")</f>
        <v>1</v>
      </c>
      <c r="F828" s="25">
        <v>360</v>
      </c>
      <c r="G828" s="28">
        <f>IF(LEFT(D828,6)="CLIENT",IF(E828=0,WORKDAY(A828-1,1,Dias_Sem_Compensacao!$A$2:$A$500),WORKDAY(A828,E828,Dias_Sem_Compensacao!$A$2:$A$500)),"")</f>
        <v>46330</v>
      </c>
      <c r="H828" s="25">
        <v>0</v>
      </c>
      <c r="I828" s="28">
        <v>46329</v>
      </c>
      <c r="J828" t="s">
        <v>354</v>
      </c>
      <c r="K828" t="s">
        <v>625</v>
      </c>
    </row>
    <row r="829" spans="1:11" hidden="1">
      <c r="A829" s="28">
        <v>46329</v>
      </c>
      <c r="B829" t="s">
        <v>185</v>
      </c>
      <c r="C829" t="s">
        <v>202</v>
      </c>
      <c r="D829" t="s">
        <v>217</v>
      </c>
      <c r="E829">
        <f>IF(LEFT(D829,6)="CLIENT",IFERROR(VLOOKUP(C829,Config_Carteiras!$A:$B,2,FALSE),1),"")</f>
        <v>1</v>
      </c>
      <c r="F829" s="25">
        <v>480</v>
      </c>
      <c r="G829" s="28">
        <f>IF(LEFT(D829,6)="CLIENT",IF(E829=0,WORKDAY(A829-1,1,Dias_Sem_Compensacao!$A$2:$A$500),WORKDAY(A829,E829,Dias_Sem_Compensacao!$A$2:$A$500)),"")</f>
        <v>46330</v>
      </c>
      <c r="H829" s="25">
        <v>0</v>
      </c>
      <c r="I829" s="28">
        <v>46329</v>
      </c>
      <c r="K829" t="s">
        <v>626</v>
      </c>
    </row>
    <row r="830" spans="1:11" hidden="1">
      <c r="A830" s="28">
        <v>46330</v>
      </c>
      <c r="B830" t="s">
        <v>185</v>
      </c>
      <c r="C830" t="s">
        <v>202</v>
      </c>
      <c r="D830" t="s">
        <v>217</v>
      </c>
      <c r="E830">
        <f>IF(LEFT(D830,6)="CLIENT",IFERROR(VLOOKUP(C830,Config_Carteiras!$A:$B,2,FALSE),1),"")</f>
        <v>1</v>
      </c>
      <c r="F830" s="25">
        <v>1102.2</v>
      </c>
      <c r="G830" s="28">
        <f>IF(LEFT(D830,6)="CLIENT",IF(E830=0,WORKDAY(A830-1,1,Dias_Sem_Compensacao!$A$2:$A$500),WORKDAY(A830,E830,Dias_Sem_Compensacao!$A$2:$A$500)),"")</f>
        <v>46331</v>
      </c>
      <c r="H830" s="25">
        <v>0</v>
      </c>
      <c r="I830" s="28">
        <v>46330</v>
      </c>
      <c r="J830" t="s">
        <v>407</v>
      </c>
      <c r="K830" t="s">
        <v>408</v>
      </c>
    </row>
    <row r="831" spans="1:11" hidden="1">
      <c r="A831" s="28">
        <v>46330</v>
      </c>
      <c r="B831" t="s">
        <v>185</v>
      </c>
      <c r="C831" t="s">
        <v>202</v>
      </c>
      <c r="D831" t="s">
        <v>217</v>
      </c>
      <c r="E831">
        <f>IF(LEFT(D831,6)="CLIENT",IFERROR(VLOOKUP(C831,Config_Carteiras!$A:$B,2,FALSE),1),"")</f>
        <v>1</v>
      </c>
      <c r="F831" s="25">
        <v>1155</v>
      </c>
      <c r="G831" s="28">
        <f>IF(LEFT(D831,6)="CLIENT",IF(E831=0,WORKDAY(A831-1,1,Dias_Sem_Compensacao!$A$2:$A$500),WORKDAY(A831,E831,Dias_Sem_Compensacao!$A$2:$A$500)),"")</f>
        <v>46331</v>
      </c>
      <c r="H831" s="25">
        <v>0</v>
      </c>
      <c r="I831" s="28">
        <v>46330</v>
      </c>
      <c r="J831" t="s">
        <v>224</v>
      </c>
      <c r="K831" t="s">
        <v>886</v>
      </c>
    </row>
    <row r="832" spans="1:11" hidden="1">
      <c r="A832" s="28">
        <v>46330</v>
      </c>
      <c r="B832" t="s">
        <v>185</v>
      </c>
      <c r="C832" t="s">
        <v>202</v>
      </c>
      <c r="D832" t="s">
        <v>217</v>
      </c>
      <c r="E832">
        <f>IF(LEFT(D832,6)="CLIENT",IFERROR(VLOOKUP(C832,Config_Carteiras!$A:$B,2,FALSE),1),"")</f>
        <v>1</v>
      </c>
      <c r="F832" s="25">
        <v>526.6</v>
      </c>
      <c r="G832" s="28">
        <f>IF(LEFT(D832,6)="CLIENT",IF(E832=0,WORKDAY(A832-1,1,Dias_Sem_Compensacao!$A$2:$A$500),WORKDAY(A832,E832,Dias_Sem_Compensacao!$A$2:$A$500)),"")</f>
        <v>46331</v>
      </c>
      <c r="H832" s="25">
        <v>0</v>
      </c>
      <c r="I832" s="28">
        <v>46330</v>
      </c>
      <c r="J832" t="s">
        <v>889</v>
      </c>
      <c r="K832" t="s">
        <v>890</v>
      </c>
    </row>
    <row r="833" spans="1:11" hidden="1">
      <c r="A833" s="28">
        <v>46330</v>
      </c>
      <c r="B833" t="s">
        <v>185</v>
      </c>
      <c r="C833" t="s">
        <v>202</v>
      </c>
      <c r="D833" t="s">
        <v>217</v>
      </c>
      <c r="E833">
        <f>IF(LEFT(D833,6)="CLIENT",IFERROR(VLOOKUP(C833,Config_Carteiras!$A:$B,2,FALSE),1),"")</f>
        <v>1</v>
      </c>
      <c r="F833" s="25">
        <v>1813.56</v>
      </c>
      <c r="G833" s="28">
        <f>IF(LEFT(D833,6)="CLIENT",IF(E833=0,WORKDAY(A833-1,1,Dias_Sem_Compensacao!$A$2:$A$500),WORKDAY(A833,E833,Dias_Sem_Compensacao!$A$2:$A$500)),"")</f>
        <v>46331</v>
      </c>
      <c r="H833" s="25">
        <v>0</v>
      </c>
      <c r="I833" s="28">
        <v>46330</v>
      </c>
      <c r="J833" t="s">
        <v>729</v>
      </c>
      <c r="K833" t="s">
        <v>730</v>
      </c>
    </row>
    <row r="834" spans="1:11" hidden="1">
      <c r="A834" s="28">
        <v>46330</v>
      </c>
      <c r="B834" t="s">
        <v>185</v>
      </c>
      <c r="C834" t="s">
        <v>202</v>
      </c>
      <c r="D834" t="s">
        <v>217</v>
      </c>
      <c r="E834">
        <f>IF(LEFT(D834,6)="CLIENT",IFERROR(VLOOKUP(C834,Config_Carteiras!$A:$B,2,FALSE),1),"")</f>
        <v>1</v>
      </c>
      <c r="F834" s="25">
        <v>1790.71</v>
      </c>
      <c r="G834" s="28">
        <f>IF(LEFT(D834,6)="CLIENT",IF(E834=0,WORKDAY(A834-1,1,Dias_Sem_Compensacao!$A$2:$A$500),WORKDAY(A834,E834,Dias_Sem_Compensacao!$A$2:$A$500)),"")</f>
        <v>46331</v>
      </c>
      <c r="H834" s="25">
        <v>0</v>
      </c>
      <c r="I834" s="28">
        <v>46330</v>
      </c>
      <c r="J834" t="s">
        <v>898</v>
      </c>
      <c r="K834" t="s">
        <v>899</v>
      </c>
    </row>
    <row r="835" spans="1:11" hidden="1">
      <c r="A835" s="28">
        <v>46330</v>
      </c>
      <c r="B835" t="s">
        <v>185</v>
      </c>
      <c r="C835" t="s">
        <v>202</v>
      </c>
      <c r="D835" t="s">
        <v>217</v>
      </c>
      <c r="E835">
        <f>IF(LEFT(D835,6)="CLIENT",IFERROR(VLOOKUP(C835,Config_Carteiras!$A:$B,2,FALSE),1),"")</f>
        <v>1</v>
      </c>
      <c r="F835" s="25">
        <v>1767.86</v>
      </c>
      <c r="G835" s="28">
        <f>IF(LEFT(D835,6)="CLIENT",IF(E835=0,WORKDAY(A835-1,1,Dias_Sem_Compensacao!$A$2:$A$500),WORKDAY(A835,E835,Dias_Sem_Compensacao!$A$2:$A$500)),"")</f>
        <v>46331</v>
      </c>
      <c r="H835" s="25">
        <v>0</v>
      </c>
      <c r="I835" s="28">
        <v>46330</v>
      </c>
      <c r="J835" t="s">
        <v>901</v>
      </c>
      <c r="K835" t="s">
        <v>902</v>
      </c>
    </row>
    <row r="836" spans="1:11" hidden="1">
      <c r="A836" s="28">
        <v>46330</v>
      </c>
      <c r="B836" t="s">
        <v>185</v>
      </c>
      <c r="C836" t="s">
        <v>202</v>
      </c>
      <c r="D836" t="s">
        <v>217</v>
      </c>
      <c r="E836">
        <f>IF(LEFT(D836,6)="CLIENT",IFERROR(VLOOKUP(C836,Config_Carteiras!$A:$B,2,FALSE),1),"")</f>
        <v>1</v>
      </c>
      <c r="F836" s="25">
        <v>684</v>
      </c>
      <c r="G836" s="28">
        <f>IF(LEFT(D836,6)="CLIENT",IF(E836=0,WORKDAY(A836-1,1,Dias_Sem_Compensacao!$A$2:$A$500),WORKDAY(A836,E836,Dias_Sem_Compensacao!$A$2:$A$500)),"")</f>
        <v>46331</v>
      </c>
      <c r="H836" s="25">
        <v>0</v>
      </c>
      <c r="I836" s="28">
        <v>46330</v>
      </c>
      <c r="J836" t="s">
        <v>562</v>
      </c>
      <c r="K836" t="s">
        <v>920</v>
      </c>
    </row>
    <row r="837" spans="1:11" hidden="1">
      <c r="A837" s="28">
        <v>46330</v>
      </c>
      <c r="B837" t="s">
        <v>185</v>
      </c>
      <c r="C837" t="s">
        <v>202</v>
      </c>
      <c r="D837" t="s">
        <v>217</v>
      </c>
      <c r="E837">
        <f>IF(LEFT(D837,6)="CLIENT",IFERROR(VLOOKUP(C837,Config_Carteiras!$A:$B,2,FALSE),1),"")</f>
        <v>1</v>
      </c>
      <c r="F837" s="25">
        <v>1947.3</v>
      </c>
      <c r="G837" s="28">
        <f>IF(LEFT(D837,6)="CLIENT",IF(E837=0,WORKDAY(A837-1,1,Dias_Sem_Compensacao!$A$2:$A$500),WORKDAY(A837,E837,Dias_Sem_Compensacao!$A$2:$A$500)),"")</f>
        <v>46331</v>
      </c>
      <c r="H837" s="25">
        <v>0</v>
      </c>
      <c r="I837" s="28">
        <v>46330</v>
      </c>
      <c r="J837" t="s">
        <v>749</v>
      </c>
      <c r="K837" t="s">
        <v>750</v>
      </c>
    </row>
    <row r="838" spans="1:11" hidden="1">
      <c r="A838" s="28">
        <v>46335</v>
      </c>
      <c r="B838" t="s">
        <v>185</v>
      </c>
      <c r="C838" t="s">
        <v>202</v>
      </c>
      <c r="D838" t="s">
        <v>217</v>
      </c>
      <c r="E838">
        <f>IF(LEFT(D838,6)="CLIENT",IFERROR(VLOOKUP(C838,Config_Carteiras!$A:$B,2,FALSE),1),"")</f>
        <v>1</v>
      </c>
      <c r="F838" s="25">
        <v>1266.5</v>
      </c>
      <c r="G838" s="28">
        <f>IF(LEFT(D838,6)="CLIENT",IF(E838=0,WORKDAY(A838-1,1,Dias_Sem_Compensacao!$A$2:$A$500),WORKDAY(A838,E838,Dias_Sem_Compensacao!$A$2:$A$500)),"")</f>
        <v>46336</v>
      </c>
      <c r="H838" s="25">
        <v>0</v>
      </c>
      <c r="I838" s="28">
        <v>46335</v>
      </c>
      <c r="J838" t="s">
        <v>261</v>
      </c>
      <c r="K838" t="s">
        <v>948</v>
      </c>
    </row>
    <row r="839" spans="1:11" hidden="1">
      <c r="A839" s="28">
        <v>46336</v>
      </c>
      <c r="B839" t="s">
        <v>185</v>
      </c>
      <c r="C839" t="s">
        <v>202</v>
      </c>
      <c r="D839" t="s">
        <v>217</v>
      </c>
      <c r="E839">
        <f>IF(LEFT(D839,6)="CLIENT",IFERROR(VLOOKUP(C839,Config_Carteiras!$A:$B,2,FALSE),1),"")</f>
        <v>1</v>
      </c>
      <c r="F839" s="25">
        <v>669.5</v>
      </c>
      <c r="G839" s="28">
        <f>IF(LEFT(D839,6)="CLIENT",IF(E839=0,WORKDAY(A839-1,1,Dias_Sem_Compensacao!$A$2:$A$500),WORKDAY(A839,E839,Dias_Sem_Compensacao!$A$2:$A$500)),"")</f>
        <v>46337</v>
      </c>
      <c r="H839" s="25">
        <v>0</v>
      </c>
      <c r="I839" s="28">
        <v>46336</v>
      </c>
      <c r="J839" t="s">
        <v>835</v>
      </c>
      <c r="K839" t="s">
        <v>836</v>
      </c>
    </row>
    <row r="840" spans="1:11" hidden="1">
      <c r="A840" s="28">
        <v>46337</v>
      </c>
      <c r="B840" t="s">
        <v>185</v>
      </c>
      <c r="C840" t="s">
        <v>202</v>
      </c>
      <c r="D840" t="s">
        <v>217</v>
      </c>
      <c r="E840">
        <f>IF(LEFT(D840,6)="CLIENT",IFERROR(VLOOKUP(C840,Config_Carteiras!$A:$B,2,FALSE),1),"")</f>
        <v>1</v>
      </c>
      <c r="F840" s="25">
        <v>1818.64</v>
      </c>
      <c r="G840" s="28">
        <f>IF(LEFT(D840,6)="CLIENT",IF(E840=0,WORKDAY(A840-1,1,Dias_Sem_Compensacao!$A$2:$A$500),WORKDAY(A840,E840,Dias_Sem_Compensacao!$A$2:$A$500)),"")</f>
        <v>46338</v>
      </c>
      <c r="H840" s="25">
        <v>0</v>
      </c>
      <c r="I840" s="28">
        <v>46337</v>
      </c>
      <c r="J840" t="s">
        <v>729</v>
      </c>
      <c r="K840" t="s">
        <v>730</v>
      </c>
    </row>
    <row r="841" spans="1:11" hidden="1">
      <c r="A841" s="28">
        <v>46337</v>
      </c>
      <c r="B841" t="s">
        <v>185</v>
      </c>
      <c r="C841" t="s">
        <v>202</v>
      </c>
      <c r="D841" t="s">
        <v>217</v>
      </c>
      <c r="E841">
        <f>IF(LEFT(D841,6)="CLIENT",IFERROR(VLOOKUP(C841,Config_Carteiras!$A:$B,2,FALSE),1),"")</f>
        <v>1</v>
      </c>
      <c r="F841" s="25">
        <v>1795.74</v>
      </c>
      <c r="G841" s="28">
        <f>IF(LEFT(D841,6)="CLIENT",IF(E841=0,WORKDAY(A841-1,1,Dias_Sem_Compensacao!$A$2:$A$500),WORKDAY(A841,E841,Dias_Sem_Compensacao!$A$2:$A$500)),"")</f>
        <v>46338</v>
      </c>
      <c r="H841" s="25">
        <v>0</v>
      </c>
      <c r="I841" s="28">
        <v>46337</v>
      </c>
      <c r="J841" t="s">
        <v>898</v>
      </c>
      <c r="K841" t="s">
        <v>899</v>
      </c>
    </row>
    <row r="842" spans="1:11" hidden="1">
      <c r="A842" s="28">
        <v>46337</v>
      </c>
      <c r="B842" t="s">
        <v>185</v>
      </c>
      <c r="C842" t="s">
        <v>202</v>
      </c>
      <c r="D842" t="s">
        <v>217</v>
      </c>
      <c r="E842">
        <f>IF(LEFT(D842,6)="CLIENT",IFERROR(VLOOKUP(C842,Config_Carteiras!$A:$B,2,FALSE),1),"")</f>
        <v>1</v>
      </c>
      <c r="F842" s="25">
        <v>1772.84</v>
      </c>
      <c r="G842" s="28">
        <f>IF(LEFT(D842,6)="CLIENT",IF(E842=0,WORKDAY(A842-1,1,Dias_Sem_Compensacao!$A$2:$A$500),WORKDAY(A842,E842,Dias_Sem_Compensacao!$A$2:$A$500)),"")</f>
        <v>46338</v>
      </c>
      <c r="H842" s="25">
        <v>0</v>
      </c>
      <c r="I842" s="28">
        <v>46337</v>
      </c>
      <c r="J842" t="s">
        <v>901</v>
      </c>
      <c r="K842" t="s">
        <v>902</v>
      </c>
    </row>
    <row r="843" spans="1:11" hidden="1">
      <c r="A843" s="28">
        <v>46247</v>
      </c>
      <c r="B843" t="s">
        <v>186</v>
      </c>
      <c r="C843" t="s">
        <v>203</v>
      </c>
      <c r="D843" t="s">
        <v>217</v>
      </c>
      <c r="E843">
        <f>IF(LEFT(D843,6)="CLIENT",IFERROR(VLOOKUP(C843,Config_Carteiras!$A:$B,2,FALSE),1),"")</f>
        <v>1</v>
      </c>
      <c r="F843" s="25">
        <v>545.02</v>
      </c>
      <c r="G843" s="28">
        <f>IF(LEFT(D843,6)="CLIENT",IF(E843=0,WORKDAY(A843-1,1,Dias_Sem_Compensacao!$A$2:$A$500),WORKDAY(A843,E843,Dias_Sem_Compensacao!$A$2:$A$500)),"")</f>
        <v>46248</v>
      </c>
      <c r="H843" s="25">
        <v>0</v>
      </c>
      <c r="I843" s="28">
        <v>46247</v>
      </c>
      <c r="J843" t="s">
        <v>1009</v>
      </c>
      <c r="K843" t="s">
        <v>1010</v>
      </c>
    </row>
    <row r="844" spans="1:11" hidden="1">
      <c r="A844" s="28">
        <v>46266</v>
      </c>
      <c r="B844" t="s">
        <v>186</v>
      </c>
      <c r="C844" t="s">
        <v>203</v>
      </c>
      <c r="D844" t="s">
        <v>217</v>
      </c>
      <c r="E844">
        <f>IF(LEFT(D844,6)="CLIENT",IFERROR(VLOOKUP(C844,Config_Carteiras!$A:$B,2,FALSE),1),"")</f>
        <v>1</v>
      </c>
      <c r="F844" s="25">
        <v>600</v>
      </c>
      <c r="G844" s="28">
        <f>IF(LEFT(D844,6)="CLIENT",IF(E844=0,WORKDAY(A844-1,1,Dias_Sem_Compensacao!$A$2:$A$500),WORKDAY(A844,E844,Dias_Sem_Compensacao!$A$2:$A$500)),"")</f>
        <v>46267</v>
      </c>
      <c r="H844" s="25">
        <v>0</v>
      </c>
      <c r="I844" s="28">
        <v>46266</v>
      </c>
      <c r="J844" t="s">
        <v>354</v>
      </c>
      <c r="K844" t="s">
        <v>1011</v>
      </c>
    </row>
    <row r="845" spans="1:11" hidden="1">
      <c r="A845" s="28">
        <v>46268</v>
      </c>
      <c r="B845" t="s">
        <v>186</v>
      </c>
      <c r="C845" t="s">
        <v>203</v>
      </c>
      <c r="D845" t="s">
        <v>217</v>
      </c>
      <c r="E845">
        <f>IF(LEFT(D845,6)="CLIENT",IFERROR(VLOOKUP(C845,Config_Carteiras!$A:$B,2,FALSE),1),"")</f>
        <v>1</v>
      </c>
      <c r="F845" s="25">
        <v>4985</v>
      </c>
      <c r="G845" s="28">
        <f>IF(LEFT(D845,6)="CLIENT",IF(E845=0,WORKDAY(A845-1,1,Dias_Sem_Compensacao!$A$2:$A$500),WORKDAY(A845,E845,Dias_Sem_Compensacao!$A$2:$A$500)),"")</f>
        <v>46269</v>
      </c>
      <c r="H845" s="25">
        <v>0</v>
      </c>
      <c r="I845" s="28">
        <v>46268</v>
      </c>
      <c r="J845" t="s">
        <v>1012</v>
      </c>
      <c r="K845" t="s">
        <v>1013</v>
      </c>
    </row>
    <row r="846" spans="1:11" hidden="1">
      <c r="A846" s="28">
        <v>46273</v>
      </c>
      <c r="B846" t="s">
        <v>186</v>
      </c>
      <c r="C846" t="s">
        <v>203</v>
      </c>
      <c r="D846" t="s">
        <v>217</v>
      </c>
      <c r="E846">
        <f>IF(LEFT(D846,6)="CLIENT",IFERROR(VLOOKUP(C846,Config_Carteiras!$A:$B,2,FALSE),1),"")</f>
        <v>1</v>
      </c>
      <c r="F846" s="25">
        <v>23587</v>
      </c>
      <c r="G846" s="28">
        <f>IF(LEFT(D846,6)="CLIENT",IF(E846=0,WORKDAY(A846-1,1,Dias_Sem_Compensacao!$A$2:$A$500),WORKDAY(A846,E846,Dias_Sem_Compensacao!$A$2:$A$500)),"")</f>
        <v>46274</v>
      </c>
      <c r="H846" s="25">
        <v>0</v>
      </c>
      <c r="I846" s="28">
        <v>46273</v>
      </c>
      <c r="J846" t="s">
        <v>1014</v>
      </c>
      <c r="K846" t="s">
        <v>1015</v>
      </c>
    </row>
    <row r="847" spans="1:11" hidden="1">
      <c r="A847" s="28">
        <v>46273</v>
      </c>
      <c r="B847" t="s">
        <v>186</v>
      </c>
      <c r="C847" t="s">
        <v>203</v>
      </c>
      <c r="D847" t="s">
        <v>217</v>
      </c>
      <c r="E847">
        <f>IF(LEFT(D847,6)="CLIENT",IFERROR(VLOOKUP(C847,Config_Carteiras!$A:$B,2,FALSE),1),"")</f>
        <v>1</v>
      </c>
      <c r="F847" s="25">
        <v>4790</v>
      </c>
      <c r="G847" s="28">
        <f>IF(LEFT(D847,6)="CLIENT",IF(E847=0,WORKDAY(A847-1,1,Dias_Sem_Compensacao!$A$2:$A$500),WORKDAY(A847,E847,Dias_Sem_Compensacao!$A$2:$A$500)),"")</f>
        <v>46274</v>
      </c>
      <c r="H847" s="25">
        <v>0</v>
      </c>
      <c r="I847" s="28">
        <v>46273</v>
      </c>
      <c r="J847" t="s">
        <v>1016</v>
      </c>
      <c r="K847" t="s">
        <v>1017</v>
      </c>
    </row>
    <row r="848" spans="1:11" hidden="1">
      <c r="A848" s="28">
        <v>46273</v>
      </c>
      <c r="B848" t="s">
        <v>186</v>
      </c>
      <c r="C848" t="s">
        <v>203</v>
      </c>
      <c r="D848" t="s">
        <v>217</v>
      </c>
      <c r="E848">
        <f>IF(LEFT(D848,6)="CLIENT",IFERROR(VLOOKUP(C848,Config_Carteiras!$A:$B,2,FALSE),1),"")</f>
        <v>1</v>
      </c>
      <c r="F848" s="25">
        <v>2550</v>
      </c>
      <c r="G848" s="28">
        <f>IF(LEFT(D848,6)="CLIENT",IF(E848=0,WORKDAY(A848-1,1,Dias_Sem_Compensacao!$A$2:$A$500),WORKDAY(A848,E848,Dias_Sem_Compensacao!$A$2:$A$500)),"")</f>
        <v>46274</v>
      </c>
      <c r="H848" s="25">
        <v>0</v>
      </c>
      <c r="I848" s="28">
        <v>46273</v>
      </c>
      <c r="J848" t="s">
        <v>1018</v>
      </c>
      <c r="K848" t="s">
        <v>1019</v>
      </c>
    </row>
    <row r="849" spans="1:11" hidden="1">
      <c r="A849" s="28">
        <v>46273</v>
      </c>
      <c r="B849" t="s">
        <v>186</v>
      </c>
      <c r="C849" t="s">
        <v>203</v>
      </c>
      <c r="D849" t="s">
        <v>217</v>
      </c>
      <c r="E849">
        <f>IF(LEFT(D849,6)="CLIENT",IFERROR(VLOOKUP(C849,Config_Carteiras!$A:$B,2,FALSE),1),"")</f>
        <v>1</v>
      </c>
      <c r="F849" s="25">
        <v>858</v>
      </c>
      <c r="G849" s="28">
        <f>IF(LEFT(D849,6)="CLIENT",IF(E849=0,WORKDAY(A849-1,1,Dias_Sem_Compensacao!$A$2:$A$500),WORKDAY(A849,E849,Dias_Sem_Compensacao!$A$2:$A$500)),"")</f>
        <v>46274</v>
      </c>
      <c r="H849" s="25">
        <v>0</v>
      </c>
      <c r="I849" s="28">
        <v>46273</v>
      </c>
      <c r="J849" t="s">
        <v>1020</v>
      </c>
      <c r="K849" t="s">
        <v>1021</v>
      </c>
    </row>
    <row r="850" spans="1:11" hidden="1">
      <c r="A850" s="28">
        <v>46275</v>
      </c>
      <c r="B850" t="s">
        <v>186</v>
      </c>
      <c r="C850" t="s">
        <v>203</v>
      </c>
      <c r="D850" t="s">
        <v>217</v>
      </c>
      <c r="E850">
        <f>IF(LEFT(D850,6)="CLIENT",IFERROR(VLOOKUP(C850,Config_Carteiras!$A:$B,2,FALSE),1),"")</f>
        <v>1</v>
      </c>
      <c r="F850" s="25">
        <v>1391.44</v>
      </c>
      <c r="G850" s="28">
        <f>IF(LEFT(D850,6)="CLIENT",IF(E850=0,WORKDAY(A850-1,1,Dias_Sem_Compensacao!$A$2:$A$500),WORKDAY(A850,E850,Dias_Sem_Compensacao!$A$2:$A$500)),"")</f>
        <v>46276</v>
      </c>
      <c r="H850" s="25">
        <v>0</v>
      </c>
      <c r="I850" s="28">
        <v>46275</v>
      </c>
      <c r="J850" t="s">
        <v>1022</v>
      </c>
      <c r="K850" t="s">
        <v>1023</v>
      </c>
    </row>
    <row r="851" spans="1:11" hidden="1">
      <c r="A851" s="28">
        <v>46279</v>
      </c>
      <c r="B851" t="s">
        <v>186</v>
      </c>
      <c r="C851" t="s">
        <v>203</v>
      </c>
      <c r="D851" t="s">
        <v>217</v>
      </c>
      <c r="E851">
        <f>IF(LEFT(D851,6)="CLIENT",IFERROR(VLOOKUP(C851,Config_Carteiras!$A:$B,2,FALSE),1),"")</f>
        <v>1</v>
      </c>
      <c r="F851" s="25">
        <v>651</v>
      </c>
      <c r="G851" s="28">
        <f>IF(LEFT(D851,6)="CLIENT",IF(E851=0,WORKDAY(A851-1,1,Dias_Sem_Compensacao!$A$2:$A$500),WORKDAY(A851,E851,Dias_Sem_Compensacao!$A$2:$A$500)),"")</f>
        <v>46280</v>
      </c>
      <c r="H851" s="25">
        <v>0</v>
      </c>
      <c r="I851" s="28">
        <v>46279</v>
      </c>
      <c r="J851" t="s">
        <v>1024</v>
      </c>
      <c r="K851" t="s">
        <v>1025</v>
      </c>
    </row>
    <row r="852" spans="1:11" hidden="1">
      <c r="A852" s="28">
        <v>46280</v>
      </c>
      <c r="B852" t="s">
        <v>186</v>
      </c>
      <c r="C852" t="s">
        <v>203</v>
      </c>
      <c r="D852" t="s">
        <v>217</v>
      </c>
      <c r="E852">
        <f>IF(LEFT(D852,6)="CLIENT",IFERROR(VLOOKUP(C852,Config_Carteiras!$A:$B,2,FALSE),1),"")</f>
        <v>1</v>
      </c>
      <c r="F852" s="25">
        <v>1465.24</v>
      </c>
      <c r="G852" s="28">
        <f>IF(LEFT(D852,6)="CLIENT",IF(E852=0,WORKDAY(A852-1,1,Dias_Sem_Compensacao!$A$2:$A$500),WORKDAY(A852,E852,Dias_Sem_Compensacao!$A$2:$A$500)),"")</f>
        <v>46281</v>
      </c>
      <c r="H852" s="25">
        <v>0</v>
      </c>
      <c r="I852" s="28">
        <v>46280</v>
      </c>
      <c r="J852" t="s">
        <v>1026</v>
      </c>
      <c r="K852" t="s">
        <v>1027</v>
      </c>
    </row>
    <row r="853" spans="1:11" hidden="1">
      <c r="A853" s="28">
        <v>46280</v>
      </c>
      <c r="B853" t="s">
        <v>186</v>
      </c>
      <c r="C853" t="s">
        <v>203</v>
      </c>
      <c r="D853" t="s">
        <v>217</v>
      </c>
      <c r="E853">
        <f>IF(LEFT(D853,6)="CLIENT",IFERROR(VLOOKUP(C853,Config_Carteiras!$A:$B,2,FALSE),1),"")</f>
        <v>1</v>
      </c>
      <c r="F853" s="25">
        <v>2549.56</v>
      </c>
      <c r="G853" s="28">
        <f>IF(LEFT(D853,6)="CLIENT",IF(E853=0,WORKDAY(A853-1,1,Dias_Sem_Compensacao!$A$2:$A$500),WORKDAY(A853,E853,Dias_Sem_Compensacao!$A$2:$A$500)),"")</f>
        <v>46281</v>
      </c>
      <c r="H853" s="25">
        <v>0</v>
      </c>
      <c r="I853" s="28">
        <v>46280</v>
      </c>
      <c r="J853" t="s">
        <v>1018</v>
      </c>
      <c r="K853" t="s">
        <v>1019</v>
      </c>
    </row>
    <row r="854" spans="1:11" hidden="1">
      <c r="A854" s="28">
        <v>46280</v>
      </c>
      <c r="B854" t="s">
        <v>186</v>
      </c>
      <c r="C854" t="s">
        <v>203</v>
      </c>
      <c r="D854" t="s">
        <v>217</v>
      </c>
      <c r="E854">
        <f>IF(LEFT(D854,6)="CLIENT",IFERROR(VLOOKUP(C854,Config_Carteiras!$A:$B,2,FALSE),1),"")</f>
        <v>1</v>
      </c>
      <c r="F854" s="25">
        <v>857.51</v>
      </c>
      <c r="G854" s="28">
        <f>IF(LEFT(D854,6)="CLIENT",IF(E854=0,WORKDAY(A854-1,1,Dias_Sem_Compensacao!$A$2:$A$500),WORKDAY(A854,E854,Dias_Sem_Compensacao!$A$2:$A$500)),"")</f>
        <v>46281</v>
      </c>
      <c r="H854" s="25">
        <v>0</v>
      </c>
      <c r="I854" s="28">
        <v>46280</v>
      </c>
      <c r="J854" t="s">
        <v>1020</v>
      </c>
      <c r="K854" t="s">
        <v>1021</v>
      </c>
    </row>
    <row r="855" spans="1:11" hidden="1">
      <c r="A855" s="28">
        <v>46282</v>
      </c>
      <c r="B855" t="s">
        <v>186</v>
      </c>
      <c r="C855" t="s">
        <v>203</v>
      </c>
      <c r="D855" t="s">
        <v>217</v>
      </c>
      <c r="E855">
        <f>IF(LEFT(D855,6)="CLIENT",IFERROR(VLOOKUP(C855,Config_Carteiras!$A:$B,2,FALSE),1),"")</f>
        <v>1</v>
      </c>
      <c r="F855" s="25">
        <v>399</v>
      </c>
      <c r="G855" s="28">
        <f>IF(LEFT(D855,6)="CLIENT",IF(E855=0,WORKDAY(A855-1,1,Dias_Sem_Compensacao!$A$2:$A$500),WORKDAY(A855,E855,Dias_Sem_Compensacao!$A$2:$A$500)),"")</f>
        <v>46283</v>
      </c>
      <c r="H855" s="25">
        <v>0</v>
      </c>
      <c r="I855" s="28">
        <v>46282</v>
      </c>
      <c r="J855" t="s">
        <v>1028</v>
      </c>
      <c r="K855" t="s">
        <v>1029</v>
      </c>
    </row>
    <row r="856" spans="1:11" hidden="1">
      <c r="A856" s="28">
        <v>46283</v>
      </c>
      <c r="B856" t="s">
        <v>186</v>
      </c>
      <c r="C856" t="s">
        <v>203</v>
      </c>
      <c r="D856" t="s">
        <v>217</v>
      </c>
      <c r="E856">
        <f>IF(LEFT(D856,6)="CLIENT",IFERROR(VLOOKUP(C856,Config_Carteiras!$A:$B,2,FALSE),1),"")</f>
        <v>1</v>
      </c>
      <c r="F856" s="25">
        <v>3342</v>
      </c>
      <c r="G856" s="28">
        <f>IF(LEFT(D856,6)="CLIENT",IF(E856=0,WORKDAY(A856-1,1,Dias_Sem_Compensacao!$A$2:$A$500),WORKDAY(A856,E856,Dias_Sem_Compensacao!$A$2:$A$500)),"")</f>
        <v>46286</v>
      </c>
      <c r="H856" s="25">
        <v>0</v>
      </c>
      <c r="I856" s="28">
        <v>46283</v>
      </c>
      <c r="J856" t="s">
        <v>1030</v>
      </c>
      <c r="K856" t="s">
        <v>1031</v>
      </c>
    </row>
    <row r="857" spans="1:11" hidden="1">
      <c r="A857" s="28">
        <v>46283</v>
      </c>
      <c r="B857" t="s">
        <v>186</v>
      </c>
      <c r="C857" t="s">
        <v>203</v>
      </c>
      <c r="D857" t="s">
        <v>217</v>
      </c>
      <c r="E857">
        <f>IF(LEFT(D857,6)="CLIENT",IFERROR(VLOOKUP(C857,Config_Carteiras!$A:$B,2,FALSE),1),"")</f>
        <v>1</v>
      </c>
      <c r="F857" s="25">
        <v>2702</v>
      </c>
      <c r="G857" s="28">
        <f>IF(LEFT(D857,6)="CLIENT",IF(E857=0,WORKDAY(A857-1,1,Dias_Sem_Compensacao!$A$2:$A$500),WORKDAY(A857,E857,Dias_Sem_Compensacao!$A$2:$A$500)),"")</f>
        <v>46286</v>
      </c>
      <c r="H857" s="25">
        <v>0</v>
      </c>
      <c r="I857" s="28">
        <v>46283</v>
      </c>
      <c r="J857" t="s">
        <v>1032</v>
      </c>
      <c r="K857" t="s">
        <v>1033</v>
      </c>
    </row>
    <row r="858" spans="1:11" hidden="1">
      <c r="A858" s="28">
        <v>46286</v>
      </c>
      <c r="B858" t="s">
        <v>186</v>
      </c>
      <c r="C858" t="s">
        <v>203</v>
      </c>
      <c r="D858" t="s">
        <v>217</v>
      </c>
      <c r="E858">
        <f>IF(LEFT(D858,6)="CLIENT",IFERROR(VLOOKUP(C858,Config_Carteiras!$A:$B,2,FALSE),1),"")</f>
        <v>1</v>
      </c>
      <c r="F858" s="25">
        <v>1489</v>
      </c>
      <c r="G858" s="28">
        <f>IF(LEFT(D858,6)="CLIENT",IF(E858=0,WORKDAY(A858-1,1,Dias_Sem_Compensacao!$A$2:$A$500),WORKDAY(A858,E858,Dias_Sem_Compensacao!$A$2:$A$500)),"")</f>
        <v>46287</v>
      </c>
      <c r="H858" s="25">
        <v>0</v>
      </c>
      <c r="I858" s="28">
        <v>46286</v>
      </c>
      <c r="J858" t="s">
        <v>1034</v>
      </c>
      <c r="K858" t="s">
        <v>1035</v>
      </c>
    </row>
    <row r="859" spans="1:11" hidden="1">
      <c r="A859" s="28">
        <v>46286</v>
      </c>
      <c r="B859" t="s">
        <v>186</v>
      </c>
      <c r="C859" t="s">
        <v>203</v>
      </c>
      <c r="D859" t="s">
        <v>217</v>
      </c>
      <c r="E859">
        <f>IF(LEFT(D859,6)="CLIENT",IFERROR(VLOOKUP(C859,Config_Carteiras!$A:$B,2,FALSE),1),"")</f>
        <v>1</v>
      </c>
      <c r="F859" s="25">
        <v>1489</v>
      </c>
      <c r="G859" s="28">
        <f>IF(LEFT(D859,6)="CLIENT",IF(E859=0,WORKDAY(A859-1,1,Dias_Sem_Compensacao!$A$2:$A$500),WORKDAY(A859,E859,Dias_Sem_Compensacao!$A$2:$A$500)),"")</f>
        <v>46287</v>
      </c>
      <c r="H859" s="25">
        <v>0</v>
      </c>
      <c r="I859" s="28">
        <v>46286</v>
      </c>
      <c r="K859" t="s">
        <v>1036</v>
      </c>
    </row>
    <row r="860" spans="1:11" hidden="1">
      <c r="A860" s="28">
        <v>46286</v>
      </c>
      <c r="B860" t="s">
        <v>186</v>
      </c>
      <c r="C860" t="s">
        <v>203</v>
      </c>
      <c r="D860" t="s">
        <v>217</v>
      </c>
      <c r="E860">
        <f>IF(LEFT(D860,6)="CLIENT",IFERROR(VLOOKUP(C860,Config_Carteiras!$A:$B,2,FALSE),1),"")</f>
        <v>1</v>
      </c>
      <c r="F860" s="25">
        <v>1489</v>
      </c>
      <c r="G860" s="28">
        <f>IF(LEFT(D860,6)="CLIENT",IF(E860=0,WORKDAY(A860-1,1,Dias_Sem_Compensacao!$A$2:$A$500),WORKDAY(A860,E860,Dias_Sem_Compensacao!$A$2:$A$500)),"")</f>
        <v>46287</v>
      </c>
      <c r="H860" s="25">
        <v>0</v>
      </c>
      <c r="I860" s="28">
        <v>46286</v>
      </c>
      <c r="K860" t="s">
        <v>1037</v>
      </c>
    </row>
    <row r="861" spans="1:11" hidden="1">
      <c r="A861" s="28">
        <v>46286</v>
      </c>
      <c r="B861" t="s">
        <v>186</v>
      </c>
      <c r="C861" t="s">
        <v>203</v>
      </c>
      <c r="D861" t="s">
        <v>217</v>
      </c>
      <c r="E861">
        <f>IF(LEFT(D861,6)="CLIENT",IFERROR(VLOOKUP(C861,Config_Carteiras!$A:$B,2,FALSE),1),"")</f>
        <v>1</v>
      </c>
      <c r="F861" s="25">
        <v>1489</v>
      </c>
      <c r="G861" s="28">
        <f>IF(LEFT(D861,6)="CLIENT",IF(E861=0,WORKDAY(A861-1,1,Dias_Sem_Compensacao!$A$2:$A$500),WORKDAY(A861,E861,Dias_Sem_Compensacao!$A$2:$A$500)),"")</f>
        <v>46287</v>
      </c>
      <c r="H861" s="25">
        <v>0</v>
      </c>
      <c r="I861" s="28">
        <v>46286</v>
      </c>
      <c r="K861" t="s">
        <v>1038</v>
      </c>
    </row>
    <row r="862" spans="1:11" hidden="1">
      <c r="A862" s="28">
        <v>46286</v>
      </c>
      <c r="B862" t="s">
        <v>186</v>
      </c>
      <c r="C862" t="s">
        <v>203</v>
      </c>
      <c r="D862" t="s">
        <v>217</v>
      </c>
      <c r="E862">
        <f>IF(LEFT(D862,6)="CLIENT",IFERROR(VLOOKUP(C862,Config_Carteiras!$A:$B,2,FALSE),1),"")</f>
        <v>1</v>
      </c>
      <c r="F862" s="25">
        <v>416</v>
      </c>
      <c r="G862" s="28">
        <f>IF(LEFT(D862,6)="CLIENT",IF(E862=0,WORKDAY(A862-1,1,Dias_Sem_Compensacao!$A$2:$A$500),WORKDAY(A862,E862,Dias_Sem_Compensacao!$A$2:$A$500)),"")</f>
        <v>46287</v>
      </c>
      <c r="H862" s="25">
        <v>0</v>
      </c>
      <c r="I862" s="28">
        <v>46286</v>
      </c>
      <c r="J862" t="s">
        <v>1039</v>
      </c>
      <c r="K862" t="s">
        <v>1040</v>
      </c>
    </row>
    <row r="863" spans="1:11" hidden="1">
      <c r="A863" s="28">
        <v>46286</v>
      </c>
      <c r="B863" t="s">
        <v>186</v>
      </c>
      <c r="C863" t="s">
        <v>203</v>
      </c>
      <c r="D863" t="s">
        <v>217</v>
      </c>
      <c r="E863">
        <f>IF(LEFT(D863,6)="CLIENT",IFERROR(VLOOKUP(C863,Config_Carteiras!$A:$B,2,FALSE),1),"")</f>
        <v>1</v>
      </c>
      <c r="F863" s="25">
        <v>1844</v>
      </c>
      <c r="G863" s="28">
        <f>IF(LEFT(D863,6)="CLIENT",IF(E863=0,WORKDAY(A863-1,1,Dias_Sem_Compensacao!$A$2:$A$500),WORKDAY(A863,E863,Dias_Sem_Compensacao!$A$2:$A$500)),"")</f>
        <v>46287</v>
      </c>
      <c r="H863" s="25">
        <v>0</v>
      </c>
      <c r="I863" s="28">
        <v>46286</v>
      </c>
      <c r="J863" t="s">
        <v>1041</v>
      </c>
      <c r="K863" t="s">
        <v>1042</v>
      </c>
    </row>
    <row r="864" spans="1:11" hidden="1">
      <c r="A864" s="28">
        <v>46286</v>
      </c>
      <c r="B864" t="s">
        <v>186</v>
      </c>
      <c r="C864" t="s">
        <v>203</v>
      </c>
      <c r="D864" t="s">
        <v>217</v>
      </c>
      <c r="E864">
        <f>IF(LEFT(D864,6)="CLIENT",IFERROR(VLOOKUP(C864,Config_Carteiras!$A:$B,2,FALSE),1),"")</f>
        <v>1</v>
      </c>
      <c r="F864" s="25">
        <v>1127.6199999999999</v>
      </c>
      <c r="G864" s="28">
        <f>IF(LEFT(D864,6)="CLIENT",IF(E864=0,WORKDAY(A864-1,1,Dias_Sem_Compensacao!$A$2:$A$500),WORKDAY(A864,E864,Dias_Sem_Compensacao!$A$2:$A$500)),"")</f>
        <v>46287</v>
      </c>
      <c r="H864" s="25">
        <v>0</v>
      </c>
      <c r="I864" s="28">
        <v>46286</v>
      </c>
      <c r="J864" t="s">
        <v>1043</v>
      </c>
      <c r="K864" t="s">
        <v>1044</v>
      </c>
    </row>
    <row r="865" spans="1:11" hidden="1">
      <c r="A865" s="28">
        <v>46287</v>
      </c>
      <c r="B865" t="s">
        <v>186</v>
      </c>
      <c r="C865" t="s">
        <v>203</v>
      </c>
      <c r="D865" t="s">
        <v>217</v>
      </c>
      <c r="E865">
        <f>IF(LEFT(D865,6)="CLIENT",IFERROR(VLOOKUP(C865,Config_Carteiras!$A:$B,2,FALSE),1),"")</f>
        <v>1</v>
      </c>
      <c r="F865" s="25">
        <v>1467</v>
      </c>
      <c r="G865" s="28">
        <f>IF(LEFT(D865,6)="CLIENT",IF(E865=0,WORKDAY(A865-1,1,Dias_Sem_Compensacao!$A$2:$A$500),WORKDAY(A865,E865,Dias_Sem_Compensacao!$A$2:$A$500)),"")</f>
        <v>46288</v>
      </c>
      <c r="H865" s="25">
        <v>0</v>
      </c>
      <c r="I865" s="28">
        <v>46287</v>
      </c>
      <c r="J865" t="s">
        <v>1045</v>
      </c>
      <c r="K865" t="s">
        <v>1046</v>
      </c>
    </row>
    <row r="866" spans="1:11" hidden="1">
      <c r="A866" s="28">
        <v>46287</v>
      </c>
      <c r="B866" t="s">
        <v>186</v>
      </c>
      <c r="C866" t="s">
        <v>203</v>
      </c>
      <c r="D866" t="s">
        <v>217</v>
      </c>
      <c r="E866">
        <f>IF(LEFT(D866,6)="CLIENT",IFERROR(VLOOKUP(C866,Config_Carteiras!$A:$B,2,FALSE),1),"")</f>
        <v>1</v>
      </c>
      <c r="F866" s="25">
        <v>3302</v>
      </c>
      <c r="G866" s="28">
        <f>IF(LEFT(D866,6)="CLIENT",IF(E866=0,WORKDAY(A866-1,1,Dias_Sem_Compensacao!$A$2:$A$500),WORKDAY(A866,E866,Dias_Sem_Compensacao!$A$2:$A$500)),"")</f>
        <v>46288</v>
      </c>
      <c r="H866" s="25">
        <v>0</v>
      </c>
      <c r="I866" s="28">
        <v>46287</v>
      </c>
      <c r="J866" t="s">
        <v>1047</v>
      </c>
      <c r="K866" t="s">
        <v>1048</v>
      </c>
    </row>
    <row r="867" spans="1:11" hidden="1">
      <c r="A867" s="28">
        <v>46287</v>
      </c>
      <c r="B867" t="s">
        <v>186</v>
      </c>
      <c r="C867" t="s">
        <v>203</v>
      </c>
      <c r="D867" t="s">
        <v>217</v>
      </c>
      <c r="E867">
        <f>IF(LEFT(D867,6)="CLIENT",IFERROR(VLOOKUP(C867,Config_Carteiras!$A:$B,2,FALSE),1),"")</f>
        <v>1</v>
      </c>
      <c r="F867" s="25">
        <v>973</v>
      </c>
      <c r="G867" s="28">
        <f>IF(LEFT(D867,6)="CLIENT",IF(E867=0,WORKDAY(A867-1,1,Dias_Sem_Compensacao!$A$2:$A$500),WORKDAY(A867,E867,Dias_Sem_Compensacao!$A$2:$A$500)),"")</f>
        <v>46288</v>
      </c>
      <c r="H867" s="25">
        <v>0</v>
      </c>
      <c r="I867" s="28">
        <v>46287</v>
      </c>
      <c r="J867" t="s">
        <v>1049</v>
      </c>
      <c r="K867" t="s">
        <v>1050</v>
      </c>
    </row>
    <row r="868" spans="1:11" hidden="1">
      <c r="A868" s="28">
        <v>46287</v>
      </c>
      <c r="B868" t="s">
        <v>186</v>
      </c>
      <c r="C868" t="s">
        <v>203</v>
      </c>
      <c r="D868" t="s">
        <v>217</v>
      </c>
      <c r="E868">
        <f>IF(LEFT(D868,6)="CLIENT",IFERROR(VLOOKUP(C868,Config_Carteiras!$A:$B,2,FALSE),1),"")</f>
        <v>1</v>
      </c>
      <c r="F868" s="25">
        <v>3128</v>
      </c>
      <c r="G868" s="28">
        <f>IF(LEFT(D868,6)="CLIENT",IF(E868=0,WORKDAY(A868-1,1,Dias_Sem_Compensacao!$A$2:$A$500),WORKDAY(A868,E868,Dias_Sem_Compensacao!$A$2:$A$500)),"")</f>
        <v>46288</v>
      </c>
      <c r="H868" s="25">
        <v>0</v>
      </c>
      <c r="I868" s="28">
        <v>46287</v>
      </c>
      <c r="J868" t="s">
        <v>1051</v>
      </c>
      <c r="K868" t="s">
        <v>1052</v>
      </c>
    </row>
    <row r="869" spans="1:11" hidden="1">
      <c r="A869" s="28">
        <v>46287</v>
      </c>
      <c r="B869" t="s">
        <v>186</v>
      </c>
      <c r="C869" t="s">
        <v>203</v>
      </c>
      <c r="D869" t="s">
        <v>217</v>
      </c>
      <c r="E869">
        <f>IF(LEFT(D869,6)="CLIENT",IFERROR(VLOOKUP(C869,Config_Carteiras!$A:$B,2,FALSE),1),"")</f>
        <v>1</v>
      </c>
      <c r="F869" s="25">
        <v>736</v>
      </c>
      <c r="G869" s="28">
        <f>IF(LEFT(D869,6)="CLIENT",IF(E869=0,WORKDAY(A869-1,1,Dias_Sem_Compensacao!$A$2:$A$500),WORKDAY(A869,E869,Dias_Sem_Compensacao!$A$2:$A$500)),"")</f>
        <v>46288</v>
      </c>
      <c r="H869" s="25">
        <v>0</v>
      </c>
      <c r="I869" s="28">
        <v>46287</v>
      </c>
      <c r="J869" t="s">
        <v>667</v>
      </c>
      <c r="K869" t="s">
        <v>1053</v>
      </c>
    </row>
    <row r="870" spans="1:11" hidden="1">
      <c r="A870" s="28">
        <v>46287</v>
      </c>
      <c r="B870" t="s">
        <v>186</v>
      </c>
      <c r="C870" t="s">
        <v>203</v>
      </c>
      <c r="D870" t="s">
        <v>217</v>
      </c>
      <c r="E870">
        <f>IF(LEFT(D870,6)="CLIENT",IFERROR(VLOOKUP(C870,Config_Carteiras!$A:$B,2,FALSE),1),"")</f>
        <v>1</v>
      </c>
      <c r="F870" s="25">
        <v>384.55</v>
      </c>
      <c r="G870" s="28">
        <f>IF(LEFT(D870,6)="CLIENT",IF(E870=0,WORKDAY(A870-1,1,Dias_Sem_Compensacao!$A$2:$A$500),WORKDAY(A870,E870,Dias_Sem_Compensacao!$A$2:$A$500)),"")</f>
        <v>46288</v>
      </c>
      <c r="H870" s="25">
        <v>0</v>
      </c>
      <c r="I870" s="28">
        <v>46287</v>
      </c>
      <c r="J870" t="s">
        <v>324</v>
      </c>
      <c r="K870" t="s">
        <v>1054</v>
      </c>
    </row>
    <row r="871" spans="1:11" hidden="1">
      <c r="A871" s="28">
        <v>46287</v>
      </c>
      <c r="B871" t="s">
        <v>186</v>
      </c>
      <c r="C871" t="s">
        <v>203</v>
      </c>
      <c r="D871" t="s">
        <v>217</v>
      </c>
      <c r="E871">
        <f>IF(LEFT(D871,6)="CLIENT",IFERROR(VLOOKUP(C871,Config_Carteiras!$A:$B,2,FALSE),1),"")</f>
        <v>1</v>
      </c>
      <c r="F871" s="25">
        <v>369.75</v>
      </c>
      <c r="G871" s="28">
        <f>IF(LEFT(D871,6)="CLIENT",IF(E871=0,WORKDAY(A871-1,1,Dias_Sem_Compensacao!$A$2:$A$500),WORKDAY(A871,E871,Dias_Sem_Compensacao!$A$2:$A$500)),"")</f>
        <v>46288</v>
      </c>
      <c r="H871" s="25">
        <v>0</v>
      </c>
      <c r="I871" s="28">
        <v>46287</v>
      </c>
      <c r="K871" t="s">
        <v>1055</v>
      </c>
    </row>
    <row r="872" spans="1:11" hidden="1">
      <c r="A872" s="28">
        <v>46287</v>
      </c>
      <c r="B872" t="s">
        <v>186</v>
      </c>
      <c r="C872" t="s">
        <v>203</v>
      </c>
      <c r="D872" t="s">
        <v>217</v>
      </c>
      <c r="E872">
        <f>IF(LEFT(D872,6)="CLIENT",IFERROR(VLOOKUP(C872,Config_Carteiras!$A:$B,2,FALSE),1),"")</f>
        <v>1</v>
      </c>
      <c r="F872" s="25">
        <v>475</v>
      </c>
      <c r="G872" s="28">
        <f>IF(LEFT(D872,6)="CLIENT",IF(E872=0,WORKDAY(A872-1,1,Dias_Sem_Compensacao!$A$2:$A$500),WORKDAY(A872,E872,Dias_Sem_Compensacao!$A$2:$A$500)),"")</f>
        <v>46288</v>
      </c>
      <c r="H872" s="25">
        <v>0</v>
      </c>
      <c r="I872" s="28">
        <v>46287</v>
      </c>
      <c r="J872" t="s">
        <v>1056</v>
      </c>
      <c r="K872" t="s">
        <v>1057</v>
      </c>
    </row>
    <row r="873" spans="1:11" hidden="1">
      <c r="A873" s="28">
        <v>46288</v>
      </c>
      <c r="B873" t="s">
        <v>186</v>
      </c>
      <c r="C873" t="s">
        <v>203</v>
      </c>
      <c r="D873" t="s">
        <v>217</v>
      </c>
      <c r="E873">
        <f>IF(LEFT(D873,6)="CLIENT",IFERROR(VLOOKUP(C873,Config_Carteiras!$A:$B,2,FALSE),1),"")</f>
        <v>1</v>
      </c>
      <c r="F873" s="25">
        <v>12994</v>
      </c>
      <c r="G873" s="28">
        <f>IF(LEFT(D873,6)="CLIENT",IF(E873=0,WORKDAY(A873-1,1,Dias_Sem_Compensacao!$A$2:$A$500),WORKDAY(A873,E873,Dias_Sem_Compensacao!$A$2:$A$500)),"")</f>
        <v>46289</v>
      </c>
      <c r="H873" s="25">
        <v>0</v>
      </c>
      <c r="I873" s="28">
        <v>46288</v>
      </c>
      <c r="J873" t="s">
        <v>1058</v>
      </c>
      <c r="K873" t="s">
        <v>1059</v>
      </c>
    </row>
    <row r="874" spans="1:11" hidden="1">
      <c r="A874" s="28">
        <v>46288</v>
      </c>
      <c r="B874" t="s">
        <v>186</v>
      </c>
      <c r="C874" t="s">
        <v>203</v>
      </c>
      <c r="D874" t="s">
        <v>217</v>
      </c>
      <c r="E874">
        <f>IF(LEFT(D874,6)="CLIENT",IFERROR(VLOOKUP(C874,Config_Carteiras!$A:$B,2,FALSE),1),"")</f>
        <v>1</v>
      </c>
      <c r="F874" s="25">
        <v>591</v>
      </c>
      <c r="G874" s="28">
        <f>IF(LEFT(D874,6)="CLIENT",IF(E874=0,WORKDAY(A874-1,1,Dias_Sem_Compensacao!$A$2:$A$500),WORKDAY(A874,E874,Dias_Sem_Compensacao!$A$2:$A$500)),"")</f>
        <v>46289</v>
      </c>
      <c r="H874" s="25">
        <v>0</v>
      </c>
      <c r="I874" s="28">
        <v>46288</v>
      </c>
      <c r="J874" t="s">
        <v>1060</v>
      </c>
      <c r="K874" t="s">
        <v>1061</v>
      </c>
    </row>
    <row r="875" spans="1:11" hidden="1">
      <c r="A875" s="28">
        <v>46288</v>
      </c>
      <c r="B875" t="s">
        <v>186</v>
      </c>
      <c r="C875" t="s">
        <v>203</v>
      </c>
      <c r="D875" t="s">
        <v>217</v>
      </c>
      <c r="E875">
        <f>IF(LEFT(D875,6)="CLIENT",IFERROR(VLOOKUP(C875,Config_Carteiras!$A:$B,2,FALSE),1),"")</f>
        <v>1</v>
      </c>
      <c r="F875" s="25">
        <v>1942</v>
      </c>
      <c r="G875" s="28">
        <f>IF(LEFT(D875,6)="CLIENT",IF(E875=0,WORKDAY(A875-1,1,Dias_Sem_Compensacao!$A$2:$A$500),WORKDAY(A875,E875,Dias_Sem_Compensacao!$A$2:$A$500)),"")</f>
        <v>46289</v>
      </c>
      <c r="H875" s="25">
        <v>0</v>
      </c>
      <c r="I875" s="28">
        <v>46288</v>
      </c>
      <c r="J875" t="s">
        <v>1062</v>
      </c>
      <c r="K875" t="s">
        <v>1063</v>
      </c>
    </row>
    <row r="876" spans="1:11" hidden="1">
      <c r="A876" s="28">
        <v>46288</v>
      </c>
      <c r="B876" t="s">
        <v>186</v>
      </c>
      <c r="C876" t="s">
        <v>203</v>
      </c>
      <c r="D876" t="s">
        <v>217</v>
      </c>
      <c r="E876">
        <f>IF(LEFT(D876,6)="CLIENT",IFERROR(VLOOKUP(C876,Config_Carteiras!$A:$B,2,FALSE),1),"")</f>
        <v>1</v>
      </c>
      <c r="F876" s="25">
        <v>261</v>
      </c>
      <c r="G876" s="28">
        <f>IF(LEFT(D876,6)="CLIENT",IF(E876=0,WORKDAY(A876-1,1,Dias_Sem_Compensacao!$A$2:$A$500),WORKDAY(A876,E876,Dias_Sem_Compensacao!$A$2:$A$500)),"")</f>
        <v>46289</v>
      </c>
      <c r="H876" s="25">
        <v>0</v>
      </c>
      <c r="I876" s="28">
        <v>46288</v>
      </c>
      <c r="J876" t="s">
        <v>976</v>
      </c>
      <c r="K876" t="s">
        <v>1064</v>
      </c>
    </row>
    <row r="877" spans="1:11" hidden="1">
      <c r="A877" s="28">
        <v>46288</v>
      </c>
      <c r="B877" t="s">
        <v>186</v>
      </c>
      <c r="C877" t="s">
        <v>203</v>
      </c>
      <c r="D877" t="s">
        <v>217</v>
      </c>
      <c r="E877">
        <f>IF(LEFT(D877,6)="CLIENT",IFERROR(VLOOKUP(C877,Config_Carteiras!$A:$B,2,FALSE),1),"")</f>
        <v>1</v>
      </c>
      <c r="F877" s="25">
        <v>761</v>
      </c>
      <c r="G877" s="28">
        <f>IF(LEFT(D877,6)="CLIENT",IF(E877=0,WORKDAY(A877-1,1,Dias_Sem_Compensacao!$A$2:$A$500),WORKDAY(A877,E877,Dias_Sem_Compensacao!$A$2:$A$500)),"")</f>
        <v>46289</v>
      </c>
      <c r="H877" s="25">
        <v>0</v>
      </c>
      <c r="I877" s="28">
        <v>46288</v>
      </c>
      <c r="J877" t="s">
        <v>1065</v>
      </c>
      <c r="K877" t="s">
        <v>1066</v>
      </c>
    </row>
    <row r="878" spans="1:11" hidden="1">
      <c r="A878" s="28">
        <v>46288</v>
      </c>
      <c r="B878" t="s">
        <v>186</v>
      </c>
      <c r="C878" t="s">
        <v>203</v>
      </c>
      <c r="D878" t="s">
        <v>217</v>
      </c>
      <c r="E878">
        <f>IF(LEFT(D878,6)="CLIENT",IFERROR(VLOOKUP(C878,Config_Carteiras!$A:$B,2,FALSE),1),"")</f>
        <v>1</v>
      </c>
      <c r="F878" s="25">
        <v>800</v>
      </c>
      <c r="G878" s="28">
        <f>IF(LEFT(D878,6)="CLIENT",IF(E878=0,WORKDAY(A878-1,1,Dias_Sem_Compensacao!$A$2:$A$500),WORKDAY(A878,E878,Dias_Sem_Compensacao!$A$2:$A$500)),"")</f>
        <v>46289</v>
      </c>
      <c r="H878" s="25">
        <v>0</v>
      </c>
      <c r="I878" s="28">
        <v>46288</v>
      </c>
      <c r="J878" t="s">
        <v>227</v>
      </c>
      <c r="K878" t="s">
        <v>1067</v>
      </c>
    </row>
    <row r="879" spans="1:11" hidden="1">
      <c r="A879" s="28">
        <v>46288</v>
      </c>
      <c r="B879" t="s">
        <v>186</v>
      </c>
      <c r="C879" t="s">
        <v>203</v>
      </c>
      <c r="D879" t="s">
        <v>217</v>
      </c>
      <c r="E879">
        <f>IF(LEFT(D879,6)="CLIENT",IFERROR(VLOOKUP(C879,Config_Carteiras!$A:$B,2,FALSE),1),"")</f>
        <v>1</v>
      </c>
      <c r="F879" s="25">
        <v>2515.0500000000002</v>
      </c>
      <c r="G879" s="28">
        <f>IF(LEFT(D879,6)="CLIENT",IF(E879=0,WORKDAY(A879-1,1,Dias_Sem_Compensacao!$A$2:$A$500),WORKDAY(A879,E879,Dias_Sem_Compensacao!$A$2:$A$500)),"")</f>
        <v>46289</v>
      </c>
      <c r="H879" s="25">
        <v>0</v>
      </c>
      <c r="I879" s="28">
        <v>46288</v>
      </c>
      <c r="J879" t="s">
        <v>1068</v>
      </c>
      <c r="K879" t="s">
        <v>1069</v>
      </c>
    </row>
    <row r="880" spans="1:11" hidden="1">
      <c r="A880" s="28">
        <v>46289</v>
      </c>
      <c r="B880" t="s">
        <v>186</v>
      </c>
      <c r="C880" t="s">
        <v>203</v>
      </c>
      <c r="D880" t="s">
        <v>217</v>
      </c>
      <c r="E880">
        <f>IF(LEFT(D880,6)="CLIENT",IFERROR(VLOOKUP(C880,Config_Carteiras!$A:$B,2,FALSE),1),"")</f>
        <v>1</v>
      </c>
      <c r="F880" s="25">
        <v>4106</v>
      </c>
      <c r="G880" s="28">
        <f>IF(LEFT(D880,6)="CLIENT",IF(E880=0,WORKDAY(A880-1,1,Dias_Sem_Compensacao!$A$2:$A$500),WORKDAY(A880,E880,Dias_Sem_Compensacao!$A$2:$A$500)),"")</f>
        <v>46290</v>
      </c>
      <c r="H880" s="25">
        <v>0</v>
      </c>
      <c r="I880" s="28">
        <v>46289</v>
      </c>
      <c r="J880" t="s">
        <v>1070</v>
      </c>
      <c r="K880" t="s">
        <v>1071</v>
      </c>
    </row>
    <row r="881" spans="1:11" hidden="1">
      <c r="A881" s="28">
        <v>46289</v>
      </c>
      <c r="B881" t="s">
        <v>186</v>
      </c>
      <c r="C881" t="s">
        <v>203</v>
      </c>
      <c r="D881" t="s">
        <v>217</v>
      </c>
      <c r="E881">
        <f>IF(LEFT(D881,6)="CLIENT",IFERROR(VLOOKUP(C881,Config_Carteiras!$A:$B,2,FALSE),1),"")</f>
        <v>1</v>
      </c>
      <c r="F881" s="25">
        <v>399</v>
      </c>
      <c r="G881" s="28">
        <f>IF(LEFT(D881,6)="CLIENT",IF(E881=0,WORKDAY(A881-1,1,Dias_Sem_Compensacao!$A$2:$A$500),WORKDAY(A881,E881,Dias_Sem_Compensacao!$A$2:$A$500)),"")</f>
        <v>46290</v>
      </c>
      <c r="H881" s="25">
        <v>0</v>
      </c>
      <c r="I881" s="28">
        <v>46289</v>
      </c>
      <c r="J881" t="s">
        <v>1028</v>
      </c>
      <c r="K881" t="s">
        <v>1029</v>
      </c>
    </row>
    <row r="882" spans="1:11" hidden="1">
      <c r="A882" s="28">
        <v>46289</v>
      </c>
      <c r="B882" t="s">
        <v>186</v>
      </c>
      <c r="C882" t="s">
        <v>203</v>
      </c>
      <c r="D882" t="s">
        <v>217</v>
      </c>
      <c r="E882">
        <f>IF(LEFT(D882,6)="CLIENT",IFERROR(VLOOKUP(C882,Config_Carteiras!$A:$B,2,FALSE),1),"")</f>
        <v>1</v>
      </c>
      <c r="F882" s="25">
        <v>2261</v>
      </c>
      <c r="G882" s="28">
        <f>IF(LEFT(D882,6)="CLIENT",IF(E882=0,WORKDAY(A882-1,1,Dias_Sem_Compensacao!$A$2:$A$500),WORKDAY(A882,E882,Dias_Sem_Compensacao!$A$2:$A$500)),"")</f>
        <v>46290</v>
      </c>
      <c r="H882" s="25">
        <v>0</v>
      </c>
      <c r="I882" s="28">
        <v>46289</v>
      </c>
      <c r="J882" t="s">
        <v>1072</v>
      </c>
      <c r="K882" t="s">
        <v>1073</v>
      </c>
    </row>
    <row r="883" spans="1:11" hidden="1">
      <c r="A883" s="28">
        <v>46289</v>
      </c>
      <c r="B883" t="s">
        <v>186</v>
      </c>
      <c r="C883" t="s">
        <v>203</v>
      </c>
      <c r="D883" t="s">
        <v>217</v>
      </c>
      <c r="E883">
        <f>IF(LEFT(D883,6)="CLIENT",IFERROR(VLOOKUP(C883,Config_Carteiras!$A:$B,2,FALSE),1),"")</f>
        <v>1</v>
      </c>
      <c r="F883" s="25">
        <v>593</v>
      </c>
      <c r="G883" s="28">
        <f>IF(LEFT(D883,6)="CLIENT",IF(E883=0,WORKDAY(A883-1,1,Dias_Sem_Compensacao!$A$2:$A$500),WORKDAY(A883,E883,Dias_Sem_Compensacao!$A$2:$A$500)),"")</f>
        <v>46290</v>
      </c>
      <c r="H883" s="25">
        <v>0</v>
      </c>
      <c r="I883" s="28">
        <v>46289</v>
      </c>
      <c r="J883" t="s">
        <v>1074</v>
      </c>
      <c r="K883" t="s">
        <v>1075</v>
      </c>
    </row>
    <row r="884" spans="1:11" hidden="1">
      <c r="A884" s="28">
        <v>46289</v>
      </c>
      <c r="B884" t="s">
        <v>186</v>
      </c>
      <c r="C884" t="s">
        <v>203</v>
      </c>
      <c r="D884" t="s">
        <v>217</v>
      </c>
      <c r="E884">
        <f>IF(LEFT(D884,6)="CLIENT",IFERROR(VLOOKUP(C884,Config_Carteiras!$A:$B,2,FALSE),1),"")</f>
        <v>1</v>
      </c>
      <c r="F884" s="25">
        <v>465</v>
      </c>
      <c r="G884" s="28">
        <f>IF(LEFT(D884,6)="CLIENT",IF(E884=0,WORKDAY(A884-1,1,Dias_Sem_Compensacao!$A$2:$A$500),WORKDAY(A884,E884,Dias_Sem_Compensacao!$A$2:$A$500)),"")</f>
        <v>46290</v>
      </c>
      <c r="H884" s="25">
        <v>0</v>
      </c>
      <c r="I884" s="28">
        <v>46289</v>
      </c>
      <c r="J884" t="s">
        <v>1076</v>
      </c>
      <c r="K884" t="s">
        <v>1077</v>
      </c>
    </row>
    <row r="885" spans="1:11" hidden="1">
      <c r="A885" s="28">
        <v>46289</v>
      </c>
      <c r="B885" t="s">
        <v>186</v>
      </c>
      <c r="C885" t="s">
        <v>203</v>
      </c>
      <c r="D885" t="s">
        <v>217</v>
      </c>
      <c r="E885">
        <f>IF(LEFT(D885,6)="CLIENT",IFERROR(VLOOKUP(C885,Config_Carteiras!$A:$B,2,FALSE),1),"")</f>
        <v>1</v>
      </c>
      <c r="F885" s="25">
        <v>629.75</v>
      </c>
      <c r="G885" s="28">
        <f>IF(LEFT(D885,6)="CLIENT",IF(E885=0,WORKDAY(A885-1,1,Dias_Sem_Compensacao!$A$2:$A$500),WORKDAY(A885,E885,Dias_Sem_Compensacao!$A$2:$A$500)),"")</f>
        <v>46290</v>
      </c>
      <c r="H885" s="25">
        <v>0</v>
      </c>
      <c r="I885" s="28">
        <v>46289</v>
      </c>
      <c r="J885" t="s">
        <v>475</v>
      </c>
      <c r="K885" t="s">
        <v>1078</v>
      </c>
    </row>
    <row r="886" spans="1:11" hidden="1">
      <c r="A886" s="28">
        <v>46290</v>
      </c>
      <c r="B886" t="s">
        <v>186</v>
      </c>
      <c r="C886" t="s">
        <v>203</v>
      </c>
      <c r="D886" t="s">
        <v>217</v>
      </c>
      <c r="E886">
        <f>IF(LEFT(D886,6)="CLIENT",IFERROR(VLOOKUP(C886,Config_Carteiras!$A:$B,2,FALSE),1),"")</f>
        <v>1</v>
      </c>
      <c r="F886" s="25">
        <v>1032.26</v>
      </c>
      <c r="G886" s="28">
        <f>IF(LEFT(D886,6)="CLIENT",IF(E886=0,WORKDAY(A886-1,1,Dias_Sem_Compensacao!$A$2:$A$500),WORKDAY(A886,E886,Dias_Sem_Compensacao!$A$2:$A$500)),"")</f>
        <v>46293</v>
      </c>
      <c r="H886" s="25">
        <v>0</v>
      </c>
      <c r="I886" s="28">
        <v>46290</v>
      </c>
      <c r="J886" t="s">
        <v>1079</v>
      </c>
      <c r="K886" t="s">
        <v>1080</v>
      </c>
    </row>
    <row r="887" spans="1:11" hidden="1">
      <c r="A887" s="28">
        <v>46290</v>
      </c>
      <c r="B887" t="s">
        <v>186</v>
      </c>
      <c r="C887" t="s">
        <v>203</v>
      </c>
      <c r="D887" t="s">
        <v>217</v>
      </c>
      <c r="E887">
        <f>IF(LEFT(D887,6)="CLIENT",IFERROR(VLOOKUP(C887,Config_Carteiras!$A:$B,2,FALSE),1),"")</f>
        <v>1</v>
      </c>
      <c r="F887" s="25">
        <v>401.98</v>
      </c>
      <c r="G887" s="28">
        <f>IF(LEFT(D887,6)="CLIENT",IF(E887=0,WORKDAY(A887-1,1,Dias_Sem_Compensacao!$A$2:$A$500),WORKDAY(A887,E887,Dias_Sem_Compensacao!$A$2:$A$500)),"")</f>
        <v>46293</v>
      </c>
      <c r="H887" s="25">
        <v>0</v>
      </c>
      <c r="I887" s="28">
        <v>46290</v>
      </c>
      <c r="J887" t="s">
        <v>1081</v>
      </c>
      <c r="K887" t="s">
        <v>1082</v>
      </c>
    </row>
    <row r="888" spans="1:11" hidden="1">
      <c r="A888" s="28">
        <v>46290</v>
      </c>
      <c r="B888" t="s">
        <v>186</v>
      </c>
      <c r="C888" t="s">
        <v>203</v>
      </c>
      <c r="D888" t="s">
        <v>217</v>
      </c>
      <c r="E888">
        <f>IF(LEFT(D888,6)="CLIENT",IFERROR(VLOOKUP(C888,Config_Carteiras!$A:$B,2,FALSE),1),"")</f>
        <v>1</v>
      </c>
      <c r="F888" s="25">
        <v>679</v>
      </c>
      <c r="G888" s="28">
        <f>IF(LEFT(D888,6)="CLIENT",IF(E888=0,WORKDAY(A888-1,1,Dias_Sem_Compensacao!$A$2:$A$500),WORKDAY(A888,E888,Dias_Sem_Compensacao!$A$2:$A$500)),"")</f>
        <v>46293</v>
      </c>
      <c r="H888" s="25">
        <v>0</v>
      </c>
      <c r="I888" s="28">
        <v>46290</v>
      </c>
      <c r="J888" t="s">
        <v>1083</v>
      </c>
      <c r="K888" t="s">
        <v>1084</v>
      </c>
    </row>
    <row r="889" spans="1:11" hidden="1">
      <c r="A889" s="28">
        <v>46290</v>
      </c>
      <c r="B889" t="s">
        <v>186</v>
      </c>
      <c r="C889" t="s">
        <v>203</v>
      </c>
      <c r="D889" t="s">
        <v>217</v>
      </c>
      <c r="E889">
        <f>IF(LEFT(D889,6)="CLIENT",IFERROR(VLOOKUP(C889,Config_Carteiras!$A:$B,2,FALSE),1),"")</f>
        <v>1</v>
      </c>
      <c r="F889" s="25">
        <v>559</v>
      </c>
      <c r="G889" s="28">
        <f>IF(LEFT(D889,6)="CLIENT",IF(E889=0,WORKDAY(A889-1,1,Dias_Sem_Compensacao!$A$2:$A$500),WORKDAY(A889,E889,Dias_Sem_Compensacao!$A$2:$A$500)),"")</f>
        <v>46293</v>
      </c>
      <c r="H889" s="25">
        <v>0</v>
      </c>
      <c r="I889" s="28">
        <v>46290</v>
      </c>
      <c r="J889" t="s">
        <v>1085</v>
      </c>
      <c r="K889" t="s">
        <v>1086</v>
      </c>
    </row>
    <row r="890" spans="1:11" hidden="1">
      <c r="A890" s="28">
        <v>46290</v>
      </c>
      <c r="B890" t="s">
        <v>186</v>
      </c>
      <c r="C890" t="s">
        <v>203</v>
      </c>
      <c r="D890" t="s">
        <v>217</v>
      </c>
      <c r="E890">
        <f>IF(LEFT(D890,6)="CLIENT",IFERROR(VLOOKUP(C890,Config_Carteiras!$A:$B,2,FALSE),1),"")</f>
        <v>1</v>
      </c>
      <c r="F890" s="25">
        <v>1820.76</v>
      </c>
      <c r="G890" s="28">
        <f>IF(LEFT(D890,6)="CLIENT",IF(E890=0,WORKDAY(A890-1,1,Dias_Sem_Compensacao!$A$2:$A$500),WORKDAY(A890,E890,Dias_Sem_Compensacao!$A$2:$A$500)),"")</f>
        <v>46293</v>
      </c>
      <c r="H890" s="25">
        <v>0</v>
      </c>
      <c r="I890" s="28">
        <v>46290</v>
      </c>
      <c r="J890" t="s">
        <v>1087</v>
      </c>
      <c r="K890" t="s">
        <v>1088</v>
      </c>
    </row>
    <row r="891" spans="1:11" hidden="1">
      <c r="A891" s="28">
        <v>46290</v>
      </c>
      <c r="B891" t="s">
        <v>186</v>
      </c>
      <c r="C891" t="s">
        <v>203</v>
      </c>
      <c r="D891" t="s">
        <v>217</v>
      </c>
      <c r="E891">
        <f>IF(LEFT(D891,6)="CLIENT",IFERROR(VLOOKUP(C891,Config_Carteiras!$A:$B,2,FALSE),1),"")</f>
        <v>1</v>
      </c>
      <c r="F891" s="25">
        <v>3342</v>
      </c>
      <c r="G891" s="28">
        <f>IF(LEFT(D891,6)="CLIENT",IF(E891=0,WORKDAY(A891-1,1,Dias_Sem_Compensacao!$A$2:$A$500),WORKDAY(A891,E891,Dias_Sem_Compensacao!$A$2:$A$500)),"")</f>
        <v>46293</v>
      </c>
      <c r="H891" s="25">
        <v>0</v>
      </c>
      <c r="I891" s="28">
        <v>46290</v>
      </c>
      <c r="J891" t="s">
        <v>1030</v>
      </c>
      <c r="K891" t="s">
        <v>1031</v>
      </c>
    </row>
    <row r="892" spans="1:11" hidden="1">
      <c r="A892" s="28">
        <v>46290</v>
      </c>
      <c r="B892" t="s">
        <v>186</v>
      </c>
      <c r="C892" t="s">
        <v>203</v>
      </c>
      <c r="D892" t="s">
        <v>217</v>
      </c>
      <c r="E892">
        <f>IF(LEFT(D892,6)="CLIENT",IFERROR(VLOOKUP(C892,Config_Carteiras!$A:$B,2,FALSE),1),"")</f>
        <v>1</v>
      </c>
      <c r="F892" s="25">
        <v>1325.75</v>
      </c>
      <c r="G892" s="28">
        <f>IF(LEFT(D892,6)="CLIENT",IF(E892=0,WORKDAY(A892-1,1,Dias_Sem_Compensacao!$A$2:$A$500),WORKDAY(A892,E892,Dias_Sem_Compensacao!$A$2:$A$500)),"")</f>
        <v>46293</v>
      </c>
      <c r="H892" s="25">
        <v>0</v>
      </c>
      <c r="I892" s="28">
        <v>46290</v>
      </c>
      <c r="J892" t="s">
        <v>1089</v>
      </c>
      <c r="K892" t="s">
        <v>1090</v>
      </c>
    </row>
    <row r="893" spans="1:11" hidden="1">
      <c r="A893" s="28">
        <v>46290</v>
      </c>
      <c r="B893" t="s">
        <v>186</v>
      </c>
      <c r="C893" t="s">
        <v>203</v>
      </c>
      <c r="D893" t="s">
        <v>217</v>
      </c>
      <c r="E893">
        <f>IF(LEFT(D893,6)="CLIENT",IFERROR(VLOOKUP(C893,Config_Carteiras!$A:$B,2,FALSE),1),"")</f>
        <v>1</v>
      </c>
      <c r="F893" s="25">
        <v>1317.47</v>
      </c>
      <c r="G893" s="28">
        <f>IF(LEFT(D893,6)="CLIENT",IF(E893=0,WORKDAY(A893-1,1,Dias_Sem_Compensacao!$A$2:$A$500),WORKDAY(A893,E893,Dias_Sem_Compensacao!$A$2:$A$500)),"")</f>
        <v>46293</v>
      </c>
      <c r="H893" s="25">
        <v>0</v>
      </c>
      <c r="I893" s="28">
        <v>46290</v>
      </c>
      <c r="J893" t="s">
        <v>1091</v>
      </c>
      <c r="K893" t="s">
        <v>1092</v>
      </c>
    </row>
    <row r="894" spans="1:11" hidden="1">
      <c r="A894" s="28">
        <v>46290</v>
      </c>
      <c r="B894" t="s">
        <v>186</v>
      </c>
      <c r="C894" t="s">
        <v>203</v>
      </c>
      <c r="D894" t="s">
        <v>217</v>
      </c>
      <c r="E894">
        <f>IF(LEFT(D894,6)="CLIENT",IFERROR(VLOOKUP(C894,Config_Carteiras!$A:$B,2,FALSE),1),"")</f>
        <v>1</v>
      </c>
      <c r="F894" s="25">
        <v>531.63</v>
      </c>
      <c r="G894" s="28">
        <f>IF(LEFT(D894,6)="CLIENT",IF(E894=0,WORKDAY(A894-1,1,Dias_Sem_Compensacao!$A$2:$A$500),WORKDAY(A894,E894,Dias_Sem_Compensacao!$A$2:$A$500)),"")</f>
        <v>46293</v>
      </c>
      <c r="H894" s="25">
        <v>0</v>
      </c>
      <c r="I894" s="28">
        <v>46290</v>
      </c>
      <c r="J894" t="s">
        <v>1093</v>
      </c>
      <c r="K894" t="s">
        <v>1094</v>
      </c>
    </row>
    <row r="895" spans="1:11" hidden="1">
      <c r="A895" s="28">
        <v>46290</v>
      </c>
      <c r="B895" t="s">
        <v>186</v>
      </c>
      <c r="C895" t="s">
        <v>203</v>
      </c>
      <c r="D895" t="s">
        <v>217</v>
      </c>
      <c r="E895">
        <f>IF(LEFT(D895,6)="CLIENT",IFERROR(VLOOKUP(C895,Config_Carteiras!$A:$B,2,FALSE),1),"")</f>
        <v>1</v>
      </c>
      <c r="F895" s="25">
        <v>1597</v>
      </c>
      <c r="G895" s="28">
        <f>IF(LEFT(D895,6)="CLIENT",IF(E895=0,WORKDAY(A895-1,1,Dias_Sem_Compensacao!$A$2:$A$500),WORKDAY(A895,E895,Dias_Sem_Compensacao!$A$2:$A$500)),"")</f>
        <v>46293</v>
      </c>
      <c r="H895" s="25">
        <v>0</v>
      </c>
      <c r="I895" s="28">
        <v>46290</v>
      </c>
      <c r="J895" t="s">
        <v>1095</v>
      </c>
      <c r="K895" t="s">
        <v>1096</v>
      </c>
    </row>
    <row r="896" spans="1:11" hidden="1">
      <c r="A896" s="28">
        <v>46290</v>
      </c>
      <c r="B896" t="s">
        <v>186</v>
      </c>
      <c r="C896" t="s">
        <v>203</v>
      </c>
      <c r="D896" t="s">
        <v>217</v>
      </c>
      <c r="E896">
        <f>IF(LEFT(D896,6)="CLIENT",IFERROR(VLOOKUP(C896,Config_Carteiras!$A:$B,2,FALSE),1),"")</f>
        <v>1</v>
      </c>
      <c r="F896" s="25">
        <v>803.99</v>
      </c>
      <c r="G896" s="28">
        <f>IF(LEFT(D896,6)="CLIENT",IF(E896=0,WORKDAY(A896-1,1,Dias_Sem_Compensacao!$A$2:$A$500),WORKDAY(A896,E896,Dias_Sem_Compensacao!$A$2:$A$500)),"")</f>
        <v>46293</v>
      </c>
      <c r="H896" s="25">
        <v>0</v>
      </c>
      <c r="I896" s="28">
        <v>46290</v>
      </c>
      <c r="J896" t="s">
        <v>1097</v>
      </c>
      <c r="K896" t="s">
        <v>1098</v>
      </c>
    </row>
    <row r="897" spans="1:11" hidden="1">
      <c r="A897" s="28">
        <v>46290</v>
      </c>
      <c r="B897" t="s">
        <v>186</v>
      </c>
      <c r="C897" t="s">
        <v>203</v>
      </c>
      <c r="D897" t="s">
        <v>217</v>
      </c>
      <c r="E897">
        <f>IF(LEFT(D897,6)="CLIENT",IFERROR(VLOOKUP(C897,Config_Carteiras!$A:$B,2,FALSE),1),"")</f>
        <v>1</v>
      </c>
      <c r="F897" s="25">
        <v>2702</v>
      </c>
      <c r="G897" s="28">
        <f>IF(LEFT(D897,6)="CLIENT",IF(E897=0,WORKDAY(A897-1,1,Dias_Sem_Compensacao!$A$2:$A$500),WORKDAY(A897,E897,Dias_Sem_Compensacao!$A$2:$A$500)),"")</f>
        <v>46293</v>
      </c>
      <c r="H897" s="25">
        <v>0</v>
      </c>
      <c r="I897" s="28">
        <v>46290</v>
      </c>
      <c r="J897" t="s">
        <v>1032</v>
      </c>
      <c r="K897" t="s">
        <v>1033</v>
      </c>
    </row>
    <row r="898" spans="1:11" hidden="1">
      <c r="A898" s="28">
        <v>46290</v>
      </c>
      <c r="B898" t="s">
        <v>186</v>
      </c>
      <c r="C898" t="s">
        <v>203</v>
      </c>
      <c r="D898" t="s">
        <v>217</v>
      </c>
      <c r="E898">
        <f>IF(LEFT(D898,6)="CLIENT",IFERROR(VLOOKUP(C898,Config_Carteiras!$A:$B,2,FALSE),1),"")</f>
        <v>1</v>
      </c>
      <c r="F898" s="25">
        <v>527</v>
      </c>
      <c r="G898" s="28">
        <f>IF(LEFT(D898,6)="CLIENT",IF(E898=0,WORKDAY(A898-1,1,Dias_Sem_Compensacao!$A$2:$A$500),WORKDAY(A898,E898,Dias_Sem_Compensacao!$A$2:$A$500)),"")</f>
        <v>46293</v>
      </c>
      <c r="H898" s="25">
        <v>0</v>
      </c>
      <c r="I898" s="28">
        <v>46290</v>
      </c>
      <c r="J898" t="s">
        <v>1099</v>
      </c>
      <c r="K898" t="s">
        <v>1100</v>
      </c>
    </row>
    <row r="899" spans="1:11" hidden="1">
      <c r="A899" s="28">
        <v>46293</v>
      </c>
      <c r="B899" t="s">
        <v>186</v>
      </c>
      <c r="C899" t="s">
        <v>203</v>
      </c>
      <c r="D899" t="s">
        <v>217</v>
      </c>
      <c r="E899">
        <f>IF(LEFT(D899,6)="CLIENT",IFERROR(VLOOKUP(C899,Config_Carteiras!$A:$B,2,FALSE),1),"")</f>
        <v>1</v>
      </c>
      <c r="F899" s="25">
        <v>1461</v>
      </c>
      <c r="G899" s="28">
        <f>IF(LEFT(D899,6)="CLIENT",IF(E899=0,WORKDAY(A899-1,1,Dias_Sem_Compensacao!$A$2:$A$500),WORKDAY(A899,E899,Dias_Sem_Compensacao!$A$2:$A$500)),"")</f>
        <v>46294</v>
      </c>
      <c r="H899" s="25">
        <v>0</v>
      </c>
      <c r="I899" s="28">
        <v>46293</v>
      </c>
      <c r="J899" t="s">
        <v>1101</v>
      </c>
      <c r="K899" t="s">
        <v>1102</v>
      </c>
    </row>
    <row r="900" spans="1:11" hidden="1">
      <c r="A900" s="28">
        <v>46293</v>
      </c>
      <c r="B900" t="s">
        <v>186</v>
      </c>
      <c r="C900" t="s">
        <v>203</v>
      </c>
      <c r="D900" t="s">
        <v>217</v>
      </c>
      <c r="E900">
        <f>IF(LEFT(D900,6)="CLIENT",IFERROR(VLOOKUP(C900,Config_Carteiras!$A:$B,2,FALSE),1),"")</f>
        <v>1</v>
      </c>
      <c r="F900" s="25">
        <v>893.35</v>
      </c>
      <c r="G900" s="28">
        <f>IF(LEFT(D900,6)="CLIENT",IF(E900=0,WORKDAY(A900-1,1,Dias_Sem_Compensacao!$A$2:$A$500),WORKDAY(A900,E900,Dias_Sem_Compensacao!$A$2:$A$500)),"")</f>
        <v>46294</v>
      </c>
      <c r="H900" s="25">
        <v>0</v>
      </c>
      <c r="I900" s="28">
        <v>46293</v>
      </c>
      <c r="J900" t="s">
        <v>1103</v>
      </c>
      <c r="K900" t="s">
        <v>1104</v>
      </c>
    </row>
    <row r="901" spans="1:11" hidden="1">
      <c r="A901" s="28">
        <v>46293</v>
      </c>
      <c r="B901" t="s">
        <v>186</v>
      </c>
      <c r="C901" t="s">
        <v>203</v>
      </c>
      <c r="D901" t="s">
        <v>217</v>
      </c>
      <c r="E901">
        <f>IF(LEFT(D901,6)="CLIENT",IFERROR(VLOOKUP(C901,Config_Carteiras!$A:$B,2,FALSE),1),"")</f>
        <v>1</v>
      </c>
      <c r="F901" s="25">
        <v>964</v>
      </c>
      <c r="G901" s="28">
        <f>IF(LEFT(D901,6)="CLIENT",IF(E901=0,WORKDAY(A901-1,1,Dias_Sem_Compensacao!$A$2:$A$500),WORKDAY(A901,E901,Dias_Sem_Compensacao!$A$2:$A$500)),"")</f>
        <v>46294</v>
      </c>
      <c r="H901" s="25">
        <v>0</v>
      </c>
      <c r="I901" s="28">
        <v>46293</v>
      </c>
      <c r="J901" t="s">
        <v>1105</v>
      </c>
      <c r="K901" t="s">
        <v>1106</v>
      </c>
    </row>
    <row r="902" spans="1:11" hidden="1">
      <c r="A902" s="28">
        <v>46293</v>
      </c>
      <c r="B902" t="s">
        <v>186</v>
      </c>
      <c r="C902" t="s">
        <v>203</v>
      </c>
      <c r="D902" t="s">
        <v>217</v>
      </c>
      <c r="E902">
        <f>IF(LEFT(D902,6)="CLIENT",IFERROR(VLOOKUP(C902,Config_Carteiras!$A:$B,2,FALSE),1),"")</f>
        <v>1</v>
      </c>
      <c r="F902" s="25">
        <v>442.81</v>
      </c>
      <c r="G902" s="28">
        <f>IF(LEFT(D902,6)="CLIENT",IF(E902=0,WORKDAY(A902-1,1,Dias_Sem_Compensacao!$A$2:$A$500),WORKDAY(A902,E902,Dias_Sem_Compensacao!$A$2:$A$500)),"")</f>
        <v>46294</v>
      </c>
      <c r="H902" s="25">
        <v>0</v>
      </c>
      <c r="I902" s="28">
        <v>46293</v>
      </c>
      <c r="J902" t="s">
        <v>1107</v>
      </c>
      <c r="K902" t="s">
        <v>1108</v>
      </c>
    </row>
    <row r="903" spans="1:11" hidden="1">
      <c r="A903" s="28">
        <v>46293</v>
      </c>
      <c r="B903" t="s">
        <v>186</v>
      </c>
      <c r="C903" t="s">
        <v>203</v>
      </c>
      <c r="D903" t="s">
        <v>217</v>
      </c>
      <c r="E903">
        <f>IF(LEFT(D903,6)="CLIENT",IFERROR(VLOOKUP(C903,Config_Carteiras!$A:$B,2,FALSE),1),"")</f>
        <v>1</v>
      </c>
      <c r="F903" s="25">
        <v>1844</v>
      </c>
      <c r="G903" s="28">
        <f>IF(LEFT(D903,6)="CLIENT",IF(E903=0,WORKDAY(A903-1,1,Dias_Sem_Compensacao!$A$2:$A$500),WORKDAY(A903,E903,Dias_Sem_Compensacao!$A$2:$A$500)),"")</f>
        <v>46294</v>
      </c>
      <c r="H903" s="25">
        <v>0</v>
      </c>
      <c r="I903" s="28">
        <v>46293</v>
      </c>
      <c r="J903" t="s">
        <v>1041</v>
      </c>
      <c r="K903" t="s">
        <v>1042</v>
      </c>
    </row>
    <row r="904" spans="1:11" hidden="1">
      <c r="A904" s="28">
        <v>46293</v>
      </c>
      <c r="B904" t="s">
        <v>186</v>
      </c>
      <c r="C904" t="s">
        <v>203</v>
      </c>
      <c r="D904" t="s">
        <v>217</v>
      </c>
      <c r="E904">
        <f>IF(LEFT(D904,6)="CLIENT",IFERROR(VLOOKUP(C904,Config_Carteiras!$A:$B,2,FALSE),1),"")</f>
        <v>1</v>
      </c>
      <c r="F904" s="25">
        <v>701</v>
      </c>
      <c r="G904" s="28">
        <f>IF(LEFT(D904,6)="CLIENT",IF(E904=0,WORKDAY(A904-1,1,Dias_Sem_Compensacao!$A$2:$A$500),WORKDAY(A904,E904,Dias_Sem_Compensacao!$A$2:$A$500)),"")</f>
        <v>46294</v>
      </c>
      <c r="H904" s="25">
        <v>0</v>
      </c>
      <c r="I904" s="28">
        <v>46293</v>
      </c>
      <c r="J904" t="s">
        <v>1109</v>
      </c>
      <c r="K904" t="s">
        <v>1110</v>
      </c>
    </row>
    <row r="905" spans="1:11" hidden="1">
      <c r="A905" s="28">
        <v>46293</v>
      </c>
      <c r="B905" t="s">
        <v>186</v>
      </c>
      <c r="C905" t="s">
        <v>203</v>
      </c>
      <c r="D905" t="s">
        <v>217</v>
      </c>
      <c r="E905">
        <f>IF(LEFT(D905,6)="CLIENT",IFERROR(VLOOKUP(C905,Config_Carteiras!$A:$B,2,FALSE),1),"")</f>
        <v>1</v>
      </c>
      <c r="F905" s="25">
        <v>7750.75</v>
      </c>
      <c r="G905" s="28">
        <f>IF(LEFT(D905,6)="CLIENT",IF(E905=0,WORKDAY(A905-1,1,Dias_Sem_Compensacao!$A$2:$A$500),WORKDAY(A905,E905,Dias_Sem_Compensacao!$A$2:$A$500)),"")</f>
        <v>46294</v>
      </c>
      <c r="H905" s="25">
        <v>0</v>
      </c>
      <c r="I905" s="28">
        <v>46293</v>
      </c>
      <c r="J905" t="s">
        <v>1111</v>
      </c>
      <c r="K905" t="s">
        <v>1112</v>
      </c>
    </row>
    <row r="906" spans="1:11" hidden="1">
      <c r="A906" s="28">
        <v>46293</v>
      </c>
      <c r="B906" t="s">
        <v>186</v>
      </c>
      <c r="C906" t="s">
        <v>203</v>
      </c>
      <c r="D906" t="s">
        <v>217</v>
      </c>
      <c r="E906">
        <f>IF(LEFT(D906,6)="CLIENT",IFERROR(VLOOKUP(C906,Config_Carteiras!$A:$B,2,FALSE),1),"")</f>
        <v>1</v>
      </c>
      <c r="F906" s="25">
        <v>7736.46</v>
      </c>
      <c r="G906" s="28">
        <f>IF(LEFT(D906,6)="CLIENT",IF(E906=0,WORKDAY(A906-1,1,Dias_Sem_Compensacao!$A$2:$A$500),WORKDAY(A906,E906,Dias_Sem_Compensacao!$A$2:$A$500)),"")</f>
        <v>46294</v>
      </c>
      <c r="H906" s="25">
        <v>0</v>
      </c>
      <c r="I906" s="28">
        <v>46293</v>
      </c>
      <c r="J906" t="s">
        <v>1113</v>
      </c>
      <c r="K906" t="s">
        <v>1114</v>
      </c>
    </row>
    <row r="907" spans="1:11" hidden="1">
      <c r="A907" s="28">
        <v>46293</v>
      </c>
      <c r="B907" t="s">
        <v>186</v>
      </c>
      <c r="C907" t="s">
        <v>203</v>
      </c>
      <c r="D907" t="s">
        <v>217</v>
      </c>
      <c r="E907">
        <f>IF(LEFT(D907,6)="CLIENT",IFERROR(VLOOKUP(C907,Config_Carteiras!$A:$B,2,FALSE),1),"")</f>
        <v>1</v>
      </c>
      <c r="F907" s="25">
        <v>1357</v>
      </c>
      <c r="G907" s="28">
        <f>IF(LEFT(D907,6)="CLIENT",IF(E907=0,WORKDAY(A907-1,1,Dias_Sem_Compensacao!$A$2:$A$500),WORKDAY(A907,E907,Dias_Sem_Compensacao!$A$2:$A$500)),"")</f>
        <v>46294</v>
      </c>
      <c r="H907" s="25">
        <v>0</v>
      </c>
      <c r="I907" s="28">
        <v>46293</v>
      </c>
      <c r="J907" t="s">
        <v>1043</v>
      </c>
      <c r="K907" t="s">
        <v>1044</v>
      </c>
    </row>
    <row r="908" spans="1:11" hidden="1">
      <c r="A908" s="28">
        <v>46293</v>
      </c>
      <c r="B908" t="s">
        <v>186</v>
      </c>
      <c r="C908" t="s">
        <v>203</v>
      </c>
      <c r="D908" t="s">
        <v>217</v>
      </c>
      <c r="E908">
        <f>IF(LEFT(D908,6)="CLIENT",IFERROR(VLOOKUP(C908,Config_Carteiras!$A:$B,2,FALSE),1),"")</f>
        <v>1</v>
      </c>
      <c r="F908" s="25">
        <v>1147.67</v>
      </c>
      <c r="G908" s="28">
        <f>IF(LEFT(D908,6)="CLIENT",IF(E908=0,WORKDAY(A908-1,1,Dias_Sem_Compensacao!$A$2:$A$500),WORKDAY(A908,E908,Dias_Sem_Compensacao!$A$2:$A$500)),"")</f>
        <v>46294</v>
      </c>
      <c r="H908" s="25">
        <v>0</v>
      </c>
      <c r="I908" s="28">
        <v>46293</v>
      </c>
      <c r="J908" t="s">
        <v>1115</v>
      </c>
      <c r="K908" t="s">
        <v>1116</v>
      </c>
    </row>
    <row r="909" spans="1:11" hidden="1">
      <c r="A909" s="28">
        <v>46293</v>
      </c>
      <c r="B909" t="s">
        <v>186</v>
      </c>
      <c r="C909" t="s">
        <v>203</v>
      </c>
      <c r="D909" t="s">
        <v>217</v>
      </c>
      <c r="E909">
        <f>IF(LEFT(D909,6)="CLIENT",IFERROR(VLOOKUP(C909,Config_Carteiras!$A:$B,2,FALSE),1),"")</f>
        <v>1</v>
      </c>
      <c r="F909" s="25">
        <v>531</v>
      </c>
      <c r="G909" s="28">
        <f>IF(LEFT(D909,6)="CLIENT",IF(E909=0,WORKDAY(A909-1,1,Dias_Sem_Compensacao!$A$2:$A$500),WORKDAY(A909,E909,Dias_Sem_Compensacao!$A$2:$A$500)),"")</f>
        <v>46294</v>
      </c>
      <c r="H909" s="25">
        <v>0</v>
      </c>
      <c r="I909" s="28">
        <v>46293</v>
      </c>
      <c r="J909" t="s">
        <v>1117</v>
      </c>
      <c r="K909" t="s">
        <v>1118</v>
      </c>
    </row>
    <row r="910" spans="1:11" hidden="1">
      <c r="A910" s="28">
        <v>46294</v>
      </c>
      <c r="B910" t="s">
        <v>186</v>
      </c>
      <c r="C910" t="s">
        <v>203</v>
      </c>
      <c r="D910" t="s">
        <v>217</v>
      </c>
      <c r="E910">
        <f>IF(LEFT(D910,6)="CLIENT",IFERROR(VLOOKUP(C910,Config_Carteiras!$A:$B,2,FALSE),1),"")</f>
        <v>1</v>
      </c>
      <c r="F910" s="25">
        <v>432.31</v>
      </c>
      <c r="G910" s="28">
        <f>IF(LEFT(D910,6)="CLIENT",IF(E910=0,WORKDAY(A910-1,1,Dias_Sem_Compensacao!$A$2:$A$500),WORKDAY(A910,E910,Dias_Sem_Compensacao!$A$2:$A$500)),"")</f>
        <v>46295</v>
      </c>
      <c r="H910" s="25">
        <v>0</v>
      </c>
      <c r="I910" s="28">
        <v>46294</v>
      </c>
      <c r="J910" t="s">
        <v>1119</v>
      </c>
      <c r="K910" t="s">
        <v>1120</v>
      </c>
    </row>
    <row r="911" spans="1:11" hidden="1">
      <c r="A911" s="28">
        <v>46294</v>
      </c>
      <c r="B911" t="s">
        <v>186</v>
      </c>
      <c r="C911" t="s">
        <v>203</v>
      </c>
      <c r="D911" t="s">
        <v>217</v>
      </c>
      <c r="E911">
        <f>IF(LEFT(D911,6)="CLIENT",IFERROR(VLOOKUP(C911,Config_Carteiras!$A:$B,2,FALSE),1),"")</f>
        <v>1</v>
      </c>
      <c r="F911" s="25">
        <v>858.73</v>
      </c>
      <c r="G911" s="28">
        <f>IF(LEFT(D911,6)="CLIENT",IF(E911=0,WORKDAY(A911-1,1,Dias_Sem_Compensacao!$A$2:$A$500),WORKDAY(A911,E911,Dias_Sem_Compensacao!$A$2:$A$500)),"")</f>
        <v>46295</v>
      </c>
      <c r="H911" s="25">
        <v>0</v>
      </c>
      <c r="I911" s="28">
        <v>46294</v>
      </c>
      <c r="J911" t="s">
        <v>1121</v>
      </c>
      <c r="K911" t="s">
        <v>49</v>
      </c>
    </row>
    <row r="912" spans="1:11" hidden="1">
      <c r="A912" s="28">
        <v>46294</v>
      </c>
      <c r="B912" t="s">
        <v>186</v>
      </c>
      <c r="C912" t="s">
        <v>203</v>
      </c>
      <c r="D912" t="s">
        <v>217</v>
      </c>
      <c r="E912">
        <f>IF(LEFT(D912,6)="CLIENT",IFERROR(VLOOKUP(C912,Config_Carteiras!$A:$B,2,FALSE),1),"")</f>
        <v>1</v>
      </c>
      <c r="F912" s="25">
        <v>1467</v>
      </c>
      <c r="G912" s="28">
        <f>IF(LEFT(D912,6)="CLIENT",IF(E912=0,WORKDAY(A912-1,1,Dias_Sem_Compensacao!$A$2:$A$500),WORKDAY(A912,E912,Dias_Sem_Compensacao!$A$2:$A$500)),"")</f>
        <v>46295</v>
      </c>
      <c r="H912" s="25">
        <v>0</v>
      </c>
      <c r="I912" s="28">
        <v>46294</v>
      </c>
      <c r="J912" t="s">
        <v>1045</v>
      </c>
      <c r="K912" t="s">
        <v>1046</v>
      </c>
    </row>
    <row r="913" spans="1:11" hidden="1">
      <c r="A913" s="28">
        <v>46294</v>
      </c>
      <c r="B913" t="s">
        <v>186</v>
      </c>
      <c r="C913" t="s">
        <v>203</v>
      </c>
      <c r="D913" t="s">
        <v>217</v>
      </c>
      <c r="E913">
        <f>IF(LEFT(D913,6)="CLIENT",IFERROR(VLOOKUP(C913,Config_Carteiras!$A:$B,2,FALSE),1),"")</f>
        <v>1</v>
      </c>
      <c r="F913" s="25">
        <v>424</v>
      </c>
      <c r="G913" s="28">
        <f>IF(LEFT(D913,6)="CLIENT",IF(E913=0,WORKDAY(A913-1,1,Dias_Sem_Compensacao!$A$2:$A$500),WORKDAY(A913,E913,Dias_Sem_Compensacao!$A$2:$A$500)),"")</f>
        <v>46295</v>
      </c>
      <c r="H913" s="25">
        <v>0</v>
      </c>
      <c r="I913" s="28">
        <v>46294</v>
      </c>
      <c r="J913" t="s">
        <v>1122</v>
      </c>
      <c r="K913" t="s">
        <v>1123</v>
      </c>
    </row>
    <row r="914" spans="1:11" hidden="1">
      <c r="A914" s="28">
        <v>46294</v>
      </c>
      <c r="B914" t="s">
        <v>186</v>
      </c>
      <c r="C914" t="s">
        <v>203</v>
      </c>
      <c r="D914" t="s">
        <v>217</v>
      </c>
      <c r="E914">
        <f>IF(LEFT(D914,6)="CLIENT",IFERROR(VLOOKUP(C914,Config_Carteiras!$A:$B,2,FALSE),1),"")</f>
        <v>1</v>
      </c>
      <c r="F914" s="25">
        <v>537</v>
      </c>
      <c r="G914" s="28">
        <f>IF(LEFT(D914,6)="CLIENT",IF(E914=0,WORKDAY(A914-1,1,Dias_Sem_Compensacao!$A$2:$A$500),WORKDAY(A914,E914,Dias_Sem_Compensacao!$A$2:$A$500)),"")</f>
        <v>46295</v>
      </c>
      <c r="H914" s="25">
        <v>0</v>
      </c>
      <c r="I914" s="28">
        <v>46294</v>
      </c>
      <c r="J914" t="s">
        <v>1124</v>
      </c>
      <c r="K914" t="s">
        <v>1125</v>
      </c>
    </row>
    <row r="915" spans="1:11" hidden="1">
      <c r="A915" s="28">
        <v>46294</v>
      </c>
      <c r="B915" t="s">
        <v>186</v>
      </c>
      <c r="C915" t="s">
        <v>203</v>
      </c>
      <c r="D915" t="s">
        <v>217</v>
      </c>
      <c r="E915">
        <f>IF(LEFT(D915,6)="CLIENT",IFERROR(VLOOKUP(C915,Config_Carteiras!$A:$B,2,FALSE),1),"")</f>
        <v>1</v>
      </c>
      <c r="F915" s="25">
        <v>484.8</v>
      </c>
      <c r="G915" s="28">
        <f>IF(LEFT(D915,6)="CLIENT",IF(E915=0,WORKDAY(A915-1,1,Dias_Sem_Compensacao!$A$2:$A$500),WORKDAY(A915,E915,Dias_Sem_Compensacao!$A$2:$A$500)),"")</f>
        <v>46295</v>
      </c>
      <c r="H915" s="25">
        <v>0</v>
      </c>
      <c r="I915" s="28">
        <v>46294</v>
      </c>
      <c r="J915" t="s">
        <v>1126</v>
      </c>
      <c r="K915" t="s">
        <v>1127</v>
      </c>
    </row>
    <row r="916" spans="1:11" hidden="1">
      <c r="A916" s="28">
        <v>46294</v>
      </c>
      <c r="B916" t="s">
        <v>186</v>
      </c>
      <c r="C916" t="s">
        <v>203</v>
      </c>
      <c r="D916" t="s">
        <v>217</v>
      </c>
      <c r="E916">
        <f>IF(LEFT(D916,6)="CLIENT",IFERROR(VLOOKUP(C916,Config_Carteiras!$A:$B,2,FALSE),1),"")</f>
        <v>1</v>
      </c>
      <c r="F916" s="25">
        <v>1009</v>
      </c>
      <c r="G916" s="28">
        <f>IF(LEFT(D916,6)="CLIENT",IF(E916=0,WORKDAY(A916-1,1,Dias_Sem_Compensacao!$A$2:$A$500),WORKDAY(A916,E916,Dias_Sem_Compensacao!$A$2:$A$500)),"")</f>
        <v>46295</v>
      </c>
      <c r="H916" s="25">
        <v>0</v>
      </c>
      <c r="I916" s="28">
        <v>46294</v>
      </c>
      <c r="J916" t="s">
        <v>1128</v>
      </c>
      <c r="K916" t="s">
        <v>1129</v>
      </c>
    </row>
    <row r="917" spans="1:11" hidden="1">
      <c r="A917" s="28">
        <v>46294</v>
      </c>
      <c r="B917" t="s">
        <v>186</v>
      </c>
      <c r="C917" t="s">
        <v>203</v>
      </c>
      <c r="D917" t="s">
        <v>217</v>
      </c>
      <c r="E917">
        <f>IF(LEFT(D917,6)="CLIENT",IFERROR(VLOOKUP(C917,Config_Carteiras!$A:$B,2,FALSE),1),"")</f>
        <v>1</v>
      </c>
      <c r="F917" s="25">
        <v>390</v>
      </c>
      <c r="G917" s="28">
        <f>IF(LEFT(D917,6)="CLIENT",IF(E917=0,WORKDAY(A917-1,1,Dias_Sem_Compensacao!$A$2:$A$500),WORKDAY(A917,E917,Dias_Sem_Compensacao!$A$2:$A$500)),"")</f>
        <v>46295</v>
      </c>
      <c r="H917" s="25">
        <v>0</v>
      </c>
      <c r="I917" s="28">
        <v>46294</v>
      </c>
      <c r="J917" t="s">
        <v>1130</v>
      </c>
      <c r="K917" t="s">
        <v>1131</v>
      </c>
    </row>
    <row r="918" spans="1:11" hidden="1">
      <c r="A918" s="28">
        <v>46294</v>
      </c>
      <c r="B918" t="s">
        <v>186</v>
      </c>
      <c r="C918" t="s">
        <v>203</v>
      </c>
      <c r="D918" t="s">
        <v>217</v>
      </c>
      <c r="E918">
        <f>IF(LEFT(D918,6)="CLIENT",IFERROR(VLOOKUP(C918,Config_Carteiras!$A:$B,2,FALSE),1),"")</f>
        <v>1</v>
      </c>
      <c r="F918" s="25">
        <v>389.28</v>
      </c>
      <c r="G918" s="28">
        <f>IF(LEFT(D918,6)="CLIENT",IF(E918=0,WORKDAY(A918-1,1,Dias_Sem_Compensacao!$A$2:$A$500),WORKDAY(A918,E918,Dias_Sem_Compensacao!$A$2:$A$500)),"")</f>
        <v>46295</v>
      </c>
      <c r="H918" s="25">
        <v>0</v>
      </c>
      <c r="I918" s="28">
        <v>46294</v>
      </c>
      <c r="J918" t="s">
        <v>237</v>
      </c>
      <c r="K918" t="s">
        <v>1132</v>
      </c>
    </row>
    <row r="919" spans="1:11" hidden="1">
      <c r="A919" s="28">
        <v>46294</v>
      </c>
      <c r="B919" t="s">
        <v>186</v>
      </c>
      <c r="C919" t="s">
        <v>203</v>
      </c>
      <c r="D919" t="s">
        <v>217</v>
      </c>
      <c r="E919">
        <f>IF(LEFT(D919,6)="CLIENT",IFERROR(VLOOKUP(C919,Config_Carteiras!$A:$B,2,FALSE),1),"")</f>
        <v>1</v>
      </c>
      <c r="F919" s="25">
        <v>653</v>
      </c>
      <c r="G919" s="28">
        <f>IF(LEFT(D919,6)="CLIENT",IF(E919=0,WORKDAY(A919-1,1,Dias_Sem_Compensacao!$A$2:$A$500),WORKDAY(A919,E919,Dias_Sem_Compensacao!$A$2:$A$500)),"")</f>
        <v>46295</v>
      </c>
      <c r="H919" s="25">
        <v>0</v>
      </c>
      <c r="I919" s="28">
        <v>46294</v>
      </c>
      <c r="J919" t="s">
        <v>1133</v>
      </c>
      <c r="K919" t="s">
        <v>1134</v>
      </c>
    </row>
    <row r="920" spans="1:11" hidden="1">
      <c r="A920" s="28">
        <v>46294</v>
      </c>
      <c r="B920" t="s">
        <v>186</v>
      </c>
      <c r="C920" t="s">
        <v>203</v>
      </c>
      <c r="D920" t="s">
        <v>217</v>
      </c>
      <c r="E920">
        <f>IF(LEFT(D920,6)="CLIENT",IFERROR(VLOOKUP(C920,Config_Carteiras!$A:$B,2,FALSE),1),"")</f>
        <v>1</v>
      </c>
      <c r="F920" s="25">
        <v>467</v>
      </c>
      <c r="G920" s="28">
        <f>IF(LEFT(D920,6)="CLIENT",IF(E920=0,WORKDAY(A920-1,1,Dias_Sem_Compensacao!$A$2:$A$500),WORKDAY(A920,E920,Dias_Sem_Compensacao!$A$2:$A$500)),"")</f>
        <v>46295</v>
      </c>
      <c r="H920" s="25">
        <v>0</v>
      </c>
      <c r="I920" s="28">
        <v>46294</v>
      </c>
      <c r="J920" t="s">
        <v>263</v>
      </c>
      <c r="K920" t="s">
        <v>1135</v>
      </c>
    </row>
    <row r="921" spans="1:11" hidden="1">
      <c r="A921" s="28">
        <v>46294</v>
      </c>
      <c r="B921" t="s">
        <v>186</v>
      </c>
      <c r="C921" t="s">
        <v>203</v>
      </c>
      <c r="D921" t="s">
        <v>217</v>
      </c>
      <c r="E921">
        <f>IF(LEFT(D921,6)="CLIENT",IFERROR(VLOOKUP(C921,Config_Carteiras!$A:$B,2,FALSE),1),"")</f>
        <v>1</v>
      </c>
      <c r="F921" s="25">
        <v>806</v>
      </c>
      <c r="G921" s="28">
        <f>IF(LEFT(D921,6)="CLIENT",IF(E921=0,WORKDAY(A921-1,1,Dias_Sem_Compensacao!$A$2:$A$500),WORKDAY(A921,E921,Dias_Sem_Compensacao!$A$2:$A$500)),"")</f>
        <v>46295</v>
      </c>
      <c r="H921" s="25">
        <v>0</v>
      </c>
      <c r="I921" s="28">
        <v>46294</v>
      </c>
      <c r="J921" t="s">
        <v>1136</v>
      </c>
      <c r="K921" t="s">
        <v>1137</v>
      </c>
    </row>
    <row r="922" spans="1:11" hidden="1">
      <c r="A922" s="28">
        <v>46294</v>
      </c>
      <c r="B922" t="s">
        <v>186</v>
      </c>
      <c r="C922" t="s">
        <v>203</v>
      </c>
      <c r="D922" t="s">
        <v>217</v>
      </c>
      <c r="E922">
        <f>IF(LEFT(D922,6)="CLIENT",IFERROR(VLOOKUP(C922,Config_Carteiras!$A:$B,2,FALSE),1),"")</f>
        <v>1</v>
      </c>
      <c r="F922" s="25">
        <v>25253.9</v>
      </c>
      <c r="G922" s="28">
        <f>IF(LEFT(D922,6)="CLIENT",IF(E922=0,WORKDAY(A922-1,1,Dias_Sem_Compensacao!$A$2:$A$500),WORKDAY(A922,E922,Dias_Sem_Compensacao!$A$2:$A$500)),"")</f>
        <v>46295</v>
      </c>
      <c r="H922" s="25">
        <v>0</v>
      </c>
      <c r="I922" s="28">
        <v>46294</v>
      </c>
      <c r="J922" t="s">
        <v>1138</v>
      </c>
      <c r="K922" t="s">
        <v>1139</v>
      </c>
    </row>
    <row r="923" spans="1:11" hidden="1">
      <c r="A923" s="28">
        <v>46294</v>
      </c>
      <c r="B923" t="s">
        <v>186</v>
      </c>
      <c r="C923" t="s">
        <v>203</v>
      </c>
      <c r="D923" t="s">
        <v>217</v>
      </c>
      <c r="E923">
        <f>IF(LEFT(D923,6)="CLIENT",IFERROR(VLOOKUP(C923,Config_Carteiras!$A:$B,2,FALSE),1),"")</f>
        <v>1</v>
      </c>
      <c r="F923" s="25">
        <v>2987.06</v>
      </c>
      <c r="G923" s="28">
        <f>IF(LEFT(D923,6)="CLIENT",IF(E923=0,WORKDAY(A923-1,1,Dias_Sem_Compensacao!$A$2:$A$500),WORKDAY(A923,E923,Dias_Sem_Compensacao!$A$2:$A$500)),"")</f>
        <v>46295</v>
      </c>
      <c r="H923" s="25">
        <v>0</v>
      </c>
      <c r="I923" s="28">
        <v>46294</v>
      </c>
      <c r="J923" t="s">
        <v>1140</v>
      </c>
      <c r="K923" t="s">
        <v>1141</v>
      </c>
    </row>
    <row r="924" spans="1:11" hidden="1">
      <c r="A924" s="28">
        <v>46294</v>
      </c>
      <c r="B924" t="s">
        <v>186</v>
      </c>
      <c r="C924" t="s">
        <v>203</v>
      </c>
      <c r="D924" t="s">
        <v>217</v>
      </c>
      <c r="E924">
        <f>IF(LEFT(D924,6)="CLIENT",IFERROR(VLOOKUP(C924,Config_Carteiras!$A:$B,2,FALSE),1),"")</f>
        <v>1</v>
      </c>
      <c r="F924" s="25">
        <v>949.13</v>
      </c>
      <c r="G924" s="28">
        <f>IF(LEFT(D924,6)="CLIENT",IF(E924=0,WORKDAY(A924-1,1,Dias_Sem_Compensacao!$A$2:$A$500),WORKDAY(A924,E924,Dias_Sem_Compensacao!$A$2:$A$500)),"")</f>
        <v>46295</v>
      </c>
      <c r="H924" s="25">
        <v>0</v>
      </c>
      <c r="I924" s="28">
        <v>46294</v>
      </c>
      <c r="J924" t="s">
        <v>1142</v>
      </c>
      <c r="K924" t="s">
        <v>1143</v>
      </c>
    </row>
    <row r="925" spans="1:11" hidden="1">
      <c r="A925" s="28">
        <v>46294</v>
      </c>
      <c r="B925" t="s">
        <v>186</v>
      </c>
      <c r="C925" t="s">
        <v>203</v>
      </c>
      <c r="D925" t="s">
        <v>217</v>
      </c>
      <c r="E925">
        <f>IF(LEFT(D925,6)="CLIENT",IFERROR(VLOOKUP(C925,Config_Carteiras!$A:$B,2,FALSE),1),"")</f>
        <v>1</v>
      </c>
      <c r="F925" s="25">
        <v>2174.88</v>
      </c>
      <c r="G925" s="28">
        <f>IF(LEFT(D925,6)="CLIENT",IF(E925=0,WORKDAY(A925-1,1,Dias_Sem_Compensacao!$A$2:$A$500),WORKDAY(A925,E925,Dias_Sem_Compensacao!$A$2:$A$500)),"")</f>
        <v>46295</v>
      </c>
      <c r="H925" s="25">
        <v>0</v>
      </c>
      <c r="I925" s="28">
        <v>46294</v>
      </c>
      <c r="J925" t="s">
        <v>1144</v>
      </c>
      <c r="K925" t="s">
        <v>1145</v>
      </c>
    </row>
    <row r="926" spans="1:11" hidden="1">
      <c r="A926" s="28">
        <v>46294</v>
      </c>
      <c r="B926" t="s">
        <v>186</v>
      </c>
      <c r="C926" t="s">
        <v>203</v>
      </c>
      <c r="D926" t="s">
        <v>217</v>
      </c>
      <c r="E926">
        <f>IF(LEFT(D926,6)="CLIENT",IFERROR(VLOOKUP(C926,Config_Carteiras!$A:$B,2,FALSE),1),"")</f>
        <v>1</v>
      </c>
      <c r="F926" s="25">
        <v>1857.82</v>
      </c>
      <c r="G926" s="28">
        <f>IF(LEFT(D926,6)="CLIENT",IF(E926=0,WORKDAY(A926-1,1,Dias_Sem_Compensacao!$A$2:$A$500),WORKDAY(A926,E926,Dias_Sem_Compensacao!$A$2:$A$500)),"")</f>
        <v>46295</v>
      </c>
      <c r="H926" s="25">
        <v>0</v>
      </c>
      <c r="I926" s="28">
        <v>46294</v>
      </c>
      <c r="K926" t="s">
        <v>1146</v>
      </c>
    </row>
    <row r="927" spans="1:11" hidden="1">
      <c r="A927" s="28">
        <v>46294</v>
      </c>
      <c r="B927" t="s">
        <v>186</v>
      </c>
      <c r="C927" t="s">
        <v>203</v>
      </c>
      <c r="D927" t="s">
        <v>217</v>
      </c>
      <c r="E927">
        <f>IF(LEFT(D927,6)="CLIENT",IFERROR(VLOOKUP(C927,Config_Carteiras!$A:$B,2,FALSE),1),"")</f>
        <v>1</v>
      </c>
      <c r="F927" s="25">
        <v>1716.96</v>
      </c>
      <c r="G927" s="28">
        <f>IF(LEFT(D927,6)="CLIENT",IF(E927=0,WORKDAY(A927-1,1,Dias_Sem_Compensacao!$A$2:$A$500),WORKDAY(A927,E927,Dias_Sem_Compensacao!$A$2:$A$500)),"")</f>
        <v>46295</v>
      </c>
      <c r="H927" s="25">
        <v>0</v>
      </c>
      <c r="I927" s="28">
        <v>46294</v>
      </c>
      <c r="J927" t="s">
        <v>1147</v>
      </c>
      <c r="K927" t="s">
        <v>1148</v>
      </c>
    </row>
    <row r="928" spans="1:11" hidden="1">
      <c r="A928" s="28">
        <v>46294</v>
      </c>
      <c r="B928" t="s">
        <v>186</v>
      </c>
      <c r="C928" t="s">
        <v>203</v>
      </c>
      <c r="D928" t="s">
        <v>217</v>
      </c>
      <c r="E928">
        <f>IF(LEFT(D928,6)="CLIENT",IFERROR(VLOOKUP(C928,Config_Carteiras!$A:$B,2,FALSE),1),"")</f>
        <v>1</v>
      </c>
      <c r="F928" s="25">
        <v>1424</v>
      </c>
      <c r="G928" s="28">
        <f>IF(LEFT(D928,6)="CLIENT",IF(E928=0,WORKDAY(A928-1,1,Dias_Sem_Compensacao!$A$2:$A$500),WORKDAY(A928,E928,Dias_Sem_Compensacao!$A$2:$A$500)),"")</f>
        <v>46295</v>
      </c>
      <c r="H928" s="25">
        <v>0</v>
      </c>
      <c r="I928" s="28">
        <v>46294</v>
      </c>
      <c r="J928" t="s">
        <v>1149</v>
      </c>
      <c r="K928" t="s">
        <v>1150</v>
      </c>
    </row>
    <row r="929" spans="1:11" hidden="1">
      <c r="A929" s="28">
        <v>46294</v>
      </c>
      <c r="B929" t="s">
        <v>186</v>
      </c>
      <c r="C929" t="s">
        <v>203</v>
      </c>
      <c r="D929" t="s">
        <v>217</v>
      </c>
      <c r="E929">
        <f>IF(LEFT(D929,6)="CLIENT",IFERROR(VLOOKUP(C929,Config_Carteiras!$A:$B,2,FALSE),1),"")</f>
        <v>1</v>
      </c>
      <c r="F929" s="25">
        <v>1080</v>
      </c>
      <c r="G929" s="28">
        <f>IF(LEFT(D929,6)="CLIENT",IF(E929=0,WORKDAY(A929-1,1,Dias_Sem_Compensacao!$A$2:$A$500),WORKDAY(A929,E929,Dias_Sem_Compensacao!$A$2:$A$500)),"")</f>
        <v>46295</v>
      </c>
      <c r="H929" s="25">
        <v>0</v>
      </c>
      <c r="I929" s="28">
        <v>46294</v>
      </c>
      <c r="J929" t="s">
        <v>1151</v>
      </c>
      <c r="K929" t="s">
        <v>1152</v>
      </c>
    </row>
    <row r="930" spans="1:11" hidden="1">
      <c r="A930" s="28">
        <v>46294</v>
      </c>
      <c r="B930" t="s">
        <v>186</v>
      </c>
      <c r="C930" t="s">
        <v>203</v>
      </c>
      <c r="D930" t="s">
        <v>217</v>
      </c>
      <c r="E930">
        <f>IF(LEFT(D930,6)="CLIENT",IFERROR(VLOOKUP(C930,Config_Carteiras!$A:$B,2,FALSE),1),"")</f>
        <v>1</v>
      </c>
      <c r="F930" s="25">
        <v>1648</v>
      </c>
      <c r="G930" s="28">
        <f>IF(LEFT(D930,6)="CLIENT",IF(E930=0,WORKDAY(A930-1,1,Dias_Sem_Compensacao!$A$2:$A$500),WORKDAY(A930,E930,Dias_Sem_Compensacao!$A$2:$A$500)),"")</f>
        <v>46295</v>
      </c>
      <c r="H930" s="25">
        <v>0</v>
      </c>
      <c r="I930" s="28">
        <v>46294</v>
      </c>
      <c r="J930" t="s">
        <v>1153</v>
      </c>
      <c r="K930" t="s">
        <v>1154</v>
      </c>
    </row>
    <row r="931" spans="1:11" hidden="1">
      <c r="A931" s="28">
        <v>46294</v>
      </c>
      <c r="B931" t="s">
        <v>186</v>
      </c>
      <c r="C931" t="s">
        <v>203</v>
      </c>
      <c r="D931" t="s">
        <v>217</v>
      </c>
      <c r="E931">
        <f>IF(LEFT(D931,6)="CLIENT",IFERROR(VLOOKUP(C931,Config_Carteiras!$A:$B,2,FALSE),1),"")</f>
        <v>1</v>
      </c>
      <c r="F931" s="25">
        <v>880.1</v>
      </c>
      <c r="G931" s="28">
        <f>IF(LEFT(D931,6)="CLIENT",IF(E931=0,WORKDAY(A931-1,1,Dias_Sem_Compensacao!$A$2:$A$500),WORKDAY(A931,E931,Dias_Sem_Compensacao!$A$2:$A$500)),"")</f>
        <v>46295</v>
      </c>
      <c r="H931" s="25">
        <v>0</v>
      </c>
      <c r="I931" s="28">
        <v>46294</v>
      </c>
      <c r="J931" t="s">
        <v>1155</v>
      </c>
      <c r="K931" t="s">
        <v>1156</v>
      </c>
    </row>
    <row r="932" spans="1:11" hidden="1">
      <c r="A932" s="28">
        <v>46294</v>
      </c>
      <c r="B932" t="s">
        <v>186</v>
      </c>
      <c r="C932" t="s">
        <v>203</v>
      </c>
      <c r="D932" t="s">
        <v>217</v>
      </c>
      <c r="E932">
        <f>IF(LEFT(D932,6)="CLIENT",IFERROR(VLOOKUP(C932,Config_Carteiras!$A:$B,2,FALSE),1),"")</f>
        <v>1</v>
      </c>
      <c r="F932" s="25">
        <v>630</v>
      </c>
      <c r="G932" s="28">
        <f>IF(LEFT(D932,6)="CLIENT",IF(E932=0,WORKDAY(A932-1,1,Dias_Sem_Compensacao!$A$2:$A$500),WORKDAY(A932,E932,Dias_Sem_Compensacao!$A$2:$A$500)),"")</f>
        <v>46295</v>
      </c>
      <c r="H932" s="25">
        <v>0</v>
      </c>
      <c r="I932" s="28">
        <v>46294</v>
      </c>
      <c r="J932" t="s">
        <v>1157</v>
      </c>
      <c r="K932" t="s">
        <v>1158</v>
      </c>
    </row>
    <row r="933" spans="1:11" hidden="1">
      <c r="A933" s="28">
        <v>46294</v>
      </c>
      <c r="B933" t="s">
        <v>186</v>
      </c>
      <c r="C933" t="s">
        <v>203</v>
      </c>
      <c r="D933" t="s">
        <v>217</v>
      </c>
      <c r="E933">
        <f>IF(LEFT(D933,6)="CLIENT",IFERROR(VLOOKUP(C933,Config_Carteiras!$A:$B,2,FALSE),1),"")</f>
        <v>1</v>
      </c>
      <c r="F933" s="25">
        <v>766.99</v>
      </c>
      <c r="G933" s="28">
        <f>IF(LEFT(D933,6)="CLIENT",IF(E933=0,WORKDAY(A933-1,1,Dias_Sem_Compensacao!$A$2:$A$500),WORKDAY(A933,E933,Dias_Sem_Compensacao!$A$2:$A$500)),"")</f>
        <v>46295</v>
      </c>
      <c r="H933" s="25">
        <v>0</v>
      </c>
      <c r="I933" s="28">
        <v>46294</v>
      </c>
      <c r="J933" t="s">
        <v>273</v>
      </c>
      <c r="K933" t="s">
        <v>1159</v>
      </c>
    </row>
    <row r="934" spans="1:11" hidden="1">
      <c r="A934" s="28">
        <v>46294</v>
      </c>
      <c r="B934" t="s">
        <v>186</v>
      </c>
      <c r="C934" t="s">
        <v>203</v>
      </c>
      <c r="D934" t="s">
        <v>217</v>
      </c>
      <c r="E934">
        <f>IF(LEFT(D934,6)="CLIENT",IFERROR(VLOOKUP(C934,Config_Carteiras!$A:$B,2,FALSE),1),"")</f>
        <v>1</v>
      </c>
      <c r="F934" s="25">
        <v>2883.5</v>
      </c>
      <c r="G934" s="28">
        <f>IF(LEFT(D934,6)="CLIENT",IF(E934=0,WORKDAY(A934-1,1,Dias_Sem_Compensacao!$A$2:$A$500),WORKDAY(A934,E934,Dias_Sem_Compensacao!$A$2:$A$500)),"")</f>
        <v>46295</v>
      </c>
      <c r="H934" s="25">
        <v>0</v>
      </c>
      <c r="I934" s="28">
        <v>46294</v>
      </c>
      <c r="J934" t="s">
        <v>1160</v>
      </c>
      <c r="K934" t="s">
        <v>1161</v>
      </c>
    </row>
    <row r="935" spans="1:11" hidden="1">
      <c r="A935" s="28">
        <v>46294</v>
      </c>
      <c r="B935" t="s">
        <v>186</v>
      </c>
      <c r="C935" t="s">
        <v>203</v>
      </c>
      <c r="D935" t="s">
        <v>217</v>
      </c>
      <c r="E935">
        <f>IF(LEFT(D935,6)="CLIENT",IFERROR(VLOOKUP(C935,Config_Carteiras!$A:$B,2,FALSE),1),"")</f>
        <v>1</v>
      </c>
      <c r="F935" s="25">
        <v>18657</v>
      </c>
      <c r="G935" s="28">
        <f>IF(LEFT(D935,6)="CLIENT",IF(E935=0,WORKDAY(A935-1,1,Dias_Sem_Compensacao!$A$2:$A$500),WORKDAY(A935,E935,Dias_Sem_Compensacao!$A$2:$A$500)),"")</f>
        <v>46295</v>
      </c>
      <c r="H935" s="25">
        <v>0</v>
      </c>
      <c r="I935" s="28">
        <v>46294</v>
      </c>
      <c r="J935" t="s">
        <v>1162</v>
      </c>
      <c r="K935" t="s">
        <v>1163</v>
      </c>
    </row>
    <row r="936" spans="1:11" hidden="1">
      <c r="A936" s="28">
        <v>46294</v>
      </c>
      <c r="B936" t="s">
        <v>186</v>
      </c>
      <c r="C936" t="s">
        <v>203</v>
      </c>
      <c r="D936" t="s">
        <v>217</v>
      </c>
      <c r="E936">
        <f>IF(LEFT(D936,6)="CLIENT",IFERROR(VLOOKUP(C936,Config_Carteiras!$A:$B,2,FALSE),1),"")</f>
        <v>1</v>
      </c>
      <c r="F936" s="25">
        <v>536</v>
      </c>
      <c r="G936" s="28">
        <f>IF(LEFT(D936,6)="CLIENT",IF(E936=0,WORKDAY(A936-1,1,Dias_Sem_Compensacao!$A$2:$A$500),WORKDAY(A936,E936,Dias_Sem_Compensacao!$A$2:$A$500)),"")</f>
        <v>46295</v>
      </c>
      <c r="H936" s="25">
        <v>0</v>
      </c>
      <c r="I936" s="28">
        <v>46294</v>
      </c>
      <c r="J936" t="s">
        <v>1164</v>
      </c>
      <c r="K936" t="s">
        <v>1165</v>
      </c>
    </row>
    <row r="937" spans="1:11" hidden="1">
      <c r="A937" s="28">
        <v>46294</v>
      </c>
      <c r="B937" t="s">
        <v>186</v>
      </c>
      <c r="C937" t="s">
        <v>203</v>
      </c>
      <c r="D937" t="s">
        <v>217</v>
      </c>
      <c r="E937">
        <f>IF(LEFT(D937,6)="CLIENT",IFERROR(VLOOKUP(C937,Config_Carteiras!$A:$B,2,FALSE),1),"")</f>
        <v>1</v>
      </c>
      <c r="F937" s="25">
        <v>649.65</v>
      </c>
      <c r="G937" s="28">
        <f>IF(LEFT(D937,6)="CLIENT",IF(E937=0,WORKDAY(A937-1,1,Dias_Sem_Compensacao!$A$2:$A$500),WORKDAY(A937,E937,Dias_Sem_Compensacao!$A$2:$A$500)),"")</f>
        <v>46295</v>
      </c>
      <c r="H937" s="25">
        <v>0</v>
      </c>
      <c r="I937" s="28">
        <v>46294</v>
      </c>
      <c r="J937" t="s">
        <v>1166</v>
      </c>
      <c r="K937" t="s">
        <v>1167</v>
      </c>
    </row>
    <row r="938" spans="1:11" hidden="1">
      <c r="A938" s="28">
        <v>46294</v>
      </c>
      <c r="B938" t="s">
        <v>186</v>
      </c>
      <c r="C938" t="s">
        <v>203</v>
      </c>
      <c r="D938" t="s">
        <v>217</v>
      </c>
      <c r="E938">
        <f>IF(LEFT(D938,6)="CLIENT",IFERROR(VLOOKUP(C938,Config_Carteiras!$A:$B,2,FALSE),1),"")</f>
        <v>1</v>
      </c>
      <c r="F938" s="25">
        <v>973</v>
      </c>
      <c r="G938" s="28">
        <f>IF(LEFT(D938,6)="CLIENT",IF(E938=0,WORKDAY(A938-1,1,Dias_Sem_Compensacao!$A$2:$A$500),WORKDAY(A938,E938,Dias_Sem_Compensacao!$A$2:$A$500)),"")</f>
        <v>46295</v>
      </c>
      <c r="H938" s="25">
        <v>0</v>
      </c>
      <c r="I938" s="28">
        <v>46294</v>
      </c>
      <c r="J938" t="s">
        <v>1049</v>
      </c>
      <c r="K938" t="s">
        <v>1050</v>
      </c>
    </row>
    <row r="939" spans="1:11" hidden="1">
      <c r="A939" s="28">
        <v>46294</v>
      </c>
      <c r="B939" t="s">
        <v>186</v>
      </c>
      <c r="C939" t="s">
        <v>203</v>
      </c>
      <c r="D939" t="s">
        <v>217</v>
      </c>
      <c r="E939">
        <f>IF(LEFT(D939,6)="CLIENT",IFERROR(VLOOKUP(C939,Config_Carteiras!$A:$B,2,FALSE),1),"")</f>
        <v>1</v>
      </c>
      <c r="F939" s="25">
        <v>641</v>
      </c>
      <c r="G939" s="28">
        <f>IF(LEFT(D939,6)="CLIENT",IF(E939=0,WORKDAY(A939-1,1,Dias_Sem_Compensacao!$A$2:$A$500),WORKDAY(A939,E939,Dias_Sem_Compensacao!$A$2:$A$500)),"")</f>
        <v>46295</v>
      </c>
      <c r="H939" s="25">
        <v>0</v>
      </c>
      <c r="I939" s="28">
        <v>46294</v>
      </c>
      <c r="J939" t="s">
        <v>1168</v>
      </c>
      <c r="K939" t="s">
        <v>1169</v>
      </c>
    </row>
    <row r="940" spans="1:11" hidden="1">
      <c r="A940" s="28">
        <v>46294</v>
      </c>
      <c r="B940" t="s">
        <v>186</v>
      </c>
      <c r="C940" t="s">
        <v>203</v>
      </c>
      <c r="D940" t="s">
        <v>217</v>
      </c>
      <c r="E940">
        <f>IF(LEFT(D940,6)="CLIENT",IFERROR(VLOOKUP(C940,Config_Carteiras!$A:$B,2,FALSE),1),"")</f>
        <v>1</v>
      </c>
      <c r="F940" s="25">
        <v>1299.01</v>
      </c>
      <c r="G940" s="28">
        <f>IF(LEFT(D940,6)="CLIENT",IF(E940=0,WORKDAY(A940-1,1,Dias_Sem_Compensacao!$A$2:$A$500),WORKDAY(A940,E940,Dias_Sem_Compensacao!$A$2:$A$500)),"")</f>
        <v>46295</v>
      </c>
      <c r="H940" s="25">
        <v>0</v>
      </c>
      <c r="I940" s="28">
        <v>46294</v>
      </c>
      <c r="J940" t="s">
        <v>1170</v>
      </c>
      <c r="K940" t="s">
        <v>1171</v>
      </c>
    </row>
    <row r="941" spans="1:11" hidden="1">
      <c r="A941" s="28">
        <v>46294</v>
      </c>
      <c r="B941" t="s">
        <v>186</v>
      </c>
      <c r="C941" t="s">
        <v>203</v>
      </c>
      <c r="D941" t="s">
        <v>217</v>
      </c>
      <c r="E941">
        <f>IF(LEFT(D941,6)="CLIENT",IFERROR(VLOOKUP(C941,Config_Carteiras!$A:$B,2,FALSE),1),"")</f>
        <v>1</v>
      </c>
      <c r="F941" s="25">
        <v>552</v>
      </c>
      <c r="G941" s="28">
        <f>IF(LEFT(D941,6)="CLIENT",IF(E941=0,WORKDAY(A941-1,1,Dias_Sem_Compensacao!$A$2:$A$500),WORKDAY(A941,E941,Dias_Sem_Compensacao!$A$2:$A$500)),"")</f>
        <v>46295</v>
      </c>
      <c r="H941" s="25">
        <v>0</v>
      </c>
      <c r="I941" s="28">
        <v>46294</v>
      </c>
      <c r="J941" t="s">
        <v>1172</v>
      </c>
      <c r="K941" t="s">
        <v>1173</v>
      </c>
    </row>
    <row r="942" spans="1:11" hidden="1">
      <c r="A942" s="28">
        <v>46294</v>
      </c>
      <c r="B942" t="s">
        <v>186</v>
      </c>
      <c r="C942" t="s">
        <v>203</v>
      </c>
      <c r="D942" t="s">
        <v>217</v>
      </c>
      <c r="E942">
        <f>IF(LEFT(D942,6)="CLIENT",IFERROR(VLOOKUP(C942,Config_Carteiras!$A:$B,2,FALSE),1),"")</f>
        <v>1</v>
      </c>
      <c r="F942" s="25">
        <v>14397.5</v>
      </c>
      <c r="G942" s="28">
        <f>IF(LEFT(D942,6)="CLIENT",IF(E942=0,WORKDAY(A942-1,1,Dias_Sem_Compensacao!$A$2:$A$500),WORKDAY(A942,E942,Dias_Sem_Compensacao!$A$2:$A$500)),"")</f>
        <v>46295</v>
      </c>
      <c r="H942" s="25">
        <v>0</v>
      </c>
      <c r="I942" s="28">
        <v>46294</v>
      </c>
      <c r="J942" t="s">
        <v>1174</v>
      </c>
      <c r="K942" t="s">
        <v>1175</v>
      </c>
    </row>
    <row r="943" spans="1:11" hidden="1">
      <c r="A943" s="28">
        <v>46294</v>
      </c>
      <c r="B943" t="s">
        <v>186</v>
      </c>
      <c r="C943" t="s">
        <v>203</v>
      </c>
      <c r="D943" t="s">
        <v>217</v>
      </c>
      <c r="E943">
        <f>IF(LEFT(D943,6)="CLIENT",IFERROR(VLOOKUP(C943,Config_Carteiras!$A:$B,2,FALSE),1),"")</f>
        <v>1</v>
      </c>
      <c r="F943" s="25">
        <v>866</v>
      </c>
      <c r="G943" s="28">
        <f>IF(LEFT(D943,6)="CLIENT",IF(E943=0,WORKDAY(A943-1,1,Dias_Sem_Compensacao!$A$2:$A$500),WORKDAY(A943,E943,Dias_Sem_Compensacao!$A$2:$A$500)),"")</f>
        <v>46295</v>
      </c>
      <c r="H943" s="25">
        <v>0</v>
      </c>
      <c r="I943" s="28">
        <v>46294</v>
      </c>
      <c r="J943" t="s">
        <v>1176</v>
      </c>
      <c r="K943" t="s">
        <v>1177</v>
      </c>
    </row>
    <row r="944" spans="1:11" hidden="1">
      <c r="A944" s="28">
        <v>46294</v>
      </c>
      <c r="B944" t="s">
        <v>186</v>
      </c>
      <c r="C944" t="s">
        <v>203</v>
      </c>
      <c r="D944" t="s">
        <v>217</v>
      </c>
      <c r="E944">
        <f>IF(LEFT(D944,6)="CLIENT",IFERROR(VLOOKUP(C944,Config_Carteiras!$A:$B,2,FALSE),1),"")</f>
        <v>1</v>
      </c>
      <c r="F944" s="25">
        <v>486</v>
      </c>
      <c r="G944" s="28">
        <f>IF(LEFT(D944,6)="CLIENT",IF(E944=0,WORKDAY(A944-1,1,Dias_Sem_Compensacao!$A$2:$A$500),WORKDAY(A944,E944,Dias_Sem_Compensacao!$A$2:$A$500)),"")</f>
        <v>46295</v>
      </c>
      <c r="H944" s="25">
        <v>0</v>
      </c>
      <c r="I944" s="28">
        <v>46294</v>
      </c>
      <c r="J944" t="s">
        <v>1178</v>
      </c>
      <c r="K944" t="s">
        <v>1179</v>
      </c>
    </row>
    <row r="945" spans="1:11" hidden="1">
      <c r="A945" s="28">
        <v>46294</v>
      </c>
      <c r="B945" t="s">
        <v>186</v>
      </c>
      <c r="C945" t="s">
        <v>203</v>
      </c>
      <c r="D945" t="s">
        <v>217</v>
      </c>
      <c r="E945">
        <f>IF(LEFT(D945,6)="CLIENT",IFERROR(VLOOKUP(C945,Config_Carteiras!$A:$B,2,FALSE),1),"")</f>
        <v>1</v>
      </c>
      <c r="F945" s="25">
        <v>1510</v>
      </c>
      <c r="G945" s="28">
        <f>IF(LEFT(D945,6)="CLIENT",IF(E945=0,WORKDAY(A945-1,1,Dias_Sem_Compensacao!$A$2:$A$500),WORKDAY(A945,E945,Dias_Sem_Compensacao!$A$2:$A$500)),"")</f>
        <v>46295</v>
      </c>
      <c r="H945" s="25">
        <v>0</v>
      </c>
      <c r="I945" s="28">
        <v>46294</v>
      </c>
      <c r="J945" t="s">
        <v>1180</v>
      </c>
      <c r="K945" t="s">
        <v>1181</v>
      </c>
    </row>
    <row r="946" spans="1:11" hidden="1">
      <c r="A946" s="28">
        <v>46294</v>
      </c>
      <c r="B946" t="s">
        <v>186</v>
      </c>
      <c r="C946" t="s">
        <v>203</v>
      </c>
      <c r="D946" t="s">
        <v>217</v>
      </c>
      <c r="E946">
        <f>IF(LEFT(D946,6)="CLIENT",IFERROR(VLOOKUP(C946,Config_Carteiras!$A:$B,2,FALSE),1),"")</f>
        <v>1</v>
      </c>
      <c r="F946" s="25">
        <v>636.29999999999995</v>
      </c>
      <c r="G946" s="28">
        <f>IF(LEFT(D946,6)="CLIENT",IF(E946=0,WORKDAY(A946-1,1,Dias_Sem_Compensacao!$A$2:$A$500),WORKDAY(A946,E946,Dias_Sem_Compensacao!$A$2:$A$500)),"")</f>
        <v>46295</v>
      </c>
      <c r="H946" s="25">
        <v>0</v>
      </c>
      <c r="I946" s="28">
        <v>46294</v>
      </c>
      <c r="J946" t="s">
        <v>1182</v>
      </c>
      <c r="K946" t="s">
        <v>1183</v>
      </c>
    </row>
    <row r="947" spans="1:11" hidden="1">
      <c r="A947" s="28">
        <v>46294</v>
      </c>
      <c r="B947" t="s">
        <v>186</v>
      </c>
      <c r="C947" t="s">
        <v>203</v>
      </c>
      <c r="D947" t="s">
        <v>217</v>
      </c>
      <c r="E947">
        <f>IF(LEFT(D947,6)="CLIENT",IFERROR(VLOOKUP(C947,Config_Carteiras!$A:$B,2,FALSE),1),"")</f>
        <v>1</v>
      </c>
      <c r="F947" s="25">
        <v>450.98</v>
      </c>
      <c r="G947" s="28">
        <f>IF(LEFT(D947,6)="CLIENT",IF(E947=0,WORKDAY(A947-1,1,Dias_Sem_Compensacao!$A$2:$A$500),WORKDAY(A947,E947,Dias_Sem_Compensacao!$A$2:$A$500)),"")</f>
        <v>46295</v>
      </c>
      <c r="H947" s="25">
        <v>0</v>
      </c>
      <c r="I947" s="28">
        <v>46294</v>
      </c>
      <c r="J947" t="s">
        <v>1184</v>
      </c>
      <c r="K947" t="s">
        <v>1185</v>
      </c>
    </row>
    <row r="948" spans="1:11" hidden="1">
      <c r="A948" s="28">
        <v>46294</v>
      </c>
      <c r="B948" t="s">
        <v>186</v>
      </c>
      <c r="C948" t="s">
        <v>203</v>
      </c>
      <c r="D948" t="s">
        <v>217</v>
      </c>
      <c r="E948">
        <f>IF(LEFT(D948,6)="CLIENT",IFERROR(VLOOKUP(C948,Config_Carteiras!$A:$B,2,FALSE),1),"")</f>
        <v>1</v>
      </c>
      <c r="F948" s="25">
        <v>578.5</v>
      </c>
      <c r="G948" s="28">
        <f>IF(LEFT(D948,6)="CLIENT",IF(E948=0,WORKDAY(A948-1,1,Dias_Sem_Compensacao!$A$2:$A$500),WORKDAY(A948,E948,Dias_Sem_Compensacao!$A$2:$A$500)),"")</f>
        <v>46295</v>
      </c>
      <c r="H948" s="25">
        <v>0</v>
      </c>
      <c r="I948" s="28">
        <v>46294</v>
      </c>
      <c r="J948" t="s">
        <v>298</v>
      </c>
      <c r="K948" t="s">
        <v>1186</v>
      </c>
    </row>
    <row r="949" spans="1:11" hidden="1">
      <c r="A949" s="28">
        <v>46294</v>
      </c>
      <c r="B949" t="s">
        <v>186</v>
      </c>
      <c r="C949" t="s">
        <v>203</v>
      </c>
      <c r="D949" t="s">
        <v>217</v>
      </c>
      <c r="E949">
        <f>IF(LEFT(D949,6)="CLIENT",IFERROR(VLOOKUP(C949,Config_Carteiras!$A:$B,2,FALSE),1),"")</f>
        <v>1</v>
      </c>
      <c r="F949" s="25">
        <v>328.5</v>
      </c>
      <c r="G949" s="28">
        <f>IF(LEFT(D949,6)="CLIENT",IF(E949=0,WORKDAY(A949-1,1,Dias_Sem_Compensacao!$A$2:$A$500),WORKDAY(A949,E949,Dias_Sem_Compensacao!$A$2:$A$500)),"")</f>
        <v>46295</v>
      </c>
      <c r="H949" s="25">
        <v>0</v>
      </c>
      <c r="I949" s="28">
        <v>46294</v>
      </c>
      <c r="J949" t="s">
        <v>1187</v>
      </c>
      <c r="K949" t="s">
        <v>1188</v>
      </c>
    </row>
    <row r="950" spans="1:11" hidden="1">
      <c r="A950" s="28">
        <v>46294</v>
      </c>
      <c r="B950" t="s">
        <v>186</v>
      </c>
      <c r="C950" t="s">
        <v>203</v>
      </c>
      <c r="D950" t="s">
        <v>217</v>
      </c>
      <c r="E950">
        <f>IF(LEFT(D950,6)="CLIENT",IFERROR(VLOOKUP(C950,Config_Carteiras!$A:$B,2,FALSE),1),"")</f>
        <v>1</v>
      </c>
      <c r="F950" s="25">
        <v>3128.63</v>
      </c>
      <c r="G950" s="28">
        <f>IF(LEFT(D950,6)="CLIENT",IF(E950=0,WORKDAY(A950-1,1,Dias_Sem_Compensacao!$A$2:$A$500),WORKDAY(A950,E950,Dias_Sem_Compensacao!$A$2:$A$500)),"")</f>
        <v>46295</v>
      </c>
      <c r="H950" s="25">
        <v>0</v>
      </c>
      <c r="I950" s="28">
        <v>46294</v>
      </c>
      <c r="J950" t="s">
        <v>1051</v>
      </c>
      <c r="K950" t="s">
        <v>1052</v>
      </c>
    </row>
    <row r="951" spans="1:11" hidden="1">
      <c r="A951" s="28">
        <v>46294</v>
      </c>
      <c r="B951" t="s">
        <v>186</v>
      </c>
      <c r="C951" t="s">
        <v>203</v>
      </c>
      <c r="D951" t="s">
        <v>217</v>
      </c>
      <c r="E951">
        <f>IF(LEFT(D951,6)="CLIENT",IFERROR(VLOOKUP(C951,Config_Carteiras!$A:$B,2,FALSE),1),"")</f>
        <v>1</v>
      </c>
      <c r="F951" s="25">
        <v>2364.4499999999998</v>
      </c>
      <c r="G951" s="28">
        <f>IF(LEFT(D951,6)="CLIENT",IF(E951=0,WORKDAY(A951-1,1,Dias_Sem_Compensacao!$A$2:$A$500),WORKDAY(A951,E951,Dias_Sem_Compensacao!$A$2:$A$500)),"")</f>
        <v>46295</v>
      </c>
      <c r="H951" s="25">
        <v>0</v>
      </c>
      <c r="I951" s="28">
        <v>46294</v>
      </c>
      <c r="J951" t="s">
        <v>1189</v>
      </c>
      <c r="K951" t="s">
        <v>1190</v>
      </c>
    </row>
    <row r="952" spans="1:11" hidden="1">
      <c r="A952" s="28">
        <v>46294</v>
      </c>
      <c r="B952" t="s">
        <v>186</v>
      </c>
      <c r="C952" t="s">
        <v>203</v>
      </c>
      <c r="D952" t="s">
        <v>217</v>
      </c>
      <c r="E952">
        <f>IF(LEFT(D952,6)="CLIENT",IFERROR(VLOOKUP(C952,Config_Carteiras!$A:$B,2,FALSE),1),"")</f>
        <v>1</v>
      </c>
      <c r="F952" s="25">
        <v>1157</v>
      </c>
      <c r="G952" s="28">
        <f>IF(LEFT(D952,6)="CLIENT",IF(E952=0,WORKDAY(A952-1,1,Dias_Sem_Compensacao!$A$2:$A$500),WORKDAY(A952,E952,Dias_Sem_Compensacao!$A$2:$A$500)),"")</f>
        <v>46295</v>
      </c>
      <c r="H952" s="25">
        <v>0</v>
      </c>
      <c r="I952" s="28">
        <v>46294</v>
      </c>
      <c r="J952" t="s">
        <v>1191</v>
      </c>
      <c r="K952" t="s">
        <v>1192</v>
      </c>
    </row>
    <row r="953" spans="1:11" hidden="1">
      <c r="A953" s="28">
        <v>46294</v>
      </c>
      <c r="B953" t="s">
        <v>186</v>
      </c>
      <c r="C953" t="s">
        <v>203</v>
      </c>
      <c r="D953" t="s">
        <v>217</v>
      </c>
      <c r="E953">
        <f>IF(LEFT(D953,6)="CLIENT",IFERROR(VLOOKUP(C953,Config_Carteiras!$A:$B,2,FALSE),1),"")</f>
        <v>1</v>
      </c>
      <c r="F953" s="25">
        <v>518</v>
      </c>
      <c r="G953" s="28">
        <f>IF(LEFT(D953,6)="CLIENT",IF(E953=0,WORKDAY(A953-1,1,Dias_Sem_Compensacao!$A$2:$A$500),WORKDAY(A953,E953,Dias_Sem_Compensacao!$A$2:$A$500)),"")</f>
        <v>46295</v>
      </c>
      <c r="H953" s="25">
        <v>0</v>
      </c>
      <c r="I953" s="28">
        <v>46294</v>
      </c>
      <c r="J953" t="s">
        <v>1193</v>
      </c>
      <c r="K953" t="s">
        <v>1194</v>
      </c>
    </row>
    <row r="954" spans="1:11" hidden="1">
      <c r="A954" s="28">
        <v>46294</v>
      </c>
      <c r="B954" t="s">
        <v>186</v>
      </c>
      <c r="C954" t="s">
        <v>203</v>
      </c>
      <c r="D954" t="s">
        <v>217</v>
      </c>
      <c r="E954">
        <f>IF(LEFT(D954,6)="CLIENT",IFERROR(VLOOKUP(C954,Config_Carteiras!$A:$B,2,FALSE),1),"")</f>
        <v>1</v>
      </c>
      <c r="F954" s="25">
        <v>262</v>
      </c>
      <c r="G954" s="28">
        <f>IF(LEFT(D954,6)="CLIENT",IF(E954=0,WORKDAY(A954-1,1,Dias_Sem_Compensacao!$A$2:$A$500),WORKDAY(A954,E954,Dias_Sem_Compensacao!$A$2:$A$500)),"")</f>
        <v>46295</v>
      </c>
      <c r="H954" s="25">
        <v>0</v>
      </c>
      <c r="I954" s="28">
        <v>46294</v>
      </c>
      <c r="J954" t="s">
        <v>1195</v>
      </c>
      <c r="K954" t="s">
        <v>1196</v>
      </c>
    </row>
    <row r="955" spans="1:11" hidden="1">
      <c r="A955" s="28">
        <v>46294</v>
      </c>
      <c r="B955" t="s">
        <v>186</v>
      </c>
      <c r="C955" t="s">
        <v>203</v>
      </c>
      <c r="D955" t="s">
        <v>217</v>
      </c>
      <c r="E955">
        <f>IF(LEFT(D955,6)="CLIENT",IFERROR(VLOOKUP(C955,Config_Carteiras!$A:$B,2,FALSE),1),"")</f>
        <v>1</v>
      </c>
      <c r="F955" s="25">
        <v>2964</v>
      </c>
      <c r="G955" s="28">
        <f>IF(LEFT(D955,6)="CLIENT",IF(E955=0,WORKDAY(A955-1,1,Dias_Sem_Compensacao!$A$2:$A$500),WORKDAY(A955,E955,Dias_Sem_Compensacao!$A$2:$A$500)),"")</f>
        <v>46295</v>
      </c>
      <c r="H955" s="25">
        <v>0</v>
      </c>
      <c r="I955" s="28">
        <v>46294</v>
      </c>
      <c r="J955" t="s">
        <v>1197</v>
      </c>
      <c r="K955" t="s">
        <v>1198</v>
      </c>
    </row>
    <row r="956" spans="1:11" hidden="1">
      <c r="A956" s="28">
        <v>46294</v>
      </c>
      <c r="B956" t="s">
        <v>186</v>
      </c>
      <c r="C956" t="s">
        <v>203</v>
      </c>
      <c r="D956" t="s">
        <v>217</v>
      </c>
      <c r="E956">
        <f>IF(LEFT(D956,6)="CLIENT",IFERROR(VLOOKUP(C956,Config_Carteiras!$A:$B,2,FALSE),1),"")</f>
        <v>1</v>
      </c>
      <c r="F956" s="25">
        <v>543</v>
      </c>
      <c r="G956" s="28">
        <f>IF(LEFT(D956,6)="CLIENT",IF(E956=0,WORKDAY(A956-1,1,Dias_Sem_Compensacao!$A$2:$A$500),WORKDAY(A956,E956,Dias_Sem_Compensacao!$A$2:$A$500)),"")</f>
        <v>46295</v>
      </c>
      <c r="H956" s="25">
        <v>0</v>
      </c>
      <c r="I956" s="28">
        <v>46294</v>
      </c>
      <c r="J956" t="s">
        <v>1199</v>
      </c>
      <c r="K956" t="s">
        <v>1200</v>
      </c>
    </row>
    <row r="957" spans="1:11" hidden="1">
      <c r="A957" s="28">
        <v>46294</v>
      </c>
      <c r="B957" t="s">
        <v>186</v>
      </c>
      <c r="C957" t="s">
        <v>203</v>
      </c>
      <c r="D957" t="s">
        <v>217</v>
      </c>
      <c r="E957">
        <f>IF(LEFT(D957,6)="CLIENT",IFERROR(VLOOKUP(C957,Config_Carteiras!$A:$B,2,FALSE),1),"")</f>
        <v>1</v>
      </c>
      <c r="F957" s="25">
        <v>15375</v>
      </c>
      <c r="G957" s="28">
        <f>IF(LEFT(D957,6)="CLIENT",IF(E957=0,WORKDAY(A957-1,1,Dias_Sem_Compensacao!$A$2:$A$500),WORKDAY(A957,E957,Dias_Sem_Compensacao!$A$2:$A$500)),"")</f>
        <v>46295</v>
      </c>
      <c r="H957" s="25">
        <v>0</v>
      </c>
      <c r="I957" s="28">
        <v>46294</v>
      </c>
      <c r="J957" t="s">
        <v>1201</v>
      </c>
      <c r="K957" t="s">
        <v>1202</v>
      </c>
    </row>
    <row r="958" spans="1:11" hidden="1">
      <c r="A958" s="28">
        <v>46294</v>
      </c>
      <c r="B958" t="s">
        <v>186</v>
      </c>
      <c r="C958" t="s">
        <v>203</v>
      </c>
      <c r="D958" t="s">
        <v>217</v>
      </c>
      <c r="E958">
        <f>IF(LEFT(D958,6)="CLIENT",IFERROR(VLOOKUP(C958,Config_Carteiras!$A:$B,2,FALSE),1),"")</f>
        <v>1</v>
      </c>
      <c r="F958" s="25">
        <v>15925</v>
      </c>
      <c r="G958" s="28">
        <f>IF(LEFT(D958,6)="CLIENT",IF(E958=0,WORKDAY(A958-1,1,Dias_Sem_Compensacao!$A$2:$A$500),WORKDAY(A958,E958,Dias_Sem_Compensacao!$A$2:$A$500)),"")</f>
        <v>46295</v>
      </c>
      <c r="H958" s="25">
        <v>0</v>
      </c>
      <c r="I958" s="28">
        <v>46294</v>
      </c>
      <c r="K958" t="s">
        <v>1203</v>
      </c>
    </row>
    <row r="959" spans="1:11" hidden="1">
      <c r="A959" s="28">
        <v>46294</v>
      </c>
      <c r="B959" t="s">
        <v>186</v>
      </c>
      <c r="C959" t="s">
        <v>203</v>
      </c>
      <c r="D959" t="s">
        <v>217</v>
      </c>
      <c r="E959">
        <f>IF(LEFT(D959,6)="CLIENT",IFERROR(VLOOKUP(C959,Config_Carteiras!$A:$B,2,FALSE),1),"")</f>
        <v>1</v>
      </c>
      <c r="F959" s="25">
        <v>678.31</v>
      </c>
      <c r="G959" s="28">
        <f>IF(LEFT(D959,6)="CLIENT",IF(E959=0,WORKDAY(A959-1,1,Dias_Sem_Compensacao!$A$2:$A$500),WORKDAY(A959,E959,Dias_Sem_Compensacao!$A$2:$A$500)),"")</f>
        <v>46295</v>
      </c>
      <c r="H959" s="25">
        <v>0</v>
      </c>
      <c r="I959" s="28">
        <v>46294</v>
      </c>
      <c r="J959" t="s">
        <v>1107</v>
      </c>
      <c r="K959" t="s">
        <v>1204</v>
      </c>
    </row>
    <row r="960" spans="1:11" hidden="1">
      <c r="A960" s="28">
        <v>46294</v>
      </c>
      <c r="B960" t="s">
        <v>186</v>
      </c>
      <c r="C960" t="s">
        <v>203</v>
      </c>
      <c r="D960" t="s">
        <v>217</v>
      </c>
      <c r="E960">
        <f>IF(LEFT(D960,6)="CLIENT",IFERROR(VLOOKUP(C960,Config_Carteiras!$A:$B,2,FALSE),1),"")</f>
        <v>1</v>
      </c>
      <c r="F960" s="25">
        <v>805</v>
      </c>
      <c r="G960" s="28">
        <f>IF(LEFT(D960,6)="CLIENT",IF(E960=0,WORKDAY(A960-1,1,Dias_Sem_Compensacao!$A$2:$A$500),WORKDAY(A960,E960,Dias_Sem_Compensacao!$A$2:$A$500)),"")</f>
        <v>46295</v>
      </c>
      <c r="H960" s="25">
        <v>0</v>
      </c>
      <c r="I960" s="28">
        <v>46294</v>
      </c>
      <c r="K960" t="s">
        <v>1205</v>
      </c>
    </row>
    <row r="961" spans="1:11" hidden="1">
      <c r="A961" s="28">
        <v>46294</v>
      </c>
      <c r="B961" t="s">
        <v>186</v>
      </c>
      <c r="C961" t="s">
        <v>203</v>
      </c>
      <c r="D961" t="s">
        <v>217</v>
      </c>
      <c r="E961">
        <f>IF(LEFT(D961,6)="CLIENT",IFERROR(VLOOKUP(C961,Config_Carteiras!$A:$B,2,FALSE),1),"")</f>
        <v>1</v>
      </c>
      <c r="F961" s="25">
        <v>1411</v>
      </c>
      <c r="G961" s="28">
        <f>IF(LEFT(D961,6)="CLIENT",IF(E961=0,WORKDAY(A961-1,1,Dias_Sem_Compensacao!$A$2:$A$500),WORKDAY(A961,E961,Dias_Sem_Compensacao!$A$2:$A$500)),"")</f>
        <v>46295</v>
      </c>
      <c r="H961" s="25">
        <v>0</v>
      </c>
      <c r="I961" s="28">
        <v>46294</v>
      </c>
      <c r="J961" t="s">
        <v>1206</v>
      </c>
      <c r="K961" t="s">
        <v>1207</v>
      </c>
    </row>
    <row r="962" spans="1:11" hidden="1">
      <c r="A962" s="28">
        <v>46294</v>
      </c>
      <c r="B962" t="s">
        <v>186</v>
      </c>
      <c r="C962" t="s">
        <v>203</v>
      </c>
      <c r="D962" t="s">
        <v>217</v>
      </c>
      <c r="E962">
        <f>IF(LEFT(D962,6)="CLIENT",IFERROR(VLOOKUP(C962,Config_Carteiras!$A:$B,2,FALSE),1),"")</f>
        <v>1</v>
      </c>
      <c r="F962" s="25">
        <v>427.51</v>
      </c>
      <c r="G962" s="28">
        <f>IF(LEFT(D962,6)="CLIENT",IF(E962=0,WORKDAY(A962-1,1,Dias_Sem_Compensacao!$A$2:$A$500),WORKDAY(A962,E962,Dias_Sem_Compensacao!$A$2:$A$500)),"")</f>
        <v>46295</v>
      </c>
      <c r="H962" s="25">
        <v>0</v>
      </c>
      <c r="I962" s="28">
        <v>46294</v>
      </c>
      <c r="J962" t="s">
        <v>1208</v>
      </c>
      <c r="K962" t="s">
        <v>1209</v>
      </c>
    </row>
    <row r="963" spans="1:11" hidden="1">
      <c r="A963" s="28">
        <v>46294</v>
      </c>
      <c r="B963" t="s">
        <v>186</v>
      </c>
      <c r="C963" t="s">
        <v>203</v>
      </c>
      <c r="D963" t="s">
        <v>217</v>
      </c>
      <c r="E963">
        <f>IF(LEFT(D963,6)="CLIENT",IFERROR(VLOOKUP(C963,Config_Carteiras!$A:$B,2,FALSE),1),"")</f>
        <v>1</v>
      </c>
      <c r="F963" s="25">
        <v>630</v>
      </c>
      <c r="G963" s="28">
        <f>IF(LEFT(D963,6)="CLIENT",IF(E963=0,WORKDAY(A963-1,1,Dias_Sem_Compensacao!$A$2:$A$500),WORKDAY(A963,E963,Dias_Sem_Compensacao!$A$2:$A$500)),"")</f>
        <v>46295</v>
      </c>
      <c r="H963" s="25">
        <v>0</v>
      </c>
      <c r="I963" s="28">
        <v>46294</v>
      </c>
      <c r="J963" t="s">
        <v>660</v>
      </c>
      <c r="K963" t="s">
        <v>1210</v>
      </c>
    </row>
    <row r="964" spans="1:11" hidden="1">
      <c r="A964" s="28">
        <v>46294</v>
      </c>
      <c r="B964" t="s">
        <v>186</v>
      </c>
      <c r="C964" t="s">
        <v>203</v>
      </c>
      <c r="D964" t="s">
        <v>217</v>
      </c>
      <c r="E964">
        <f>IF(LEFT(D964,6)="CLIENT",IFERROR(VLOOKUP(C964,Config_Carteiras!$A:$B,2,FALSE),1),"")</f>
        <v>1</v>
      </c>
      <c r="F964" s="25">
        <v>1435</v>
      </c>
      <c r="G964" s="28">
        <f>IF(LEFT(D964,6)="CLIENT",IF(E964=0,WORKDAY(A964-1,1,Dias_Sem_Compensacao!$A$2:$A$500),WORKDAY(A964,E964,Dias_Sem_Compensacao!$A$2:$A$500)),"")</f>
        <v>46295</v>
      </c>
      <c r="H964" s="25">
        <v>0</v>
      </c>
      <c r="I964" s="28">
        <v>46294</v>
      </c>
      <c r="J964" t="s">
        <v>1211</v>
      </c>
      <c r="K964" t="s">
        <v>1212</v>
      </c>
    </row>
    <row r="965" spans="1:11" hidden="1">
      <c r="A965" s="28">
        <v>46294</v>
      </c>
      <c r="B965" t="s">
        <v>186</v>
      </c>
      <c r="C965" t="s">
        <v>203</v>
      </c>
      <c r="D965" t="s">
        <v>217</v>
      </c>
      <c r="E965">
        <f>IF(LEFT(D965,6)="CLIENT",IFERROR(VLOOKUP(C965,Config_Carteiras!$A:$B,2,FALSE),1),"")</f>
        <v>1</v>
      </c>
      <c r="F965" s="25">
        <v>507</v>
      </c>
      <c r="G965" s="28">
        <f>IF(LEFT(D965,6)="CLIENT",IF(E965=0,WORKDAY(A965-1,1,Dias_Sem_Compensacao!$A$2:$A$500),WORKDAY(A965,E965,Dias_Sem_Compensacao!$A$2:$A$500)),"")</f>
        <v>46295</v>
      </c>
      <c r="H965" s="25">
        <v>0</v>
      </c>
      <c r="I965" s="28">
        <v>46294</v>
      </c>
      <c r="J965" t="s">
        <v>1213</v>
      </c>
      <c r="K965" t="s">
        <v>1214</v>
      </c>
    </row>
    <row r="966" spans="1:11" hidden="1">
      <c r="A966" s="28">
        <v>46294</v>
      </c>
      <c r="B966" t="s">
        <v>186</v>
      </c>
      <c r="C966" t="s">
        <v>203</v>
      </c>
      <c r="D966" t="s">
        <v>217</v>
      </c>
      <c r="E966">
        <f>IF(LEFT(D966,6)="CLIENT",IFERROR(VLOOKUP(C966,Config_Carteiras!$A:$B,2,FALSE),1),"")</f>
        <v>1</v>
      </c>
      <c r="F966" s="25">
        <v>724</v>
      </c>
      <c r="G966" s="28">
        <f>IF(LEFT(D966,6)="CLIENT",IF(E966=0,WORKDAY(A966-1,1,Dias_Sem_Compensacao!$A$2:$A$500),WORKDAY(A966,E966,Dias_Sem_Compensacao!$A$2:$A$500)),"")</f>
        <v>46295</v>
      </c>
      <c r="H966" s="25">
        <v>0</v>
      </c>
      <c r="I966" s="28">
        <v>46294</v>
      </c>
      <c r="J966" t="s">
        <v>1215</v>
      </c>
      <c r="K966" t="s">
        <v>1216</v>
      </c>
    </row>
    <row r="967" spans="1:11" hidden="1">
      <c r="A967" s="28">
        <v>46294</v>
      </c>
      <c r="B967" t="s">
        <v>186</v>
      </c>
      <c r="C967" t="s">
        <v>203</v>
      </c>
      <c r="D967" t="s">
        <v>217</v>
      </c>
      <c r="E967">
        <f>IF(LEFT(D967,6)="CLIENT",IFERROR(VLOOKUP(C967,Config_Carteiras!$A:$B,2,FALSE),1),"")</f>
        <v>1</v>
      </c>
      <c r="F967" s="25">
        <v>2203.6</v>
      </c>
      <c r="G967" s="28">
        <f>IF(LEFT(D967,6)="CLIENT",IF(E967=0,WORKDAY(A967-1,1,Dias_Sem_Compensacao!$A$2:$A$500),WORKDAY(A967,E967,Dias_Sem_Compensacao!$A$2:$A$500)),"")</f>
        <v>46295</v>
      </c>
      <c r="H967" s="25">
        <v>0</v>
      </c>
      <c r="I967" s="28">
        <v>46294</v>
      </c>
      <c r="J967" t="s">
        <v>80</v>
      </c>
      <c r="K967" t="s">
        <v>1217</v>
      </c>
    </row>
    <row r="968" spans="1:11" hidden="1">
      <c r="A968" s="28">
        <v>46294</v>
      </c>
      <c r="B968" t="s">
        <v>186</v>
      </c>
      <c r="C968" t="s">
        <v>203</v>
      </c>
      <c r="D968" t="s">
        <v>217</v>
      </c>
      <c r="E968">
        <f>IF(LEFT(D968,6)="CLIENT",IFERROR(VLOOKUP(C968,Config_Carteiras!$A:$B,2,FALSE),1),"")</f>
        <v>1</v>
      </c>
      <c r="F968" s="25">
        <v>1415</v>
      </c>
      <c r="G968" s="28">
        <f>IF(LEFT(D968,6)="CLIENT",IF(E968=0,WORKDAY(A968-1,1,Dias_Sem_Compensacao!$A$2:$A$500),WORKDAY(A968,E968,Dias_Sem_Compensacao!$A$2:$A$500)),"")</f>
        <v>46295</v>
      </c>
      <c r="H968" s="25">
        <v>0</v>
      </c>
      <c r="I968" s="28">
        <v>46294</v>
      </c>
      <c r="J968" t="s">
        <v>1218</v>
      </c>
      <c r="K968" t="s">
        <v>1219</v>
      </c>
    </row>
    <row r="969" spans="1:11" hidden="1">
      <c r="A969" s="28">
        <v>46294</v>
      </c>
      <c r="B969" t="s">
        <v>186</v>
      </c>
      <c r="C969" t="s">
        <v>203</v>
      </c>
      <c r="D969" t="s">
        <v>217</v>
      </c>
      <c r="E969">
        <f>IF(LEFT(D969,6)="CLIENT",IFERROR(VLOOKUP(C969,Config_Carteiras!$A:$B,2,FALSE),1),"")</f>
        <v>1</v>
      </c>
      <c r="F969" s="25">
        <v>801.7</v>
      </c>
      <c r="G969" s="28">
        <f>IF(LEFT(D969,6)="CLIENT",IF(E969=0,WORKDAY(A969-1,1,Dias_Sem_Compensacao!$A$2:$A$500),WORKDAY(A969,E969,Dias_Sem_Compensacao!$A$2:$A$500)),"")</f>
        <v>46295</v>
      </c>
      <c r="H969" s="25">
        <v>0</v>
      </c>
      <c r="I969" s="28">
        <v>46294</v>
      </c>
      <c r="J969" t="s">
        <v>316</v>
      </c>
      <c r="K969" t="s">
        <v>1220</v>
      </c>
    </row>
    <row r="970" spans="1:11" hidden="1">
      <c r="A970" s="28">
        <v>46294</v>
      </c>
      <c r="B970" t="s">
        <v>186</v>
      </c>
      <c r="C970" t="s">
        <v>203</v>
      </c>
      <c r="D970" t="s">
        <v>217</v>
      </c>
      <c r="E970">
        <f>IF(LEFT(D970,6)="CLIENT",IFERROR(VLOOKUP(C970,Config_Carteiras!$A:$B,2,FALSE),1),"")</f>
        <v>1</v>
      </c>
      <c r="F970" s="25">
        <v>574.63</v>
      </c>
      <c r="G970" s="28">
        <f>IF(LEFT(D970,6)="CLIENT",IF(E970=0,WORKDAY(A970-1,1,Dias_Sem_Compensacao!$A$2:$A$500),WORKDAY(A970,E970,Dias_Sem_Compensacao!$A$2:$A$500)),"")</f>
        <v>46295</v>
      </c>
      <c r="H970" s="25">
        <v>0</v>
      </c>
      <c r="I970" s="28">
        <v>46294</v>
      </c>
      <c r="J970" t="s">
        <v>1221</v>
      </c>
      <c r="K970" t="s">
        <v>1222</v>
      </c>
    </row>
    <row r="971" spans="1:11" hidden="1">
      <c r="A971" s="28">
        <v>46294</v>
      </c>
      <c r="B971" t="s">
        <v>186</v>
      </c>
      <c r="C971" t="s">
        <v>203</v>
      </c>
      <c r="D971" t="s">
        <v>217</v>
      </c>
      <c r="E971">
        <f>IF(LEFT(D971,6)="CLIENT",IFERROR(VLOOKUP(C971,Config_Carteiras!$A:$B,2,FALSE),1),"")</f>
        <v>1</v>
      </c>
      <c r="F971" s="25">
        <v>1901</v>
      </c>
      <c r="G971" s="28">
        <f>IF(LEFT(D971,6)="CLIENT",IF(E971=0,WORKDAY(A971-1,1,Dias_Sem_Compensacao!$A$2:$A$500),WORKDAY(A971,E971,Dias_Sem_Compensacao!$A$2:$A$500)),"")</f>
        <v>46295</v>
      </c>
      <c r="H971" s="25">
        <v>0</v>
      </c>
      <c r="I971" s="28">
        <v>46294</v>
      </c>
      <c r="J971" t="s">
        <v>1223</v>
      </c>
      <c r="K971" t="s">
        <v>1224</v>
      </c>
    </row>
    <row r="972" spans="1:11" hidden="1">
      <c r="A972" s="28">
        <v>46294</v>
      </c>
      <c r="B972" t="s">
        <v>186</v>
      </c>
      <c r="C972" t="s">
        <v>203</v>
      </c>
      <c r="D972" t="s">
        <v>217</v>
      </c>
      <c r="E972">
        <f>IF(LEFT(D972,6)="CLIENT",IFERROR(VLOOKUP(C972,Config_Carteiras!$A:$B,2,FALSE),1),"")</f>
        <v>1</v>
      </c>
      <c r="F972" s="25">
        <v>1207</v>
      </c>
      <c r="G972" s="28">
        <f>IF(LEFT(D972,6)="CLIENT",IF(E972=0,WORKDAY(A972-1,1,Dias_Sem_Compensacao!$A$2:$A$500),WORKDAY(A972,E972,Dias_Sem_Compensacao!$A$2:$A$500)),"")</f>
        <v>46295</v>
      </c>
      <c r="H972" s="25">
        <v>0</v>
      </c>
      <c r="I972" s="28">
        <v>46294</v>
      </c>
      <c r="J972" t="s">
        <v>1225</v>
      </c>
      <c r="K972" t="s">
        <v>1226</v>
      </c>
    </row>
    <row r="973" spans="1:11" hidden="1">
      <c r="A973" s="28">
        <v>46294</v>
      </c>
      <c r="B973" t="s">
        <v>186</v>
      </c>
      <c r="C973" t="s">
        <v>203</v>
      </c>
      <c r="D973" t="s">
        <v>217</v>
      </c>
      <c r="E973">
        <f>IF(LEFT(D973,6)="CLIENT",IFERROR(VLOOKUP(C973,Config_Carteiras!$A:$B,2,FALSE),1),"")</f>
        <v>1</v>
      </c>
      <c r="F973" s="25">
        <v>4624</v>
      </c>
      <c r="G973" s="28">
        <f>IF(LEFT(D973,6)="CLIENT",IF(E973=0,WORKDAY(A973-1,1,Dias_Sem_Compensacao!$A$2:$A$500),WORKDAY(A973,E973,Dias_Sem_Compensacao!$A$2:$A$500)),"")</f>
        <v>46295</v>
      </c>
      <c r="H973" s="25">
        <v>0</v>
      </c>
      <c r="I973" s="28">
        <v>46294</v>
      </c>
      <c r="J973" t="s">
        <v>1227</v>
      </c>
      <c r="K973" t="s">
        <v>1228</v>
      </c>
    </row>
    <row r="974" spans="1:11" hidden="1">
      <c r="A974" s="28">
        <v>46294</v>
      </c>
      <c r="B974" t="s">
        <v>186</v>
      </c>
      <c r="C974" t="s">
        <v>203</v>
      </c>
      <c r="D974" t="s">
        <v>217</v>
      </c>
      <c r="E974">
        <f>IF(LEFT(D974,6)="CLIENT",IFERROR(VLOOKUP(C974,Config_Carteiras!$A:$B,2,FALSE),1),"")</f>
        <v>1</v>
      </c>
      <c r="F974" s="25">
        <v>3427</v>
      </c>
      <c r="G974" s="28">
        <f>IF(LEFT(D974,6)="CLIENT",IF(E974=0,WORKDAY(A974-1,1,Dias_Sem_Compensacao!$A$2:$A$500),WORKDAY(A974,E974,Dias_Sem_Compensacao!$A$2:$A$500)),"")</f>
        <v>46295</v>
      </c>
      <c r="H974" s="25">
        <v>0</v>
      </c>
      <c r="I974" s="28">
        <v>46294</v>
      </c>
      <c r="J974" t="s">
        <v>1229</v>
      </c>
      <c r="K974" t="s">
        <v>1230</v>
      </c>
    </row>
    <row r="975" spans="1:11" hidden="1">
      <c r="A975" s="28">
        <v>46294</v>
      </c>
      <c r="B975" t="s">
        <v>186</v>
      </c>
      <c r="C975" t="s">
        <v>203</v>
      </c>
      <c r="D975" t="s">
        <v>217</v>
      </c>
      <c r="E975">
        <f>IF(LEFT(D975,6)="CLIENT",IFERROR(VLOOKUP(C975,Config_Carteiras!$A:$B,2,FALSE),1),"")</f>
        <v>1</v>
      </c>
      <c r="F975" s="25">
        <v>385</v>
      </c>
      <c r="G975" s="28">
        <f>IF(LEFT(D975,6)="CLIENT",IF(E975=0,WORKDAY(A975-1,1,Dias_Sem_Compensacao!$A$2:$A$500),WORKDAY(A975,E975,Dias_Sem_Compensacao!$A$2:$A$500)),"")</f>
        <v>46295</v>
      </c>
      <c r="H975" s="25">
        <v>0</v>
      </c>
      <c r="I975" s="28">
        <v>46294</v>
      </c>
      <c r="J975" t="s">
        <v>1231</v>
      </c>
      <c r="K975" t="s">
        <v>1232</v>
      </c>
    </row>
    <row r="976" spans="1:11" hidden="1">
      <c r="A976" s="28">
        <v>46294</v>
      </c>
      <c r="B976" t="s">
        <v>186</v>
      </c>
      <c r="C976" t="s">
        <v>203</v>
      </c>
      <c r="D976" t="s">
        <v>217</v>
      </c>
      <c r="E976">
        <f>IF(LEFT(D976,6)="CLIENT",IFERROR(VLOOKUP(C976,Config_Carteiras!$A:$B,2,FALSE),1),"")</f>
        <v>1</v>
      </c>
      <c r="F976" s="25">
        <v>871</v>
      </c>
      <c r="G976" s="28">
        <f>IF(LEFT(D976,6)="CLIENT",IF(E976=0,WORKDAY(A976-1,1,Dias_Sem_Compensacao!$A$2:$A$500),WORKDAY(A976,E976,Dias_Sem_Compensacao!$A$2:$A$500)),"")</f>
        <v>46295</v>
      </c>
      <c r="H976" s="25">
        <v>0</v>
      </c>
      <c r="I976" s="28">
        <v>46294</v>
      </c>
      <c r="J976" t="s">
        <v>841</v>
      </c>
      <c r="K976" t="s">
        <v>1233</v>
      </c>
    </row>
    <row r="977" spans="1:11" hidden="1">
      <c r="A977" s="28">
        <v>46294</v>
      </c>
      <c r="B977" t="s">
        <v>186</v>
      </c>
      <c r="C977" t="s">
        <v>203</v>
      </c>
      <c r="D977" t="s">
        <v>217</v>
      </c>
      <c r="E977">
        <f>IF(LEFT(D977,6)="CLIENT",IFERROR(VLOOKUP(C977,Config_Carteiras!$A:$B,2,FALSE),1),"")</f>
        <v>1</v>
      </c>
      <c r="F977" s="25">
        <v>369.75</v>
      </c>
      <c r="G977" s="28">
        <f>IF(LEFT(D977,6)="CLIENT",IF(E977=0,WORKDAY(A977-1,1,Dias_Sem_Compensacao!$A$2:$A$500),WORKDAY(A977,E977,Dias_Sem_Compensacao!$A$2:$A$500)),"")</f>
        <v>46295</v>
      </c>
      <c r="H977" s="25">
        <v>0</v>
      </c>
      <c r="I977" s="28">
        <v>46294</v>
      </c>
      <c r="J977" t="s">
        <v>324</v>
      </c>
      <c r="K977" t="s">
        <v>1055</v>
      </c>
    </row>
    <row r="978" spans="1:11" hidden="1">
      <c r="A978" s="28">
        <v>46294</v>
      </c>
      <c r="B978" t="s">
        <v>186</v>
      </c>
      <c r="C978" t="s">
        <v>203</v>
      </c>
      <c r="D978" t="s">
        <v>217</v>
      </c>
      <c r="E978">
        <f>IF(LEFT(D978,6)="CLIENT",IFERROR(VLOOKUP(C978,Config_Carteiras!$A:$B,2,FALSE),1),"")</f>
        <v>1</v>
      </c>
      <c r="F978" s="25">
        <v>618</v>
      </c>
      <c r="G978" s="28">
        <f>IF(LEFT(D978,6)="CLIENT",IF(E978=0,WORKDAY(A978-1,1,Dias_Sem_Compensacao!$A$2:$A$500),WORKDAY(A978,E978,Dias_Sem_Compensacao!$A$2:$A$500)),"")</f>
        <v>46295</v>
      </c>
      <c r="H978" s="25">
        <v>0</v>
      </c>
      <c r="I978" s="28">
        <v>46294</v>
      </c>
      <c r="J978" t="s">
        <v>1234</v>
      </c>
      <c r="K978" t="s">
        <v>1235</v>
      </c>
    </row>
    <row r="979" spans="1:11" hidden="1">
      <c r="A979" s="28">
        <v>46294</v>
      </c>
      <c r="B979" t="s">
        <v>186</v>
      </c>
      <c r="C979" t="s">
        <v>203</v>
      </c>
      <c r="D979" t="s">
        <v>217</v>
      </c>
      <c r="E979">
        <f>IF(LEFT(D979,6)="CLIENT",IFERROR(VLOOKUP(C979,Config_Carteiras!$A:$B,2,FALSE),1),"")</f>
        <v>1</v>
      </c>
      <c r="F979" s="25">
        <v>10489.68</v>
      </c>
      <c r="G979" s="28">
        <f>IF(LEFT(D979,6)="CLIENT",IF(E979=0,WORKDAY(A979-1,1,Dias_Sem_Compensacao!$A$2:$A$500),WORKDAY(A979,E979,Dias_Sem_Compensacao!$A$2:$A$500)),"")</f>
        <v>46295</v>
      </c>
      <c r="H979" s="25">
        <v>0</v>
      </c>
      <c r="I979" s="28">
        <v>46294</v>
      </c>
      <c r="J979" t="s">
        <v>1236</v>
      </c>
      <c r="K979" t="s">
        <v>1237</v>
      </c>
    </row>
    <row r="980" spans="1:11" hidden="1">
      <c r="A980" s="28">
        <v>46294</v>
      </c>
      <c r="B980" t="s">
        <v>186</v>
      </c>
      <c r="C980" t="s">
        <v>203</v>
      </c>
      <c r="D980" t="s">
        <v>217</v>
      </c>
      <c r="E980">
        <f>IF(LEFT(D980,6)="CLIENT",IFERROR(VLOOKUP(C980,Config_Carteiras!$A:$B,2,FALSE),1),"")</f>
        <v>1</v>
      </c>
      <c r="F980" s="25">
        <v>10603.18</v>
      </c>
      <c r="G980" s="28">
        <f>IF(LEFT(D980,6)="CLIENT",IF(E980=0,WORKDAY(A980-1,1,Dias_Sem_Compensacao!$A$2:$A$500),WORKDAY(A980,E980,Dias_Sem_Compensacao!$A$2:$A$500)),"")</f>
        <v>46295</v>
      </c>
      <c r="H980" s="25">
        <v>0</v>
      </c>
      <c r="I980" s="28">
        <v>46294</v>
      </c>
      <c r="J980" t="s">
        <v>1238</v>
      </c>
      <c r="K980" t="s">
        <v>1239</v>
      </c>
    </row>
    <row r="981" spans="1:11" hidden="1">
      <c r="A981" s="28">
        <v>46294</v>
      </c>
      <c r="B981" t="s">
        <v>186</v>
      </c>
      <c r="C981" t="s">
        <v>203</v>
      </c>
      <c r="D981" t="s">
        <v>217</v>
      </c>
      <c r="E981">
        <f>IF(LEFT(D981,6)="CLIENT",IFERROR(VLOOKUP(C981,Config_Carteiras!$A:$B,2,FALSE),1),"")</f>
        <v>1</v>
      </c>
      <c r="F981" s="25">
        <v>7383.87</v>
      </c>
      <c r="G981" s="28">
        <f>IF(LEFT(D981,6)="CLIENT",IF(E981=0,WORKDAY(A981-1,1,Dias_Sem_Compensacao!$A$2:$A$500),WORKDAY(A981,E981,Dias_Sem_Compensacao!$A$2:$A$500)),"")</f>
        <v>46295</v>
      </c>
      <c r="H981" s="25">
        <v>0</v>
      </c>
      <c r="I981" s="28">
        <v>46294</v>
      </c>
      <c r="J981" t="s">
        <v>1240</v>
      </c>
      <c r="K981" t="s">
        <v>1241</v>
      </c>
    </row>
    <row r="982" spans="1:11" hidden="1">
      <c r="A982" s="28">
        <v>46294</v>
      </c>
      <c r="B982" t="s">
        <v>186</v>
      </c>
      <c r="C982" t="s">
        <v>203</v>
      </c>
      <c r="D982" t="s">
        <v>217</v>
      </c>
      <c r="E982">
        <f>IF(LEFT(D982,6)="CLIENT",IFERROR(VLOOKUP(C982,Config_Carteiras!$A:$B,2,FALSE),1),"")</f>
        <v>1</v>
      </c>
      <c r="F982" s="25">
        <v>4594.3100000000004</v>
      </c>
      <c r="G982" s="28">
        <f>IF(LEFT(D982,6)="CLIENT",IF(E982=0,WORKDAY(A982-1,1,Dias_Sem_Compensacao!$A$2:$A$500),WORKDAY(A982,E982,Dias_Sem_Compensacao!$A$2:$A$500)),"")</f>
        <v>46295</v>
      </c>
      <c r="H982" s="25">
        <v>0</v>
      </c>
      <c r="I982" s="28">
        <v>46294</v>
      </c>
      <c r="J982" t="s">
        <v>1242</v>
      </c>
      <c r="K982" t="s">
        <v>1243</v>
      </c>
    </row>
    <row r="983" spans="1:11" hidden="1">
      <c r="A983" s="28">
        <v>46294</v>
      </c>
      <c r="B983" t="s">
        <v>186</v>
      </c>
      <c r="C983" t="s">
        <v>203</v>
      </c>
      <c r="D983" t="s">
        <v>217</v>
      </c>
      <c r="E983">
        <f>IF(LEFT(D983,6)="CLIENT",IFERROR(VLOOKUP(C983,Config_Carteiras!$A:$B,2,FALSE),1),"")</f>
        <v>1</v>
      </c>
      <c r="F983" s="25">
        <v>422</v>
      </c>
      <c r="G983" s="28">
        <f>IF(LEFT(D983,6)="CLIENT",IF(E983=0,WORKDAY(A983-1,1,Dias_Sem_Compensacao!$A$2:$A$500),WORKDAY(A983,E983,Dias_Sem_Compensacao!$A$2:$A$500)),"")</f>
        <v>46295</v>
      </c>
      <c r="H983" s="25">
        <v>0</v>
      </c>
      <c r="I983" s="28">
        <v>46294</v>
      </c>
      <c r="J983" t="s">
        <v>1244</v>
      </c>
      <c r="K983" t="s">
        <v>1245</v>
      </c>
    </row>
    <row r="984" spans="1:11" hidden="1">
      <c r="A984" s="28">
        <v>46294</v>
      </c>
      <c r="B984" t="s">
        <v>186</v>
      </c>
      <c r="C984" t="s">
        <v>203</v>
      </c>
      <c r="D984" t="s">
        <v>217</v>
      </c>
      <c r="E984">
        <f>IF(LEFT(D984,6)="CLIENT",IFERROR(VLOOKUP(C984,Config_Carteiras!$A:$B,2,FALSE),1),"")</f>
        <v>1</v>
      </c>
      <c r="F984" s="25">
        <v>946</v>
      </c>
      <c r="G984" s="28">
        <f>IF(LEFT(D984,6)="CLIENT",IF(E984=0,WORKDAY(A984-1,1,Dias_Sem_Compensacao!$A$2:$A$500),WORKDAY(A984,E984,Dias_Sem_Compensacao!$A$2:$A$500)),"")</f>
        <v>46295</v>
      </c>
      <c r="H984" s="25">
        <v>0</v>
      </c>
      <c r="I984" s="28">
        <v>46294</v>
      </c>
      <c r="J984" t="s">
        <v>1246</v>
      </c>
      <c r="K984" t="s">
        <v>1247</v>
      </c>
    </row>
    <row r="985" spans="1:11" hidden="1">
      <c r="A985" s="28">
        <v>46294</v>
      </c>
      <c r="B985" t="s">
        <v>186</v>
      </c>
      <c r="C985" t="s">
        <v>203</v>
      </c>
      <c r="D985" t="s">
        <v>217</v>
      </c>
      <c r="E985">
        <f>IF(LEFT(D985,6)="CLIENT",IFERROR(VLOOKUP(C985,Config_Carteiras!$A:$B,2,FALSE),1),"")</f>
        <v>1</v>
      </c>
      <c r="F985" s="25">
        <v>1185.55</v>
      </c>
      <c r="G985" s="28">
        <f>IF(LEFT(D985,6)="CLIENT",IF(E985=0,WORKDAY(A985-1,1,Dias_Sem_Compensacao!$A$2:$A$500),WORKDAY(A985,E985,Dias_Sem_Compensacao!$A$2:$A$500)),"")</f>
        <v>46295</v>
      </c>
      <c r="H985" s="25">
        <v>0</v>
      </c>
      <c r="I985" s="28">
        <v>46294</v>
      </c>
      <c r="J985" t="s">
        <v>1248</v>
      </c>
      <c r="K985" t="s">
        <v>1249</v>
      </c>
    </row>
    <row r="986" spans="1:11" hidden="1">
      <c r="A986" s="28">
        <v>46294</v>
      </c>
      <c r="B986" t="s">
        <v>186</v>
      </c>
      <c r="C986" t="s">
        <v>203</v>
      </c>
      <c r="D986" t="s">
        <v>217</v>
      </c>
      <c r="E986">
        <f>IF(LEFT(D986,6)="CLIENT",IFERROR(VLOOKUP(C986,Config_Carteiras!$A:$B,2,FALSE),1),"")</f>
        <v>1</v>
      </c>
      <c r="F986" s="25">
        <v>1144</v>
      </c>
      <c r="G986" s="28">
        <f>IF(LEFT(D986,6)="CLIENT",IF(E986=0,WORKDAY(A986-1,1,Dias_Sem_Compensacao!$A$2:$A$500),WORKDAY(A986,E986,Dias_Sem_Compensacao!$A$2:$A$500)),"")</f>
        <v>46295</v>
      </c>
      <c r="H986" s="25">
        <v>0</v>
      </c>
      <c r="I986" s="28">
        <v>46294</v>
      </c>
      <c r="J986" t="s">
        <v>1250</v>
      </c>
      <c r="K986" t="s">
        <v>1251</v>
      </c>
    </row>
    <row r="987" spans="1:11" hidden="1">
      <c r="A987" s="28">
        <v>46294</v>
      </c>
      <c r="B987" t="s">
        <v>186</v>
      </c>
      <c r="C987" t="s">
        <v>203</v>
      </c>
      <c r="D987" t="s">
        <v>217</v>
      </c>
      <c r="E987">
        <f>IF(LEFT(D987,6)="CLIENT",IFERROR(VLOOKUP(C987,Config_Carteiras!$A:$B,2,FALSE),1),"")</f>
        <v>1</v>
      </c>
      <c r="F987" s="25">
        <v>493</v>
      </c>
      <c r="G987" s="28">
        <f>IF(LEFT(D987,6)="CLIENT",IF(E987=0,WORKDAY(A987-1,1,Dias_Sem_Compensacao!$A$2:$A$500),WORKDAY(A987,E987,Dias_Sem_Compensacao!$A$2:$A$500)),"")</f>
        <v>46295</v>
      </c>
      <c r="H987" s="25">
        <v>0</v>
      </c>
      <c r="I987" s="28">
        <v>46294</v>
      </c>
      <c r="J987" t="s">
        <v>1252</v>
      </c>
      <c r="K987" t="s">
        <v>1253</v>
      </c>
    </row>
    <row r="988" spans="1:11" hidden="1">
      <c r="A988" s="28">
        <v>46294</v>
      </c>
      <c r="B988" t="s">
        <v>186</v>
      </c>
      <c r="C988" t="s">
        <v>203</v>
      </c>
      <c r="D988" t="s">
        <v>217</v>
      </c>
      <c r="E988">
        <f>IF(LEFT(D988,6)="CLIENT",IFERROR(VLOOKUP(C988,Config_Carteiras!$A:$B,2,FALSE),1),"")</f>
        <v>1</v>
      </c>
      <c r="F988" s="25">
        <v>310.47000000000003</v>
      </c>
      <c r="G988" s="28">
        <f>IF(LEFT(D988,6)="CLIENT",IF(E988=0,WORKDAY(A988-1,1,Dias_Sem_Compensacao!$A$2:$A$500),WORKDAY(A988,E988,Dias_Sem_Compensacao!$A$2:$A$500)),"")</f>
        <v>46295</v>
      </c>
      <c r="H988" s="25">
        <v>0</v>
      </c>
      <c r="I988" s="28">
        <v>46294</v>
      </c>
      <c r="J988" t="s">
        <v>851</v>
      </c>
      <c r="K988" t="s">
        <v>1254</v>
      </c>
    </row>
    <row r="989" spans="1:11" hidden="1">
      <c r="A989" s="28">
        <v>46294</v>
      </c>
      <c r="B989" t="s">
        <v>186</v>
      </c>
      <c r="C989" t="s">
        <v>203</v>
      </c>
      <c r="D989" t="s">
        <v>217</v>
      </c>
      <c r="E989">
        <f>IF(LEFT(D989,6)="CLIENT",IFERROR(VLOOKUP(C989,Config_Carteiras!$A:$B,2,FALSE),1),"")</f>
        <v>1</v>
      </c>
      <c r="F989" s="25">
        <v>997</v>
      </c>
      <c r="G989" s="28">
        <f>IF(LEFT(D989,6)="CLIENT",IF(E989=0,WORKDAY(A989-1,1,Dias_Sem_Compensacao!$A$2:$A$500),WORKDAY(A989,E989,Dias_Sem_Compensacao!$A$2:$A$500)),"")</f>
        <v>46295</v>
      </c>
      <c r="H989" s="25">
        <v>0</v>
      </c>
      <c r="I989" s="28">
        <v>46294</v>
      </c>
      <c r="J989" t="s">
        <v>1255</v>
      </c>
      <c r="K989" t="s">
        <v>1256</v>
      </c>
    </row>
    <row r="990" spans="1:11" hidden="1">
      <c r="A990" s="28">
        <v>46294</v>
      </c>
      <c r="B990" t="s">
        <v>186</v>
      </c>
      <c r="C990" t="s">
        <v>203</v>
      </c>
      <c r="D990" t="s">
        <v>217</v>
      </c>
      <c r="E990">
        <f>IF(LEFT(D990,6)="CLIENT",IFERROR(VLOOKUP(C990,Config_Carteiras!$A:$B,2,FALSE),1),"")</f>
        <v>1</v>
      </c>
      <c r="F990" s="25">
        <v>314.2</v>
      </c>
      <c r="G990" s="28">
        <f>IF(LEFT(D990,6)="CLIENT",IF(E990=0,WORKDAY(A990-1,1,Dias_Sem_Compensacao!$A$2:$A$500),WORKDAY(A990,E990,Dias_Sem_Compensacao!$A$2:$A$500)),"")</f>
        <v>46295</v>
      </c>
      <c r="H990" s="25">
        <v>0</v>
      </c>
      <c r="I990" s="28">
        <v>46294</v>
      </c>
      <c r="J990" t="s">
        <v>1257</v>
      </c>
      <c r="K990" t="s">
        <v>1258</v>
      </c>
    </row>
    <row r="991" spans="1:11" hidden="1">
      <c r="A991" s="28">
        <v>46294</v>
      </c>
      <c r="B991" t="s">
        <v>186</v>
      </c>
      <c r="C991" t="s">
        <v>203</v>
      </c>
      <c r="D991" t="s">
        <v>217</v>
      </c>
      <c r="E991">
        <f>IF(LEFT(D991,6)="CLIENT",IFERROR(VLOOKUP(C991,Config_Carteiras!$A:$B,2,FALSE),1),"")</f>
        <v>1</v>
      </c>
      <c r="F991" s="25">
        <v>488</v>
      </c>
      <c r="G991" s="28">
        <f>IF(LEFT(D991,6)="CLIENT",IF(E991=0,WORKDAY(A991-1,1,Dias_Sem_Compensacao!$A$2:$A$500),WORKDAY(A991,E991,Dias_Sem_Compensacao!$A$2:$A$500)),"")</f>
        <v>46295</v>
      </c>
      <c r="H991" s="25">
        <v>0</v>
      </c>
      <c r="I991" s="28">
        <v>46294</v>
      </c>
      <c r="J991" t="s">
        <v>1259</v>
      </c>
      <c r="K991" t="s">
        <v>1260</v>
      </c>
    </row>
    <row r="992" spans="1:11" hidden="1">
      <c r="A992" s="28">
        <v>46294</v>
      </c>
      <c r="B992" t="s">
        <v>186</v>
      </c>
      <c r="C992" t="s">
        <v>203</v>
      </c>
      <c r="D992" t="s">
        <v>217</v>
      </c>
      <c r="E992">
        <f>IF(LEFT(D992,6)="CLIENT",IFERROR(VLOOKUP(C992,Config_Carteiras!$A:$B,2,FALSE),1),"")</f>
        <v>1</v>
      </c>
      <c r="F992" s="25">
        <v>1292</v>
      </c>
      <c r="G992" s="28">
        <f>IF(LEFT(D992,6)="CLIENT",IF(E992=0,WORKDAY(A992-1,1,Dias_Sem_Compensacao!$A$2:$A$500),WORKDAY(A992,E992,Dias_Sem_Compensacao!$A$2:$A$500)),"")</f>
        <v>46295</v>
      </c>
      <c r="H992" s="25">
        <v>0</v>
      </c>
      <c r="I992" s="28">
        <v>46294</v>
      </c>
      <c r="J992" t="s">
        <v>1261</v>
      </c>
      <c r="K992" t="s">
        <v>1262</v>
      </c>
    </row>
    <row r="993" spans="1:11" hidden="1">
      <c r="A993" s="28">
        <v>46294</v>
      </c>
      <c r="B993" t="s">
        <v>186</v>
      </c>
      <c r="C993" t="s">
        <v>203</v>
      </c>
      <c r="D993" t="s">
        <v>217</v>
      </c>
      <c r="E993">
        <f>IF(LEFT(D993,6)="CLIENT",IFERROR(VLOOKUP(C993,Config_Carteiras!$A:$B,2,FALSE),1),"")</f>
        <v>1</v>
      </c>
      <c r="F993" s="25">
        <v>1194</v>
      </c>
      <c r="G993" s="28">
        <f>IF(LEFT(D993,6)="CLIENT",IF(E993=0,WORKDAY(A993-1,1,Dias_Sem_Compensacao!$A$2:$A$500),WORKDAY(A993,E993,Dias_Sem_Compensacao!$A$2:$A$500)),"")</f>
        <v>46295</v>
      </c>
      <c r="H993" s="25">
        <v>0</v>
      </c>
      <c r="I993" s="28">
        <v>46294</v>
      </c>
      <c r="J993" t="s">
        <v>1263</v>
      </c>
      <c r="K993" t="s">
        <v>1264</v>
      </c>
    </row>
    <row r="994" spans="1:11" hidden="1">
      <c r="A994" s="28">
        <v>46294</v>
      </c>
      <c r="B994" t="s">
        <v>186</v>
      </c>
      <c r="C994" t="s">
        <v>203</v>
      </c>
      <c r="D994" t="s">
        <v>217</v>
      </c>
      <c r="E994">
        <f>IF(LEFT(D994,6)="CLIENT",IFERROR(VLOOKUP(C994,Config_Carteiras!$A:$B,2,FALSE),1),"")</f>
        <v>1</v>
      </c>
      <c r="F994" s="25">
        <v>475.11</v>
      </c>
      <c r="G994" s="28">
        <f>IF(LEFT(D994,6)="CLIENT",IF(E994=0,WORKDAY(A994-1,1,Dias_Sem_Compensacao!$A$2:$A$500),WORKDAY(A994,E994,Dias_Sem_Compensacao!$A$2:$A$500)),"")</f>
        <v>46295</v>
      </c>
      <c r="H994" s="25">
        <v>0</v>
      </c>
      <c r="I994" s="28">
        <v>46294</v>
      </c>
      <c r="J994" t="s">
        <v>1056</v>
      </c>
      <c r="K994" t="s">
        <v>1057</v>
      </c>
    </row>
    <row r="995" spans="1:11" hidden="1">
      <c r="A995" s="28">
        <v>46294</v>
      </c>
      <c r="B995" t="s">
        <v>186</v>
      </c>
      <c r="C995" t="s">
        <v>203</v>
      </c>
      <c r="D995" t="s">
        <v>217</v>
      </c>
      <c r="E995">
        <f>IF(LEFT(D995,6)="CLIENT",IFERROR(VLOOKUP(C995,Config_Carteiras!$A:$B,2,FALSE),1),"")</f>
        <v>1</v>
      </c>
      <c r="F995" s="25">
        <v>600</v>
      </c>
      <c r="G995" s="28">
        <f>IF(LEFT(D995,6)="CLIENT",IF(E995=0,WORKDAY(A995-1,1,Dias_Sem_Compensacao!$A$2:$A$500),WORKDAY(A995,E995,Dias_Sem_Compensacao!$A$2:$A$500)),"")</f>
        <v>46295</v>
      </c>
      <c r="H995" s="25">
        <v>0</v>
      </c>
      <c r="I995" s="28">
        <v>46294</v>
      </c>
      <c r="J995" t="s">
        <v>354</v>
      </c>
      <c r="K995" t="s">
        <v>1011</v>
      </c>
    </row>
    <row r="996" spans="1:11" hidden="1">
      <c r="A996" s="28">
        <v>46294</v>
      </c>
      <c r="B996" t="s">
        <v>186</v>
      </c>
      <c r="C996" t="s">
        <v>203</v>
      </c>
      <c r="D996" t="s">
        <v>217</v>
      </c>
      <c r="E996">
        <f>IF(LEFT(D996,6)="CLIENT",IFERROR(VLOOKUP(C996,Config_Carteiras!$A:$B,2,FALSE),1),"")</f>
        <v>1</v>
      </c>
      <c r="F996" s="25">
        <v>460.68</v>
      </c>
      <c r="G996" s="28">
        <f>IF(LEFT(D996,6)="CLIENT",IF(E996=0,WORKDAY(A996-1,1,Dias_Sem_Compensacao!$A$2:$A$500),WORKDAY(A996,E996,Dias_Sem_Compensacao!$A$2:$A$500)),"")</f>
        <v>46295</v>
      </c>
      <c r="H996" s="25">
        <v>0</v>
      </c>
      <c r="I996" s="28">
        <v>46294</v>
      </c>
      <c r="J996" t="s">
        <v>1265</v>
      </c>
      <c r="K996" t="s">
        <v>1266</v>
      </c>
    </row>
    <row r="997" spans="1:11" hidden="1">
      <c r="A997" s="28">
        <v>46294</v>
      </c>
      <c r="B997" t="s">
        <v>186</v>
      </c>
      <c r="C997" t="s">
        <v>203</v>
      </c>
      <c r="D997" t="s">
        <v>217</v>
      </c>
      <c r="E997">
        <f>IF(LEFT(D997,6)="CLIENT",IFERROR(VLOOKUP(C997,Config_Carteiras!$A:$B,2,FALSE),1),"")</f>
        <v>1</v>
      </c>
      <c r="F997" s="25">
        <v>570</v>
      </c>
      <c r="G997" s="28">
        <f>IF(LEFT(D997,6)="CLIENT",IF(E997=0,WORKDAY(A997-1,1,Dias_Sem_Compensacao!$A$2:$A$500),WORKDAY(A997,E997,Dias_Sem_Compensacao!$A$2:$A$500)),"")</f>
        <v>46295</v>
      </c>
      <c r="H997" s="25">
        <v>0</v>
      </c>
      <c r="I997" s="28">
        <v>46294</v>
      </c>
      <c r="J997" t="s">
        <v>1267</v>
      </c>
      <c r="K997" t="s">
        <v>1268</v>
      </c>
    </row>
    <row r="998" spans="1:11" hidden="1">
      <c r="A998" s="28">
        <v>46294</v>
      </c>
      <c r="B998" t="s">
        <v>186</v>
      </c>
      <c r="C998" t="s">
        <v>203</v>
      </c>
      <c r="D998" t="s">
        <v>217</v>
      </c>
      <c r="E998">
        <f>IF(LEFT(D998,6)="CLIENT",IFERROR(VLOOKUP(C998,Config_Carteiras!$A:$B,2,FALSE),1),"")</f>
        <v>1</v>
      </c>
      <c r="F998" s="25">
        <v>789.2</v>
      </c>
      <c r="G998" s="28">
        <f>IF(LEFT(D998,6)="CLIENT",IF(E998=0,WORKDAY(A998-1,1,Dias_Sem_Compensacao!$A$2:$A$500),WORKDAY(A998,E998,Dias_Sem_Compensacao!$A$2:$A$500)),"")</f>
        <v>46295</v>
      </c>
      <c r="H998" s="25">
        <v>0</v>
      </c>
      <c r="I998" s="28">
        <v>46294</v>
      </c>
      <c r="J998" t="s">
        <v>358</v>
      </c>
      <c r="K998" t="s">
        <v>1269</v>
      </c>
    </row>
    <row r="999" spans="1:11" hidden="1">
      <c r="A999" s="28">
        <v>46294</v>
      </c>
      <c r="B999" t="s">
        <v>186</v>
      </c>
      <c r="C999" t="s">
        <v>203</v>
      </c>
      <c r="D999" t="s">
        <v>217</v>
      </c>
      <c r="E999">
        <f>IF(LEFT(D999,6)="CLIENT",IFERROR(VLOOKUP(C999,Config_Carteiras!$A:$B,2,FALSE),1),"")</f>
        <v>1</v>
      </c>
      <c r="F999" s="25">
        <v>3151</v>
      </c>
      <c r="G999" s="28">
        <f>IF(LEFT(D999,6)="CLIENT",IF(E999=0,WORKDAY(A999-1,1,Dias_Sem_Compensacao!$A$2:$A$500),WORKDAY(A999,E999,Dias_Sem_Compensacao!$A$2:$A$500)),"")</f>
        <v>46295</v>
      </c>
      <c r="H999" s="25">
        <v>0</v>
      </c>
      <c r="I999" s="28">
        <v>46294</v>
      </c>
      <c r="J999" t="s">
        <v>98</v>
      </c>
      <c r="K999" t="s">
        <v>1270</v>
      </c>
    </row>
    <row r="1000" spans="1:11" hidden="1">
      <c r="A1000" s="28">
        <v>46294</v>
      </c>
      <c r="B1000" t="s">
        <v>186</v>
      </c>
      <c r="C1000" t="s">
        <v>203</v>
      </c>
      <c r="D1000" t="s">
        <v>217</v>
      </c>
      <c r="E1000">
        <f>IF(LEFT(D1000,6)="CLIENT",IFERROR(VLOOKUP(C1000,Config_Carteiras!$A:$B,2,FALSE),1),"")</f>
        <v>1</v>
      </c>
      <c r="F1000" s="25">
        <v>388.5</v>
      </c>
      <c r="G1000" s="28">
        <f>IF(LEFT(D1000,6)="CLIENT",IF(E1000=0,WORKDAY(A1000-1,1,Dias_Sem_Compensacao!$A$2:$A$500),WORKDAY(A1000,E1000,Dias_Sem_Compensacao!$A$2:$A$500)),"")</f>
        <v>46295</v>
      </c>
      <c r="H1000" s="25">
        <v>0</v>
      </c>
      <c r="I1000" s="28">
        <v>46294</v>
      </c>
      <c r="J1000" t="s">
        <v>1271</v>
      </c>
      <c r="K1000" t="s">
        <v>1272</v>
      </c>
    </row>
    <row r="1001" spans="1:11" hidden="1">
      <c r="A1001" s="28">
        <v>46294</v>
      </c>
      <c r="B1001" t="s">
        <v>186</v>
      </c>
      <c r="C1001" t="s">
        <v>203</v>
      </c>
      <c r="D1001" t="s">
        <v>217</v>
      </c>
      <c r="E1001">
        <f>IF(LEFT(D1001,6)="CLIENT",IFERROR(VLOOKUP(C1001,Config_Carteiras!$A:$B,2,FALSE),1),"")</f>
        <v>1</v>
      </c>
      <c r="F1001" s="25">
        <v>1887</v>
      </c>
      <c r="G1001" s="28">
        <f>IF(LEFT(D1001,6)="CLIENT",IF(E1001=0,WORKDAY(A1001-1,1,Dias_Sem_Compensacao!$A$2:$A$500),WORKDAY(A1001,E1001,Dias_Sem_Compensacao!$A$2:$A$500)),"")</f>
        <v>46295</v>
      </c>
      <c r="H1001" s="25">
        <v>0</v>
      </c>
      <c r="I1001" s="28">
        <v>46294</v>
      </c>
      <c r="J1001" t="s">
        <v>1273</v>
      </c>
      <c r="K1001" t="s">
        <v>1274</v>
      </c>
    </row>
    <row r="1002" spans="1:11" hidden="1">
      <c r="A1002" s="28">
        <v>46294</v>
      </c>
      <c r="B1002" t="s">
        <v>186</v>
      </c>
      <c r="C1002" t="s">
        <v>203</v>
      </c>
      <c r="D1002" t="s">
        <v>217</v>
      </c>
      <c r="E1002">
        <f>IF(LEFT(D1002,6)="CLIENT",IFERROR(VLOOKUP(C1002,Config_Carteiras!$A:$B,2,FALSE),1),"")</f>
        <v>1</v>
      </c>
      <c r="F1002" s="25">
        <v>959.72</v>
      </c>
      <c r="G1002" s="28">
        <f>IF(LEFT(D1002,6)="CLIENT",IF(E1002=0,WORKDAY(A1002-1,1,Dias_Sem_Compensacao!$A$2:$A$500),WORKDAY(A1002,E1002,Dias_Sem_Compensacao!$A$2:$A$500)),"")</f>
        <v>46295</v>
      </c>
      <c r="H1002" s="25">
        <v>0</v>
      </c>
      <c r="I1002" s="28">
        <v>46294</v>
      </c>
      <c r="J1002" t="s">
        <v>101</v>
      </c>
      <c r="K1002" t="s">
        <v>1275</v>
      </c>
    </row>
    <row r="1003" spans="1:11" hidden="1">
      <c r="A1003" s="28">
        <v>46294</v>
      </c>
      <c r="B1003" t="s">
        <v>186</v>
      </c>
      <c r="C1003" t="s">
        <v>203</v>
      </c>
      <c r="D1003" t="s">
        <v>217</v>
      </c>
      <c r="E1003">
        <f>IF(LEFT(D1003,6)="CLIENT",IFERROR(VLOOKUP(C1003,Config_Carteiras!$A:$B,2,FALSE),1),"")</f>
        <v>1</v>
      </c>
      <c r="F1003" s="25">
        <v>1646.5</v>
      </c>
      <c r="G1003" s="28">
        <f>IF(LEFT(D1003,6)="CLIENT",IF(E1003=0,WORKDAY(A1003-1,1,Dias_Sem_Compensacao!$A$2:$A$500),WORKDAY(A1003,E1003,Dias_Sem_Compensacao!$A$2:$A$500)),"")</f>
        <v>46295</v>
      </c>
      <c r="H1003" s="25">
        <v>0</v>
      </c>
      <c r="I1003" s="28">
        <v>46294</v>
      </c>
      <c r="J1003" t="s">
        <v>698</v>
      </c>
      <c r="K1003" t="s">
        <v>1276</v>
      </c>
    </row>
    <row r="1004" spans="1:11" hidden="1">
      <c r="A1004" s="28">
        <v>46294</v>
      </c>
      <c r="B1004" t="s">
        <v>186</v>
      </c>
      <c r="C1004" t="s">
        <v>203</v>
      </c>
      <c r="D1004" t="s">
        <v>217</v>
      </c>
      <c r="E1004">
        <f>IF(LEFT(D1004,6)="CLIENT",IFERROR(VLOOKUP(C1004,Config_Carteiras!$A:$B,2,FALSE),1),"")</f>
        <v>1</v>
      </c>
      <c r="F1004" s="25">
        <v>149</v>
      </c>
      <c r="G1004" s="28">
        <f>IF(LEFT(D1004,6)="CLIENT",IF(E1004=0,WORKDAY(A1004-1,1,Dias_Sem_Compensacao!$A$2:$A$500),WORKDAY(A1004,E1004,Dias_Sem_Compensacao!$A$2:$A$500)),"")</f>
        <v>46295</v>
      </c>
      <c r="H1004" s="25">
        <v>0</v>
      </c>
      <c r="I1004" s="28">
        <v>46294</v>
      </c>
      <c r="J1004" t="s">
        <v>1277</v>
      </c>
      <c r="K1004" t="s">
        <v>1278</v>
      </c>
    </row>
    <row r="1005" spans="1:11" hidden="1">
      <c r="A1005" s="28">
        <v>46294</v>
      </c>
      <c r="B1005" t="s">
        <v>186</v>
      </c>
      <c r="C1005" t="s">
        <v>203</v>
      </c>
      <c r="D1005" t="s">
        <v>217</v>
      </c>
      <c r="E1005">
        <f>IF(LEFT(D1005,6)="CLIENT",IFERROR(VLOOKUP(C1005,Config_Carteiras!$A:$B,2,FALSE),1),"")</f>
        <v>1</v>
      </c>
      <c r="F1005" s="25">
        <v>4457</v>
      </c>
      <c r="G1005" s="28">
        <f>IF(LEFT(D1005,6)="CLIENT",IF(E1005=0,WORKDAY(A1005-1,1,Dias_Sem_Compensacao!$A$2:$A$500),WORKDAY(A1005,E1005,Dias_Sem_Compensacao!$A$2:$A$500)),"")</f>
        <v>46295</v>
      </c>
      <c r="H1005" s="25">
        <v>0</v>
      </c>
      <c r="I1005" s="28">
        <v>46294</v>
      </c>
      <c r="J1005" t="s">
        <v>1279</v>
      </c>
      <c r="K1005" t="s">
        <v>1280</v>
      </c>
    </row>
    <row r="1006" spans="1:11" hidden="1">
      <c r="A1006" s="28">
        <v>46294</v>
      </c>
      <c r="B1006" t="s">
        <v>186</v>
      </c>
      <c r="C1006" t="s">
        <v>203</v>
      </c>
      <c r="D1006" t="s">
        <v>217</v>
      </c>
      <c r="E1006">
        <f>IF(LEFT(D1006,6)="CLIENT",IFERROR(VLOOKUP(C1006,Config_Carteiras!$A:$B,2,FALSE),1),"")</f>
        <v>1</v>
      </c>
      <c r="F1006" s="25">
        <v>806</v>
      </c>
      <c r="G1006" s="28">
        <f>IF(LEFT(D1006,6)="CLIENT",IF(E1006=0,WORKDAY(A1006-1,1,Dias_Sem_Compensacao!$A$2:$A$500),WORKDAY(A1006,E1006,Dias_Sem_Compensacao!$A$2:$A$500)),"")</f>
        <v>46295</v>
      </c>
      <c r="H1006" s="25">
        <v>0</v>
      </c>
      <c r="I1006" s="28">
        <v>46294</v>
      </c>
      <c r="J1006" t="s">
        <v>1281</v>
      </c>
      <c r="K1006" t="s">
        <v>1282</v>
      </c>
    </row>
    <row r="1007" spans="1:11" hidden="1">
      <c r="A1007" s="28">
        <v>46294</v>
      </c>
      <c r="B1007" t="s">
        <v>186</v>
      </c>
      <c r="C1007" t="s">
        <v>203</v>
      </c>
      <c r="D1007" t="s">
        <v>217</v>
      </c>
      <c r="E1007">
        <f>IF(LEFT(D1007,6)="CLIENT",IFERROR(VLOOKUP(C1007,Config_Carteiras!$A:$B,2,FALSE),1),"")</f>
        <v>1</v>
      </c>
      <c r="F1007" s="25">
        <v>2049</v>
      </c>
      <c r="G1007" s="28">
        <f>IF(LEFT(D1007,6)="CLIENT",IF(E1007=0,WORKDAY(A1007-1,1,Dias_Sem_Compensacao!$A$2:$A$500),WORKDAY(A1007,E1007,Dias_Sem_Compensacao!$A$2:$A$500)),"")</f>
        <v>46295</v>
      </c>
      <c r="H1007" s="25">
        <v>0</v>
      </c>
      <c r="I1007" s="28">
        <v>46294</v>
      </c>
      <c r="J1007" t="s">
        <v>1283</v>
      </c>
      <c r="K1007" t="s">
        <v>1284</v>
      </c>
    </row>
    <row r="1008" spans="1:11" hidden="1">
      <c r="A1008" s="28">
        <v>46294</v>
      </c>
      <c r="B1008" t="s">
        <v>186</v>
      </c>
      <c r="C1008" t="s">
        <v>203</v>
      </c>
      <c r="D1008" t="s">
        <v>217</v>
      </c>
      <c r="E1008">
        <f>IF(LEFT(D1008,6)="CLIENT",IFERROR(VLOOKUP(C1008,Config_Carteiras!$A:$B,2,FALSE),1),"")</f>
        <v>1</v>
      </c>
      <c r="F1008" s="25">
        <v>1543</v>
      </c>
      <c r="G1008" s="28">
        <f>IF(LEFT(D1008,6)="CLIENT",IF(E1008=0,WORKDAY(A1008-1,1,Dias_Sem_Compensacao!$A$2:$A$500),WORKDAY(A1008,E1008,Dias_Sem_Compensacao!$A$2:$A$500)),"")</f>
        <v>46295</v>
      </c>
      <c r="H1008" s="25">
        <v>0</v>
      </c>
      <c r="I1008" s="28">
        <v>46294</v>
      </c>
      <c r="J1008" t="s">
        <v>1285</v>
      </c>
      <c r="K1008" t="s">
        <v>1286</v>
      </c>
    </row>
    <row r="1009" spans="1:11" hidden="1">
      <c r="A1009" s="28">
        <v>46294</v>
      </c>
      <c r="B1009" t="s">
        <v>186</v>
      </c>
      <c r="C1009" t="s">
        <v>203</v>
      </c>
      <c r="D1009" t="s">
        <v>217</v>
      </c>
      <c r="E1009">
        <f>IF(LEFT(D1009,6)="CLIENT",IFERROR(VLOOKUP(C1009,Config_Carteiras!$A:$B,2,FALSE),1),"")</f>
        <v>1</v>
      </c>
      <c r="F1009" s="25">
        <v>804.8</v>
      </c>
      <c r="G1009" s="28">
        <f>IF(LEFT(D1009,6)="CLIENT",IF(E1009=0,WORKDAY(A1009-1,1,Dias_Sem_Compensacao!$A$2:$A$500),WORKDAY(A1009,E1009,Dias_Sem_Compensacao!$A$2:$A$500)),"")</f>
        <v>46295</v>
      </c>
      <c r="H1009" s="25">
        <v>0</v>
      </c>
      <c r="I1009" s="28">
        <v>46294</v>
      </c>
      <c r="J1009" t="s">
        <v>1287</v>
      </c>
      <c r="K1009" t="s">
        <v>1288</v>
      </c>
    </row>
    <row r="1010" spans="1:11" hidden="1">
      <c r="A1010" s="28">
        <v>46294</v>
      </c>
      <c r="B1010" t="s">
        <v>186</v>
      </c>
      <c r="C1010" t="s">
        <v>203</v>
      </c>
      <c r="D1010" t="s">
        <v>217</v>
      </c>
      <c r="E1010">
        <f>IF(LEFT(D1010,6)="CLIENT",IFERROR(VLOOKUP(C1010,Config_Carteiras!$A:$B,2,FALSE),1),"")</f>
        <v>1</v>
      </c>
      <c r="F1010" s="25">
        <v>793</v>
      </c>
      <c r="G1010" s="28">
        <f>IF(LEFT(D1010,6)="CLIENT",IF(E1010=0,WORKDAY(A1010-1,1,Dias_Sem_Compensacao!$A$2:$A$500),WORKDAY(A1010,E1010,Dias_Sem_Compensacao!$A$2:$A$500)),"")</f>
        <v>46295</v>
      </c>
      <c r="H1010" s="25">
        <v>0</v>
      </c>
      <c r="I1010" s="28">
        <v>46294</v>
      </c>
      <c r="J1010" t="s">
        <v>1289</v>
      </c>
      <c r="K1010" t="s">
        <v>1290</v>
      </c>
    </row>
    <row r="1011" spans="1:11" hidden="1">
      <c r="A1011" s="28">
        <v>46295</v>
      </c>
      <c r="B1011" t="s">
        <v>186</v>
      </c>
      <c r="C1011" t="s">
        <v>203</v>
      </c>
      <c r="D1011" t="s">
        <v>217</v>
      </c>
      <c r="E1011">
        <f>IF(LEFT(D1011,6)="CLIENT",IFERROR(VLOOKUP(C1011,Config_Carteiras!$A:$B,2,FALSE),1),"")</f>
        <v>1</v>
      </c>
      <c r="F1011" s="25">
        <v>391</v>
      </c>
      <c r="G1011" s="28">
        <f>IF(LEFT(D1011,6)="CLIENT",IF(E1011=0,WORKDAY(A1011-1,1,Dias_Sem_Compensacao!$A$2:$A$500),WORKDAY(A1011,E1011,Dias_Sem_Compensacao!$A$2:$A$500)),"")</f>
        <v>46296</v>
      </c>
      <c r="H1011" s="25">
        <v>0</v>
      </c>
      <c r="I1011" s="28">
        <v>46295</v>
      </c>
      <c r="J1011" t="s">
        <v>1291</v>
      </c>
      <c r="K1011" t="s">
        <v>1292</v>
      </c>
    </row>
    <row r="1012" spans="1:11" hidden="1">
      <c r="A1012" s="28">
        <v>46295</v>
      </c>
      <c r="B1012" t="s">
        <v>186</v>
      </c>
      <c r="C1012" t="s">
        <v>203</v>
      </c>
      <c r="D1012" t="s">
        <v>217</v>
      </c>
      <c r="E1012">
        <f>IF(LEFT(D1012,6)="CLIENT",IFERROR(VLOOKUP(C1012,Config_Carteiras!$A:$B,2,FALSE),1),"")</f>
        <v>1</v>
      </c>
      <c r="F1012" s="25">
        <v>1978.85</v>
      </c>
      <c r="G1012" s="28">
        <f>IF(LEFT(D1012,6)="CLIENT",IF(E1012=0,WORKDAY(A1012-1,1,Dias_Sem_Compensacao!$A$2:$A$500),WORKDAY(A1012,E1012,Dias_Sem_Compensacao!$A$2:$A$500)),"")</f>
        <v>46296</v>
      </c>
      <c r="H1012" s="25">
        <v>0</v>
      </c>
      <c r="I1012" s="28">
        <v>46295</v>
      </c>
      <c r="J1012" t="s">
        <v>1293</v>
      </c>
      <c r="K1012" t="s">
        <v>1294</v>
      </c>
    </row>
    <row r="1013" spans="1:11" hidden="1">
      <c r="A1013" s="28">
        <v>46295</v>
      </c>
      <c r="B1013" t="s">
        <v>186</v>
      </c>
      <c r="C1013" t="s">
        <v>203</v>
      </c>
      <c r="D1013" t="s">
        <v>217</v>
      </c>
      <c r="E1013">
        <f>IF(LEFT(D1013,6)="CLIENT",IFERROR(VLOOKUP(C1013,Config_Carteiras!$A:$B,2,FALSE),1),"")</f>
        <v>1</v>
      </c>
      <c r="F1013" s="25">
        <v>566.36</v>
      </c>
      <c r="G1013" s="28">
        <f>IF(LEFT(D1013,6)="CLIENT",IF(E1013=0,WORKDAY(A1013-1,1,Dias_Sem_Compensacao!$A$2:$A$500),WORKDAY(A1013,E1013,Dias_Sem_Compensacao!$A$2:$A$500)),"")</f>
        <v>46296</v>
      </c>
      <c r="H1013" s="25">
        <v>0</v>
      </c>
      <c r="I1013" s="28">
        <v>46295</v>
      </c>
      <c r="K1013" t="s">
        <v>1295</v>
      </c>
    </row>
    <row r="1014" spans="1:11" hidden="1">
      <c r="A1014" s="28">
        <v>46295</v>
      </c>
      <c r="B1014" t="s">
        <v>186</v>
      </c>
      <c r="C1014" t="s">
        <v>203</v>
      </c>
      <c r="D1014" t="s">
        <v>217</v>
      </c>
      <c r="E1014">
        <f>IF(LEFT(D1014,6)="CLIENT",IFERROR(VLOOKUP(C1014,Config_Carteiras!$A:$B,2,FALSE),1),"")</f>
        <v>1</v>
      </c>
      <c r="F1014" s="25">
        <v>1250.8800000000001</v>
      </c>
      <c r="G1014" s="28">
        <f>IF(LEFT(D1014,6)="CLIENT",IF(E1014=0,WORKDAY(A1014-1,1,Dias_Sem_Compensacao!$A$2:$A$500),WORKDAY(A1014,E1014,Dias_Sem_Compensacao!$A$2:$A$500)),"")</f>
        <v>46296</v>
      </c>
      <c r="H1014" s="25">
        <v>0</v>
      </c>
      <c r="I1014" s="28">
        <v>46295</v>
      </c>
      <c r="J1014" t="s">
        <v>1296</v>
      </c>
      <c r="K1014" t="s">
        <v>1297</v>
      </c>
    </row>
    <row r="1015" spans="1:11" hidden="1">
      <c r="A1015" s="28">
        <v>46295</v>
      </c>
      <c r="B1015" t="s">
        <v>186</v>
      </c>
      <c r="C1015" t="s">
        <v>203</v>
      </c>
      <c r="D1015" t="s">
        <v>217</v>
      </c>
      <c r="E1015">
        <f>IF(LEFT(D1015,6)="CLIENT",IFERROR(VLOOKUP(C1015,Config_Carteiras!$A:$B,2,FALSE),1),"")</f>
        <v>1</v>
      </c>
      <c r="F1015" s="25">
        <v>361.2</v>
      </c>
      <c r="G1015" s="28">
        <f>IF(LEFT(D1015,6)="CLIENT",IF(E1015=0,WORKDAY(A1015-1,1,Dias_Sem_Compensacao!$A$2:$A$500),WORKDAY(A1015,E1015,Dias_Sem_Compensacao!$A$2:$A$500)),"")</f>
        <v>46296</v>
      </c>
      <c r="H1015" s="25">
        <v>0</v>
      </c>
      <c r="I1015" s="28">
        <v>46295</v>
      </c>
      <c r="J1015" t="s">
        <v>1298</v>
      </c>
      <c r="K1015" t="s">
        <v>1299</v>
      </c>
    </row>
    <row r="1016" spans="1:11" hidden="1">
      <c r="A1016" s="28">
        <v>46295</v>
      </c>
      <c r="B1016" t="s">
        <v>186</v>
      </c>
      <c r="C1016" t="s">
        <v>203</v>
      </c>
      <c r="D1016" t="s">
        <v>217</v>
      </c>
      <c r="E1016">
        <f>IF(LEFT(D1016,6)="CLIENT",IFERROR(VLOOKUP(C1016,Config_Carteiras!$A:$B,2,FALSE),1),"")</f>
        <v>1</v>
      </c>
      <c r="F1016" s="25">
        <v>3314</v>
      </c>
      <c r="G1016" s="28">
        <f>IF(LEFT(D1016,6)="CLIENT",IF(E1016=0,WORKDAY(A1016-1,1,Dias_Sem_Compensacao!$A$2:$A$500),WORKDAY(A1016,E1016,Dias_Sem_Compensacao!$A$2:$A$500)),"")</f>
        <v>46296</v>
      </c>
      <c r="H1016" s="25">
        <v>0</v>
      </c>
      <c r="I1016" s="28">
        <v>46295</v>
      </c>
      <c r="J1016" t="s">
        <v>1300</v>
      </c>
      <c r="K1016" t="s">
        <v>1301</v>
      </c>
    </row>
    <row r="1017" spans="1:11" hidden="1">
      <c r="A1017" s="28">
        <v>46295</v>
      </c>
      <c r="B1017" t="s">
        <v>186</v>
      </c>
      <c r="C1017" t="s">
        <v>203</v>
      </c>
      <c r="D1017" t="s">
        <v>217</v>
      </c>
      <c r="E1017">
        <f>IF(LEFT(D1017,6)="CLIENT",IFERROR(VLOOKUP(C1017,Config_Carteiras!$A:$B,2,FALSE),1),"")</f>
        <v>1</v>
      </c>
      <c r="F1017" s="25">
        <v>12994</v>
      </c>
      <c r="G1017" s="28">
        <f>IF(LEFT(D1017,6)="CLIENT",IF(E1017=0,WORKDAY(A1017-1,1,Dias_Sem_Compensacao!$A$2:$A$500),WORKDAY(A1017,E1017,Dias_Sem_Compensacao!$A$2:$A$500)),"")</f>
        <v>46296</v>
      </c>
      <c r="H1017" s="25">
        <v>0</v>
      </c>
      <c r="I1017" s="28">
        <v>46295</v>
      </c>
      <c r="J1017" t="s">
        <v>1058</v>
      </c>
      <c r="K1017" t="s">
        <v>1059</v>
      </c>
    </row>
    <row r="1018" spans="1:11" hidden="1">
      <c r="A1018" s="28">
        <v>46295</v>
      </c>
      <c r="B1018" t="s">
        <v>186</v>
      </c>
      <c r="C1018" t="s">
        <v>203</v>
      </c>
      <c r="D1018" t="s">
        <v>217</v>
      </c>
      <c r="E1018">
        <f>IF(LEFT(D1018,6)="CLIENT",IFERROR(VLOOKUP(C1018,Config_Carteiras!$A:$B,2,FALSE),1),"")</f>
        <v>1</v>
      </c>
      <c r="F1018" s="25">
        <v>5616</v>
      </c>
      <c r="G1018" s="28">
        <f>IF(LEFT(D1018,6)="CLIENT",IF(E1018=0,WORKDAY(A1018-1,1,Dias_Sem_Compensacao!$A$2:$A$500),WORKDAY(A1018,E1018,Dias_Sem_Compensacao!$A$2:$A$500)),"")</f>
        <v>46296</v>
      </c>
      <c r="H1018" s="25">
        <v>0</v>
      </c>
      <c r="I1018" s="28">
        <v>46295</v>
      </c>
      <c r="J1018" t="s">
        <v>1302</v>
      </c>
      <c r="K1018" t="s">
        <v>1303</v>
      </c>
    </row>
    <row r="1019" spans="1:11" hidden="1">
      <c r="A1019" s="28">
        <v>46295</v>
      </c>
      <c r="B1019" t="s">
        <v>186</v>
      </c>
      <c r="C1019" t="s">
        <v>203</v>
      </c>
      <c r="D1019" t="s">
        <v>217</v>
      </c>
      <c r="E1019">
        <f>IF(LEFT(D1019,6)="CLIENT",IFERROR(VLOOKUP(C1019,Config_Carteiras!$A:$B,2,FALSE),1),"")</f>
        <v>1</v>
      </c>
      <c r="F1019" s="25">
        <v>668.03</v>
      </c>
      <c r="G1019" s="28">
        <f>IF(LEFT(D1019,6)="CLIENT",IF(E1019=0,WORKDAY(A1019-1,1,Dias_Sem_Compensacao!$A$2:$A$500),WORKDAY(A1019,E1019,Dias_Sem_Compensacao!$A$2:$A$500)),"")</f>
        <v>46296</v>
      </c>
      <c r="H1019" s="25">
        <v>0</v>
      </c>
      <c r="I1019" s="28">
        <v>46295</v>
      </c>
      <c r="J1019" t="s">
        <v>1304</v>
      </c>
      <c r="K1019" t="s">
        <v>1305</v>
      </c>
    </row>
    <row r="1020" spans="1:11" hidden="1">
      <c r="A1020" s="28">
        <v>46295</v>
      </c>
      <c r="B1020" t="s">
        <v>186</v>
      </c>
      <c r="C1020" t="s">
        <v>203</v>
      </c>
      <c r="D1020" t="s">
        <v>217</v>
      </c>
      <c r="E1020">
        <f>IF(LEFT(D1020,6)="CLIENT",IFERROR(VLOOKUP(C1020,Config_Carteiras!$A:$B,2,FALSE),1),"")</f>
        <v>1</v>
      </c>
      <c r="F1020" s="25">
        <v>4149.6000000000004</v>
      </c>
      <c r="G1020" s="28">
        <f>IF(LEFT(D1020,6)="CLIENT",IF(E1020=0,WORKDAY(A1020-1,1,Dias_Sem_Compensacao!$A$2:$A$500),WORKDAY(A1020,E1020,Dias_Sem_Compensacao!$A$2:$A$500)),"")</f>
        <v>46296</v>
      </c>
      <c r="H1020" s="25">
        <v>0</v>
      </c>
      <c r="I1020" s="28">
        <v>46295</v>
      </c>
      <c r="J1020" t="s">
        <v>1306</v>
      </c>
      <c r="K1020" t="s">
        <v>1307</v>
      </c>
    </row>
    <row r="1021" spans="1:11" hidden="1">
      <c r="A1021" s="28">
        <v>46295</v>
      </c>
      <c r="B1021" t="s">
        <v>186</v>
      </c>
      <c r="C1021" t="s">
        <v>203</v>
      </c>
      <c r="D1021" t="s">
        <v>217</v>
      </c>
      <c r="E1021">
        <f>IF(LEFT(D1021,6)="CLIENT",IFERROR(VLOOKUP(C1021,Config_Carteiras!$A:$B,2,FALSE),1),"")</f>
        <v>1</v>
      </c>
      <c r="F1021" s="25">
        <v>454</v>
      </c>
      <c r="G1021" s="28">
        <f>IF(LEFT(D1021,6)="CLIENT",IF(E1021=0,WORKDAY(A1021-1,1,Dias_Sem_Compensacao!$A$2:$A$500),WORKDAY(A1021,E1021,Dias_Sem_Compensacao!$A$2:$A$500)),"")</f>
        <v>46296</v>
      </c>
      <c r="H1021" s="25">
        <v>0</v>
      </c>
      <c r="I1021" s="28">
        <v>46295</v>
      </c>
      <c r="J1021" t="s">
        <v>1308</v>
      </c>
      <c r="K1021" t="s">
        <v>1309</v>
      </c>
    </row>
    <row r="1022" spans="1:11" hidden="1">
      <c r="A1022" s="28">
        <v>46295</v>
      </c>
      <c r="B1022" t="s">
        <v>186</v>
      </c>
      <c r="C1022" t="s">
        <v>203</v>
      </c>
      <c r="D1022" t="s">
        <v>217</v>
      </c>
      <c r="E1022">
        <f>IF(LEFT(D1022,6)="CLIENT",IFERROR(VLOOKUP(C1022,Config_Carteiras!$A:$B,2,FALSE),1),"")</f>
        <v>1</v>
      </c>
      <c r="F1022" s="25">
        <v>401</v>
      </c>
      <c r="G1022" s="28">
        <f>IF(LEFT(D1022,6)="CLIENT",IF(E1022=0,WORKDAY(A1022-1,1,Dias_Sem_Compensacao!$A$2:$A$500),WORKDAY(A1022,E1022,Dias_Sem_Compensacao!$A$2:$A$500)),"")</f>
        <v>46296</v>
      </c>
      <c r="H1022" s="25">
        <v>0</v>
      </c>
      <c r="I1022" s="28">
        <v>46295</v>
      </c>
      <c r="K1022" t="s">
        <v>1310</v>
      </c>
    </row>
    <row r="1023" spans="1:11" hidden="1">
      <c r="A1023" s="28">
        <v>46295</v>
      </c>
      <c r="B1023" t="s">
        <v>186</v>
      </c>
      <c r="C1023" t="s">
        <v>203</v>
      </c>
      <c r="D1023" t="s">
        <v>217</v>
      </c>
      <c r="E1023">
        <f>IF(LEFT(D1023,6)="CLIENT",IFERROR(VLOOKUP(C1023,Config_Carteiras!$A:$B,2,FALSE),1),"")</f>
        <v>1</v>
      </c>
      <c r="F1023" s="25">
        <v>10484</v>
      </c>
      <c r="G1023" s="28">
        <f>IF(LEFT(D1023,6)="CLIENT",IF(E1023=0,WORKDAY(A1023-1,1,Dias_Sem_Compensacao!$A$2:$A$500),WORKDAY(A1023,E1023,Dias_Sem_Compensacao!$A$2:$A$500)),"")</f>
        <v>46296</v>
      </c>
      <c r="H1023" s="25">
        <v>0</v>
      </c>
      <c r="I1023" s="28">
        <v>46295</v>
      </c>
      <c r="J1023" t="s">
        <v>1311</v>
      </c>
      <c r="K1023" t="s">
        <v>1312</v>
      </c>
    </row>
    <row r="1024" spans="1:11" hidden="1">
      <c r="A1024" s="28">
        <v>46295</v>
      </c>
      <c r="B1024" t="s">
        <v>186</v>
      </c>
      <c r="C1024" t="s">
        <v>203</v>
      </c>
      <c r="D1024" t="s">
        <v>217</v>
      </c>
      <c r="E1024">
        <f>IF(LEFT(D1024,6)="CLIENT",IFERROR(VLOOKUP(C1024,Config_Carteiras!$A:$B,2,FALSE),1),"")</f>
        <v>1</v>
      </c>
      <c r="F1024" s="25">
        <v>521.5</v>
      </c>
      <c r="G1024" s="28">
        <f>IF(LEFT(D1024,6)="CLIENT",IF(E1024=0,WORKDAY(A1024-1,1,Dias_Sem_Compensacao!$A$2:$A$500),WORKDAY(A1024,E1024,Dias_Sem_Compensacao!$A$2:$A$500)),"")</f>
        <v>46296</v>
      </c>
      <c r="H1024" s="25">
        <v>0</v>
      </c>
      <c r="I1024" s="28">
        <v>46295</v>
      </c>
      <c r="J1024" t="s">
        <v>1313</v>
      </c>
      <c r="K1024" t="s">
        <v>1314</v>
      </c>
    </row>
    <row r="1025" spans="1:11" hidden="1">
      <c r="A1025" s="28">
        <v>46295</v>
      </c>
      <c r="B1025" t="s">
        <v>186</v>
      </c>
      <c r="C1025" t="s">
        <v>203</v>
      </c>
      <c r="D1025" t="s">
        <v>217</v>
      </c>
      <c r="E1025">
        <f>IF(LEFT(D1025,6)="CLIENT",IFERROR(VLOOKUP(C1025,Config_Carteiras!$A:$B,2,FALSE),1),"")</f>
        <v>1</v>
      </c>
      <c r="F1025" s="25">
        <v>729.34</v>
      </c>
      <c r="G1025" s="28">
        <f>IF(LEFT(D1025,6)="CLIENT",IF(E1025=0,WORKDAY(A1025-1,1,Dias_Sem_Compensacao!$A$2:$A$500),WORKDAY(A1025,E1025,Dias_Sem_Compensacao!$A$2:$A$500)),"")</f>
        <v>46296</v>
      </c>
      <c r="H1025" s="25">
        <v>0</v>
      </c>
      <c r="I1025" s="28">
        <v>46295</v>
      </c>
      <c r="J1025" t="s">
        <v>1315</v>
      </c>
      <c r="K1025" t="s">
        <v>1316</v>
      </c>
    </row>
    <row r="1026" spans="1:11" hidden="1">
      <c r="A1026" s="28">
        <v>46295</v>
      </c>
      <c r="B1026" t="s">
        <v>186</v>
      </c>
      <c r="C1026" t="s">
        <v>203</v>
      </c>
      <c r="D1026" t="s">
        <v>217</v>
      </c>
      <c r="E1026">
        <f>IF(LEFT(D1026,6)="CLIENT",IFERROR(VLOOKUP(C1026,Config_Carteiras!$A:$B,2,FALSE),1),"")</f>
        <v>1</v>
      </c>
      <c r="F1026" s="25">
        <v>897</v>
      </c>
      <c r="G1026" s="28">
        <f>IF(LEFT(D1026,6)="CLIENT",IF(E1026=0,WORKDAY(A1026-1,1,Dias_Sem_Compensacao!$A$2:$A$500),WORKDAY(A1026,E1026,Dias_Sem_Compensacao!$A$2:$A$500)),"")</f>
        <v>46296</v>
      </c>
      <c r="H1026" s="25">
        <v>0</v>
      </c>
      <c r="I1026" s="28">
        <v>46295</v>
      </c>
      <c r="J1026" t="s">
        <v>1317</v>
      </c>
      <c r="K1026" t="s">
        <v>1318</v>
      </c>
    </row>
    <row r="1027" spans="1:11" hidden="1">
      <c r="A1027" s="28">
        <v>46295</v>
      </c>
      <c r="B1027" t="s">
        <v>186</v>
      </c>
      <c r="C1027" t="s">
        <v>203</v>
      </c>
      <c r="D1027" t="s">
        <v>217</v>
      </c>
      <c r="E1027">
        <f>IF(LEFT(D1027,6)="CLIENT",IFERROR(VLOOKUP(C1027,Config_Carteiras!$A:$B,2,FALSE),1),"")</f>
        <v>1</v>
      </c>
      <c r="F1027" s="25">
        <v>1259</v>
      </c>
      <c r="G1027" s="28">
        <f>IF(LEFT(D1027,6)="CLIENT",IF(E1027=0,WORKDAY(A1027-1,1,Dias_Sem_Compensacao!$A$2:$A$500),WORKDAY(A1027,E1027,Dias_Sem_Compensacao!$A$2:$A$500)),"")</f>
        <v>46296</v>
      </c>
      <c r="H1027" s="25">
        <v>0</v>
      </c>
      <c r="I1027" s="28">
        <v>46295</v>
      </c>
      <c r="J1027" t="s">
        <v>1319</v>
      </c>
      <c r="K1027" t="s">
        <v>1320</v>
      </c>
    </row>
    <row r="1028" spans="1:11" hidden="1">
      <c r="A1028" s="28">
        <v>46295</v>
      </c>
      <c r="B1028" t="s">
        <v>186</v>
      </c>
      <c r="C1028" t="s">
        <v>203</v>
      </c>
      <c r="D1028" t="s">
        <v>217</v>
      </c>
      <c r="E1028">
        <f>IF(LEFT(D1028,6)="CLIENT",IFERROR(VLOOKUP(C1028,Config_Carteiras!$A:$B,2,FALSE),1),"")</f>
        <v>1</v>
      </c>
      <c r="F1028" s="25">
        <v>462.14</v>
      </c>
      <c r="G1028" s="28">
        <f>IF(LEFT(D1028,6)="CLIENT",IF(E1028=0,WORKDAY(A1028-1,1,Dias_Sem_Compensacao!$A$2:$A$500),WORKDAY(A1028,E1028,Dias_Sem_Compensacao!$A$2:$A$500)),"")</f>
        <v>46296</v>
      </c>
      <c r="H1028" s="25">
        <v>0</v>
      </c>
      <c r="I1028" s="28">
        <v>46295</v>
      </c>
      <c r="J1028" t="s">
        <v>1321</v>
      </c>
      <c r="K1028" t="s">
        <v>1322</v>
      </c>
    </row>
    <row r="1029" spans="1:11" hidden="1">
      <c r="A1029" s="28">
        <v>46295</v>
      </c>
      <c r="B1029" t="s">
        <v>186</v>
      </c>
      <c r="C1029" t="s">
        <v>203</v>
      </c>
      <c r="D1029" t="s">
        <v>217</v>
      </c>
      <c r="E1029">
        <f>IF(LEFT(D1029,6)="CLIENT",IFERROR(VLOOKUP(C1029,Config_Carteiras!$A:$B,2,FALSE),1),"")</f>
        <v>1</v>
      </c>
      <c r="F1029" s="25">
        <v>2003</v>
      </c>
      <c r="G1029" s="28">
        <f>IF(LEFT(D1029,6)="CLIENT",IF(E1029=0,WORKDAY(A1029-1,1,Dias_Sem_Compensacao!$A$2:$A$500),WORKDAY(A1029,E1029,Dias_Sem_Compensacao!$A$2:$A$500)),"")</f>
        <v>46296</v>
      </c>
      <c r="H1029" s="25">
        <v>0</v>
      </c>
      <c r="I1029" s="28">
        <v>46295</v>
      </c>
      <c r="J1029" t="s">
        <v>1323</v>
      </c>
      <c r="K1029" t="s">
        <v>1324</v>
      </c>
    </row>
    <row r="1030" spans="1:11" hidden="1">
      <c r="A1030" s="28">
        <v>46295</v>
      </c>
      <c r="B1030" t="s">
        <v>186</v>
      </c>
      <c r="C1030" t="s">
        <v>203</v>
      </c>
      <c r="D1030" t="s">
        <v>217</v>
      </c>
      <c r="E1030">
        <f>IF(LEFT(D1030,6)="CLIENT",IFERROR(VLOOKUP(C1030,Config_Carteiras!$A:$B,2,FALSE),1),"")</f>
        <v>1</v>
      </c>
      <c r="F1030" s="25">
        <v>1066</v>
      </c>
      <c r="G1030" s="28">
        <f>IF(LEFT(D1030,6)="CLIENT",IF(E1030=0,WORKDAY(A1030-1,1,Dias_Sem_Compensacao!$A$2:$A$500),WORKDAY(A1030,E1030,Dias_Sem_Compensacao!$A$2:$A$500)),"")</f>
        <v>46296</v>
      </c>
      <c r="H1030" s="25">
        <v>0</v>
      </c>
      <c r="I1030" s="28">
        <v>46295</v>
      </c>
      <c r="J1030" t="s">
        <v>1325</v>
      </c>
      <c r="K1030" t="s">
        <v>1326</v>
      </c>
    </row>
    <row r="1031" spans="1:11" hidden="1">
      <c r="A1031" s="28">
        <v>46295</v>
      </c>
      <c r="B1031" t="s">
        <v>186</v>
      </c>
      <c r="C1031" t="s">
        <v>203</v>
      </c>
      <c r="D1031" t="s">
        <v>217</v>
      </c>
      <c r="E1031">
        <f>IF(LEFT(D1031,6)="CLIENT",IFERROR(VLOOKUP(C1031,Config_Carteiras!$A:$B,2,FALSE),1),"")</f>
        <v>1</v>
      </c>
      <c r="F1031" s="25">
        <v>708.1</v>
      </c>
      <c r="G1031" s="28">
        <f>IF(LEFT(D1031,6)="CLIENT",IF(E1031=0,WORKDAY(A1031-1,1,Dias_Sem_Compensacao!$A$2:$A$500),WORKDAY(A1031,E1031,Dias_Sem_Compensacao!$A$2:$A$500)),"")</f>
        <v>46296</v>
      </c>
      <c r="H1031" s="25">
        <v>0</v>
      </c>
      <c r="I1031" s="28">
        <v>46295</v>
      </c>
      <c r="J1031" t="s">
        <v>962</v>
      </c>
      <c r="K1031" t="s">
        <v>1327</v>
      </c>
    </row>
    <row r="1032" spans="1:11" hidden="1">
      <c r="A1032" s="28">
        <v>46295</v>
      </c>
      <c r="B1032" t="s">
        <v>186</v>
      </c>
      <c r="C1032" t="s">
        <v>203</v>
      </c>
      <c r="D1032" t="s">
        <v>217</v>
      </c>
      <c r="E1032">
        <f>IF(LEFT(D1032,6)="CLIENT",IFERROR(VLOOKUP(C1032,Config_Carteiras!$A:$B,2,FALSE),1),"")</f>
        <v>1</v>
      </c>
      <c r="F1032" s="25">
        <v>253.8</v>
      </c>
      <c r="G1032" s="28">
        <f>IF(LEFT(D1032,6)="CLIENT",IF(E1032=0,WORKDAY(A1032-1,1,Dias_Sem_Compensacao!$A$2:$A$500),WORKDAY(A1032,E1032,Dias_Sem_Compensacao!$A$2:$A$500)),"")</f>
        <v>46296</v>
      </c>
      <c r="H1032" s="25">
        <v>0</v>
      </c>
      <c r="I1032" s="28">
        <v>46295</v>
      </c>
      <c r="J1032" t="s">
        <v>878</v>
      </c>
      <c r="K1032" t="s">
        <v>1328</v>
      </c>
    </row>
    <row r="1033" spans="1:11" hidden="1">
      <c r="A1033" s="28">
        <v>46295</v>
      </c>
      <c r="B1033" t="s">
        <v>186</v>
      </c>
      <c r="C1033" t="s">
        <v>203</v>
      </c>
      <c r="D1033" t="s">
        <v>217</v>
      </c>
      <c r="E1033">
        <f>IF(LEFT(D1033,6)="CLIENT",IFERROR(VLOOKUP(C1033,Config_Carteiras!$A:$B,2,FALSE),1),"")</f>
        <v>1</v>
      </c>
      <c r="F1033" s="25">
        <v>1285</v>
      </c>
      <c r="G1033" s="28">
        <f>IF(LEFT(D1033,6)="CLIENT",IF(E1033=0,WORKDAY(A1033-1,1,Dias_Sem_Compensacao!$A$2:$A$500),WORKDAY(A1033,E1033,Dias_Sem_Compensacao!$A$2:$A$500)),"")</f>
        <v>46296</v>
      </c>
      <c r="H1033" s="25">
        <v>0</v>
      </c>
      <c r="I1033" s="28">
        <v>46295</v>
      </c>
      <c r="J1033" t="s">
        <v>1329</v>
      </c>
      <c r="K1033" t="s">
        <v>1330</v>
      </c>
    </row>
    <row r="1034" spans="1:11" hidden="1">
      <c r="A1034" s="28">
        <v>46295</v>
      </c>
      <c r="B1034" t="s">
        <v>186</v>
      </c>
      <c r="C1034" t="s">
        <v>203</v>
      </c>
      <c r="D1034" t="s">
        <v>217</v>
      </c>
      <c r="E1034">
        <f>IF(LEFT(D1034,6)="CLIENT",IFERROR(VLOOKUP(C1034,Config_Carteiras!$A:$B,2,FALSE),1),"")</f>
        <v>1</v>
      </c>
      <c r="F1034" s="25">
        <v>610.03</v>
      </c>
      <c r="G1034" s="28">
        <f>IF(LEFT(D1034,6)="CLIENT",IF(E1034=0,WORKDAY(A1034-1,1,Dias_Sem_Compensacao!$A$2:$A$500),WORKDAY(A1034,E1034,Dias_Sem_Compensacao!$A$2:$A$500)),"")</f>
        <v>46296</v>
      </c>
      <c r="H1034" s="25">
        <v>0</v>
      </c>
      <c r="I1034" s="28">
        <v>46295</v>
      </c>
      <c r="J1034" t="s">
        <v>1331</v>
      </c>
      <c r="K1034" t="s">
        <v>1332</v>
      </c>
    </row>
    <row r="1035" spans="1:11" hidden="1">
      <c r="A1035" s="28">
        <v>46295</v>
      </c>
      <c r="B1035" t="s">
        <v>186</v>
      </c>
      <c r="C1035" t="s">
        <v>203</v>
      </c>
      <c r="D1035" t="s">
        <v>217</v>
      </c>
      <c r="E1035">
        <f>IF(LEFT(D1035,6)="CLIENT",IFERROR(VLOOKUP(C1035,Config_Carteiras!$A:$B,2,FALSE),1),"")</f>
        <v>1</v>
      </c>
      <c r="F1035" s="25">
        <v>16542</v>
      </c>
      <c r="G1035" s="28">
        <f>IF(LEFT(D1035,6)="CLIENT",IF(E1035=0,WORKDAY(A1035-1,1,Dias_Sem_Compensacao!$A$2:$A$500),WORKDAY(A1035,E1035,Dias_Sem_Compensacao!$A$2:$A$500)),"")</f>
        <v>46296</v>
      </c>
      <c r="H1035" s="25">
        <v>0</v>
      </c>
      <c r="I1035" s="28">
        <v>46295</v>
      </c>
      <c r="J1035" t="s">
        <v>1162</v>
      </c>
      <c r="K1035" t="s">
        <v>1333</v>
      </c>
    </row>
    <row r="1036" spans="1:11" hidden="1">
      <c r="A1036" s="28">
        <v>46295</v>
      </c>
      <c r="B1036" t="s">
        <v>186</v>
      </c>
      <c r="C1036" t="s">
        <v>203</v>
      </c>
      <c r="D1036" t="s">
        <v>217</v>
      </c>
      <c r="E1036">
        <f>IF(LEFT(D1036,6)="CLIENT",IFERROR(VLOOKUP(C1036,Config_Carteiras!$A:$B,2,FALSE),1),"")</f>
        <v>1</v>
      </c>
      <c r="F1036" s="25">
        <v>918</v>
      </c>
      <c r="G1036" s="28">
        <f>IF(LEFT(D1036,6)="CLIENT",IF(E1036=0,WORKDAY(A1036-1,1,Dias_Sem_Compensacao!$A$2:$A$500),WORKDAY(A1036,E1036,Dias_Sem_Compensacao!$A$2:$A$500)),"")</f>
        <v>46296</v>
      </c>
      <c r="H1036" s="25">
        <v>0</v>
      </c>
      <c r="I1036" s="28">
        <v>46295</v>
      </c>
      <c r="J1036" t="s">
        <v>1334</v>
      </c>
      <c r="K1036" t="s">
        <v>1335</v>
      </c>
    </row>
    <row r="1037" spans="1:11" hidden="1">
      <c r="A1037" s="28">
        <v>46295</v>
      </c>
      <c r="B1037" t="s">
        <v>186</v>
      </c>
      <c r="C1037" t="s">
        <v>203</v>
      </c>
      <c r="D1037" t="s">
        <v>217</v>
      </c>
      <c r="E1037">
        <f>IF(LEFT(D1037,6)="CLIENT",IFERROR(VLOOKUP(C1037,Config_Carteiras!$A:$B,2,FALSE),1),"")</f>
        <v>1</v>
      </c>
      <c r="F1037" s="25">
        <v>591</v>
      </c>
      <c r="G1037" s="28">
        <f>IF(LEFT(D1037,6)="CLIENT",IF(E1037=0,WORKDAY(A1037-1,1,Dias_Sem_Compensacao!$A$2:$A$500),WORKDAY(A1037,E1037,Dias_Sem_Compensacao!$A$2:$A$500)),"")</f>
        <v>46296</v>
      </c>
      <c r="H1037" s="25">
        <v>0</v>
      </c>
      <c r="I1037" s="28">
        <v>46295</v>
      </c>
      <c r="J1037" t="s">
        <v>1060</v>
      </c>
      <c r="K1037" t="s">
        <v>1061</v>
      </c>
    </row>
    <row r="1038" spans="1:11" hidden="1">
      <c r="A1038" s="28">
        <v>46295</v>
      </c>
      <c r="B1038" t="s">
        <v>186</v>
      </c>
      <c r="C1038" t="s">
        <v>203</v>
      </c>
      <c r="D1038" t="s">
        <v>217</v>
      </c>
      <c r="E1038">
        <f>IF(LEFT(D1038,6)="CLIENT",IFERROR(VLOOKUP(C1038,Config_Carteiras!$A:$B,2,FALSE),1),"")</f>
        <v>1</v>
      </c>
      <c r="F1038" s="25">
        <v>287.8</v>
      </c>
      <c r="G1038" s="28">
        <f>IF(LEFT(D1038,6)="CLIENT",IF(E1038=0,WORKDAY(A1038-1,1,Dias_Sem_Compensacao!$A$2:$A$500),WORKDAY(A1038,E1038,Dias_Sem_Compensacao!$A$2:$A$500)),"")</f>
        <v>46296</v>
      </c>
      <c r="H1038" s="25">
        <v>0</v>
      </c>
      <c r="I1038" s="28">
        <v>46295</v>
      </c>
      <c r="J1038" t="s">
        <v>1336</v>
      </c>
      <c r="K1038" t="s">
        <v>1337</v>
      </c>
    </row>
    <row r="1039" spans="1:11" hidden="1">
      <c r="A1039" s="28">
        <v>46295</v>
      </c>
      <c r="B1039" t="s">
        <v>186</v>
      </c>
      <c r="C1039" t="s">
        <v>203</v>
      </c>
      <c r="D1039" t="s">
        <v>217</v>
      </c>
      <c r="E1039">
        <f>IF(LEFT(D1039,6)="CLIENT",IFERROR(VLOOKUP(C1039,Config_Carteiras!$A:$B,2,FALSE),1),"")</f>
        <v>1</v>
      </c>
      <c r="F1039" s="25">
        <v>902</v>
      </c>
      <c r="G1039" s="28">
        <f>IF(LEFT(D1039,6)="CLIENT",IF(E1039=0,WORKDAY(A1039-1,1,Dias_Sem_Compensacao!$A$2:$A$500),WORKDAY(A1039,E1039,Dias_Sem_Compensacao!$A$2:$A$500)),"")</f>
        <v>46296</v>
      </c>
      <c r="H1039" s="25">
        <v>0</v>
      </c>
      <c r="I1039" s="28">
        <v>46295</v>
      </c>
      <c r="J1039" t="s">
        <v>1338</v>
      </c>
      <c r="K1039" t="s">
        <v>1339</v>
      </c>
    </row>
    <row r="1040" spans="1:11" hidden="1">
      <c r="A1040" s="28">
        <v>46295</v>
      </c>
      <c r="B1040" t="s">
        <v>186</v>
      </c>
      <c r="C1040" t="s">
        <v>203</v>
      </c>
      <c r="D1040" t="s">
        <v>217</v>
      </c>
      <c r="E1040">
        <f>IF(LEFT(D1040,6)="CLIENT",IFERROR(VLOOKUP(C1040,Config_Carteiras!$A:$B,2,FALSE),1),"")</f>
        <v>1</v>
      </c>
      <c r="F1040" s="25">
        <v>1302</v>
      </c>
      <c r="G1040" s="28">
        <f>IF(LEFT(D1040,6)="CLIENT",IF(E1040=0,WORKDAY(A1040-1,1,Dias_Sem_Compensacao!$A$2:$A$500),WORKDAY(A1040,E1040,Dias_Sem_Compensacao!$A$2:$A$500)),"")</f>
        <v>46296</v>
      </c>
      <c r="H1040" s="25">
        <v>0</v>
      </c>
      <c r="I1040" s="28">
        <v>46295</v>
      </c>
      <c r="J1040" t="s">
        <v>1340</v>
      </c>
      <c r="K1040" t="s">
        <v>1341</v>
      </c>
    </row>
    <row r="1041" spans="1:11" hidden="1">
      <c r="A1041" s="28">
        <v>46295</v>
      </c>
      <c r="B1041" t="s">
        <v>186</v>
      </c>
      <c r="C1041" t="s">
        <v>203</v>
      </c>
      <c r="D1041" t="s">
        <v>217</v>
      </c>
      <c r="E1041">
        <f>IF(LEFT(D1041,6)="CLIENT",IFERROR(VLOOKUP(C1041,Config_Carteiras!$A:$B,2,FALSE),1),"")</f>
        <v>1</v>
      </c>
      <c r="F1041" s="25">
        <v>691</v>
      </c>
      <c r="G1041" s="28">
        <f>IF(LEFT(D1041,6)="CLIENT",IF(E1041=0,WORKDAY(A1041-1,1,Dias_Sem_Compensacao!$A$2:$A$500),WORKDAY(A1041,E1041,Dias_Sem_Compensacao!$A$2:$A$500)),"")</f>
        <v>46296</v>
      </c>
      <c r="H1041" s="25">
        <v>0</v>
      </c>
      <c r="I1041" s="28">
        <v>46295</v>
      </c>
      <c r="J1041" t="s">
        <v>1342</v>
      </c>
      <c r="K1041" t="s">
        <v>1343</v>
      </c>
    </row>
    <row r="1042" spans="1:11" hidden="1">
      <c r="A1042" s="28">
        <v>46295</v>
      </c>
      <c r="B1042" t="s">
        <v>186</v>
      </c>
      <c r="C1042" t="s">
        <v>203</v>
      </c>
      <c r="D1042" t="s">
        <v>217</v>
      </c>
      <c r="E1042">
        <f>IF(LEFT(D1042,6)="CLIENT",IFERROR(VLOOKUP(C1042,Config_Carteiras!$A:$B,2,FALSE),1),"")</f>
        <v>1</v>
      </c>
      <c r="F1042" s="25">
        <v>2836.36</v>
      </c>
      <c r="G1042" s="28">
        <f>IF(LEFT(D1042,6)="CLIENT",IF(E1042=0,WORKDAY(A1042-1,1,Dias_Sem_Compensacao!$A$2:$A$500),WORKDAY(A1042,E1042,Dias_Sem_Compensacao!$A$2:$A$500)),"")</f>
        <v>46296</v>
      </c>
      <c r="H1042" s="25">
        <v>0</v>
      </c>
      <c r="I1042" s="28">
        <v>46295</v>
      </c>
      <c r="J1042" t="s">
        <v>1344</v>
      </c>
      <c r="K1042" t="s">
        <v>1345</v>
      </c>
    </row>
    <row r="1043" spans="1:11" hidden="1">
      <c r="A1043" s="28">
        <v>46295</v>
      </c>
      <c r="B1043" t="s">
        <v>186</v>
      </c>
      <c r="C1043" t="s">
        <v>203</v>
      </c>
      <c r="D1043" t="s">
        <v>217</v>
      </c>
      <c r="E1043">
        <f>IF(LEFT(D1043,6)="CLIENT",IFERROR(VLOOKUP(C1043,Config_Carteiras!$A:$B,2,FALSE),1),"")</f>
        <v>1</v>
      </c>
      <c r="F1043" s="25">
        <v>1450.88</v>
      </c>
      <c r="G1043" s="28">
        <f>IF(LEFT(D1043,6)="CLIENT",IF(E1043=0,WORKDAY(A1043-1,1,Dias_Sem_Compensacao!$A$2:$A$500),WORKDAY(A1043,E1043,Dias_Sem_Compensacao!$A$2:$A$500)),"")</f>
        <v>46296</v>
      </c>
      <c r="H1043" s="25">
        <v>0</v>
      </c>
      <c r="I1043" s="28">
        <v>46295</v>
      </c>
      <c r="J1043" t="s">
        <v>1346</v>
      </c>
      <c r="K1043" t="s">
        <v>1347</v>
      </c>
    </row>
    <row r="1044" spans="1:11" hidden="1">
      <c r="A1044" s="28">
        <v>46295</v>
      </c>
      <c r="B1044" t="s">
        <v>186</v>
      </c>
      <c r="C1044" t="s">
        <v>203</v>
      </c>
      <c r="D1044" t="s">
        <v>217</v>
      </c>
      <c r="E1044">
        <f>IF(LEFT(D1044,6)="CLIENT",IFERROR(VLOOKUP(C1044,Config_Carteiras!$A:$B,2,FALSE),1),"")</f>
        <v>1</v>
      </c>
      <c r="F1044" s="25">
        <v>3501</v>
      </c>
      <c r="G1044" s="28">
        <f>IF(LEFT(D1044,6)="CLIENT",IF(E1044=0,WORKDAY(A1044-1,1,Dias_Sem_Compensacao!$A$2:$A$500),WORKDAY(A1044,E1044,Dias_Sem_Compensacao!$A$2:$A$500)),"")</f>
        <v>46296</v>
      </c>
      <c r="H1044" s="25">
        <v>0</v>
      </c>
      <c r="I1044" s="28">
        <v>46295</v>
      </c>
      <c r="J1044" t="s">
        <v>1348</v>
      </c>
      <c r="K1044" t="s">
        <v>1349</v>
      </c>
    </row>
    <row r="1045" spans="1:11" hidden="1">
      <c r="A1045" s="28">
        <v>46295</v>
      </c>
      <c r="B1045" t="s">
        <v>186</v>
      </c>
      <c r="C1045" t="s">
        <v>203</v>
      </c>
      <c r="D1045" t="s">
        <v>217</v>
      </c>
      <c r="E1045">
        <f>IF(LEFT(D1045,6)="CLIENT",IFERROR(VLOOKUP(C1045,Config_Carteiras!$A:$B,2,FALSE),1),"")</f>
        <v>1</v>
      </c>
      <c r="F1045" s="25">
        <v>1555.21</v>
      </c>
      <c r="G1045" s="28">
        <f>IF(LEFT(D1045,6)="CLIENT",IF(E1045=0,WORKDAY(A1045-1,1,Dias_Sem_Compensacao!$A$2:$A$500),WORKDAY(A1045,E1045,Dias_Sem_Compensacao!$A$2:$A$500)),"")</f>
        <v>46296</v>
      </c>
      <c r="H1045" s="25">
        <v>0</v>
      </c>
      <c r="I1045" s="28">
        <v>46295</v>
      </c>
      <c r="J1045" t="s">
        <v>1350</v>
      </c>
      <c r="K1045" t="s">
        <v>1351</v>
      </c>
    </row>
    <row r="1046" spans="1:11" hidden="1">
      <c r="A1046" s="28">
        <v>46295</v>
      </c>
      <c r="B1046" t="s">
        <v>186</v>
      </c>
      <c r="C1046" t="s">
        <v>203</v>
      </c>
      <c r="D1046" t="s">
        <v>217</v>
      </c>
      <c r="E1046">
        <f>IF(LEFT(D1046,6)="CLIENT",IFERROR(VLOOKUP(C1046,Config_Carteiras!$A:$B,2,FALSE),1),"")</f>
        <v>1</v>
      </c>
      <c r="F1046" s="25">
        <v>967.05</v>
      </c>
      <c r="G1046" s="28">
        <f>IF(LEFT(D1046,6)="CLIENT",IF(E1046=0,WORKDAY(A1046-1,1,Dias_Sem_Compensacao!$A$2:$A$500),WORKDAY(A1046,E1046,Dias_Sem_Compensacao!$A$2:$A$500)),"")</f>
        <v>46296</v>
      </c>
      <c r="H1046" s="25">
        <v>0</v>
      </c>
      <c r="I1046" s="28">
        <v>46295</v>
      </c>
      <c r="J1046" t="s">
        <v>1352</v>
      </c>
      <c r="K1046" t="s">
        <v>1353</v>
      </c>
    </row>
    <row r="1047" spans="1:11" hidden="1">
      <c r="A1047" s="28">
        <v>46295</v>
      </c>
      <c r="B1047" t="s">
        <v>186</v>
      </c>
      <c r="C1047" t="s">
        <v>203</v>
      </c>
      <c r="D1047" t="s">
        <v>217</v>
      </c>
      <c r="E1047">
        <f>IF(LEFT(D1047,6)="CLIENT",IFERROR(VLOOKUP(C1047,Config_Carteiras!$A:$B,2,FALSE),1),"")</f>
        <v>1</v>
      </c>
      <c r="F1047" s="25">
        <v>475.56</v>
      </c>
      <c r="G1047" s="28">
        <f>IF(LEFT(D1047,6)="CLIENT",IF(E1047=0,WORKDAY(A1047-1,1,Dias_Sem_Compensacao!$A$2:$A$500),WORKDAY(A1047,E1047,Dias_Sem_Compensacao!$A$2:$A$500)),"")</f>
        <v>46296</v>
      </c>
      <c r="H1047" s="25">
        <v>0</v>
      </c>
      <c r="I1047" s="28">
        <v>46295</v>
      </c>
      <c r="J1047" t="s">
        <v>1354</v>
      </c>
      <c r="K1047" t="s">
        <v>1355</v>
      </c>
    </row>
    <row r="1048" spans="1:11" hidden="1">
      <c r="A1048" s="28">
        <v>46295</v>
      </c>
      <c r="B1048" t="s">
        <v>186</v>
      </c>
      <c r="C1048" t="s">
        <v>203</v>
      </c>
      <c r="D1048" t="s">
        <v>217</v>
      </c>
      <c r="E1048">
        <f>IF(LEFT(D1048,6)="CLIENT",IFERROR(VLOOKUP(C1048,Config_Carteiras!$A:$B,2,FALSE),1),"")</f>
        <v>1</v>
      </c>
      <c r="F1048" s="25">
        <v>811.2</v>
      </c>
      <c r="G1048" s="28">
        <f>IF(LEFT(D1048,6)="CLIENT",IF(E1048=0,WORKDAY(A1048-1,1,Dias_Sem_Compensacao!$A$2:$A$500),WORKDAY(A1048,E1048,Dias_Sem_Compensacao!$A$2:$A$500)),"")</f>
        <v>46296</v>
      </c>
      <c r="H1048" s="25">
        <v>0</v>
      </c>
      <c r="I1048" s="28">
        <v>46295</v>
      </c>
      <c r="J1048" t="s">
        <v>720</v>
      </c>
      <c r="K1048" t="s">
        <v>1356</v>
      </c>
    </row>
    <row r="1049" spans="1:11" hidden="1">
      <c r="A1049" s="28">
        <v>46295</v>
      </c>
      <c r="B1049" t="s">
        <v>186</v>
      </c>
      <c r="C1049" t="s">
        <v>203</v>
      </c>
      <c r="D1049" t="s">
        <v>217</v>
      </c>
      <c r="E1049">
        <f>IF(LEFT(D1049,6)="CLIENT",IFERROR(VLOOKUP(C1049,Config_Carteiras!$A:$B,2,FALSE),1),"")</f>
        <v>1</v>
      </c>
      <c r="F1049" s="25">
        <v>709.84</v>
      </c>
      <c r="G1049" s="28">
        <f>IF(LEFT(D1049,6)="CLIENT",IF(E1049=0,WORKDAY(A1049-1,1,Dias_Sem_Compensacao!$A$2:$A$500),WORKDAY(A1049,E1049,Dias_Sem_Compensacao!$A$2:$A$500)),"")</f>
        <v>46296</v>
      </c>
      <c r="H1049" s="25">
        <v>0</v>
      </c>
      <c r="I1049" s="28">
        <v>46295</v>
      </c>
      <c r="J1049" t="s">
        <v>1357</v>
      </c>
      <c r="K1049" t="s">
        <v>1358</v>
      </c>
    </row>
    <row r="1050" spans="1:11" hidden="1">
      <c r="A1050" s="28">
        <v>46295</v>
      </c>
      <c r="B1050" t="s">
        <v>186</v>
      </c>
      <c r="C1050" t="s">
        <v>203</v>
      </c>
      <c r="D1050" t="s">
        <v>217</v>
      </c>
      <c r="E1050">
        <f>IF(LEFT(D1050,6)="CLIENT",IFERROR(VLOOKUP(C1050,Config_Carteiras!$A:$B,2,FALSE),1),"")</f>
        <v>1</v>
      </c>
      <c r="F1050" s="25">
        <v>381.2</v>
      </c>
      <c r="G1050" s="28">
        <f>IF(LEFT(D1050,6)="CLIENT",IF(E1050=0,WORKDAY(A1050-1,1,Dias_Sem_Compensacao!$A$2:$A$500),WORKDAY(A1050,E1050,Dias_Sem_Compensacao!$A$2:$A$500)),"")</f>
        <v>46296</v>
      </c>
      <c r="H1050" s="25">
        <v>0</v>
      </c>
      <c r="I1050" s="28">
        <v>46295</v>
      </c>
      <c r="J1050" t="s">
        <v>1359</v>
      </c>
      <c r="K1050" t="s">
        <v>1360</v>
      </c>
    </row>
    <row r="1051" spans="1:11" hidden="1">
      <c r="A1051" s="28">
        <v>46295</v>
      </c>
      <c r="B1051" t="s">
        <v>186</v>
      </c>
      <c r="C1051" t="s">
        <v>203</v>
      </c>
      <c r="D1051" t="s">
        <v>217</v>
      </c>
      <c r="E1051">
        <f>IF(LEFT(D1051,6)="CLIENT",IFERROR(VLOOKUP(C1051,Config_Carteiras!$A:$B,2,FALSE),1),"")</f>
        <v>1</v>
      </c>
      <c r="F1051" s="25">
        <v>3143</v>
      </c>
      <c r="G1051" s="28">
        <f>IF(LEFT(D1051,6)="CLIENT",IF(E1051=0,WORKDAY(A1051-1,1,Dias_Sem_Compensacao!$A$2:$A$500),WORKDAY(A1051,E1051,Dias_Sem_Compensacao!$A$2:$A$500)),"")</f>
        <v>46296</v>
      </c>
      <c r="H1051" s="25">
        <v>0</v>
      </c>
      <c r="I1051" s="28">
        <v>46295</v>
      </c>
      <c r="J1051" t="s">
        <v>1361</v>
      </c>
      <c r="K1051" t="s">
        <v>1362</v>
      </c>
    </row>
    <row r="1052" spans="1:11" hidden="1">
      <c r="A1052" s="28">
        <v>46295</v>
      </c>
      <c r="B1052" t="s">
        <v>186</v>
      </c>
      <c r="C1052" t="s">
        <v>203</v>
      </c>
      <c r="D1052" t="s">
        <v>217</v>
      </c>
      <c r="E1052">
        <f>IF(LEFT(D1052,6)="CLIENT",IFERROR(VLOOKUP(C1052,Config_Carteiras!$A:$B,2,FALSE),1),"")</f>
        <v>1</v>
      </c>
      <c r="F1052" s="25">
        <v>1942</v>
      </c>
      <c r="G1052" s="28">
        <f>IF(LEFT(D1052,6)="CLIENT",IF(E1052=0,WORKDAY(A1052-1,1,Dias_Sem_Compensacao!$A$2:$A$500),WORKDAY(A1052,E1052,Dias_Sem_Compensacao!$A$2:$A$500)),"")</f>
        <v>46296</v>
      </c>
      <c r="H1052" s="25">
        <v>0</v>
      </c>
      <c r="I1052" s="28">
        <v>46295</v>
      </c>
      <c r="J1052" t="s">
        <v>1062</v>
      </c>
      <c r="K1052" t="s">
        <v>1063</v>
      </c>
    </row>
    <row r="1053" spans="1:11" hidden="1">
      <c r="A1053" s="28">
        <v>46295</v>
      </c>
      <c r="B1053" t="s">
        <v>186</v>
      </c>
      <c r="C1053" t="s">
        <v>203</v>
      </c>
      <c r="D1053" t="s">
        <v>217</v>
      </c>
      <c r="E1053">
        <f>IF(LEFT(D1053,6)="CLIENT",IFERROR(VLOOKUP(C1053,Config_Carteiras!$A:$B,2,FALSE),1),"")</f>
        <v>1</v>
      </c>
      <c r="F1053" s="25">
        <v>14700</v>
      </c>
      <c r="G1053" s="28">
        <f>IF(LEFT(D1053,6)="CLIENT",IF(E1053=0,WORKDAY(A1053-1,1,Dias_Sem_Compensacao!$A$2:$A$500),WORKDAY(A1053,E1053,Dias_Sem_Compensacao!$A$2:$A$500)),"")</f>
        <v>46296</v>
      </c>
      <c r="H1053" s="25">
        <v>0</v>
      </c>
      <c r="I1053" s="28">
        <v>46295</v>
      </c>
      <c r="J1053" t="s">
        <v>1201</v>
      </c>
      <c r="K1053" t="s">
        <v>1363</v>
      </c>
    </row>
    <row r="1054" spans="1:11" hidden="1">
      <c r="A1054" s="28">
        <v>46295</v>
      </c>
      <c r="B1054" t="s">
        <v>186</v>
      </c>
      <c r="C1054" t="s">
        <v>203</v>
      </c>
      <c r="D1054" t="s">
        <v>217</v>
      </c>
      <c r="E1054">
        <f>IF(LEFT(D1054,6)="CLIENT",IFERROR(VLOOKUP(C1054,Config_Carteiras!$A:$B,2,FALSE),1),"")</f>
        <v>1</v>
      </c>
      <c r="F1054" s="25">
        <v>969</v>
      </c>
      <c r="G1054" s="28">
        <f>IF(LEFT(D1054,6)="CLIENT",IF(E1054=0,WORKDAY(A1054-1,1,Dias_Sem_Compensacao!$A$2:$A$500),WORKDAY(A1054,E1054,Dias_Sem_Compensacao!$A$2:$A$500)),"")</f>
        <v>46296</v>
      </c>
      <c r="H1054" s="25">
        <v>0</v>
      </c>
      <c r="I1054" s="28">
        <v>46295</v>
      </c>
      <c r="J1054" t="s">
        <v>723</v>
      </c>
      <c r="K1054" t="s">
        <v>1364</v>
      </c>
    </row>
    <row r="1055" spans="1:11" hidden="1">
      <c r="A1055" s="28">
        <v>46295</v>
      </c>
      <c r="B1055" t="s">
        <v>186</v>
      </c>
      <c r="C1055" t="s">
        <v>203</v>
      </c>
      <c r="D1055" t="s">
        <v>217</v>
      </c>
      <c r="E1055">
        <f>IF(LEFT(D1055,6)="CLIENT",IFERROR(VLOOKUP(C1055,Config_Carteiras!$A:$B,2,FALSE),1),"")</f>
        <v>1</v>
      </c>
      <c r="F1055" s="25">
        <v>3942.99</v>
      </c>
      <c r="G1055" s="28">
        <f>IF(LEFT(D1055,6)="CLIENT",IF(E1055=0,WORKDAY(A1055-1,1,Dias_Sem_Compensacao!$A$2:$A$500),WORKDAY(A1055,E1055,Dias_Sem_Compensacao!$A$2:$A$500)),"")</f>
        <v>46296</v>
      </c>
      <c r="H1055" s="25">
        <v>0</v>
      </c>
      <c r="I1055" s="28">
        <v>46295</v>
      </c>
      <c r="J1055" t="s">
        <v>1365</v>
      </c>
      <c r="K1055" t="s">
        <v>1366</v>
      </c>
    </row>
    <row r="1056" spans="1:11" hidden="1">
      <c r="A1056" s="28">
        <v>46295</v>
      </c>
      <c r="B1056" t="s">
        <v>186</v>
      </c>
      <c r="C1056" t="s">
        <v>203</v>
      </c>
      <c r="D1056" t="s">
        <v>217</v>
      </c>
      <c r="E1056">
        <f>IF(LEFT(D1056,6)="CLIENT",IFERROR(VLOOKUP(C1056,Config_Carteiras!$A:$B,2,FALSE),1),"")</f>
        <v>1</v>
      </c>
      <c r="F1056" s="25">
        <v>2282</v>
      </c>
      <c r="G1056" s="28">
        <f>IF(LEFT(D1056,6)="CLIENT",IF(E1056=0,WORKDAY(A1056-1,1,Dias_Sem_Compensacao!$A$2:$A$500),WORKDAY(A1056,E1056,Dias_Sem_Compensacao!$A$2:$A$500)),"")</f>
        <v>46296</v>
      </c>
      <c r="H1056" s="25">
        <v>0</v>
      </c>
      <c r="I1056" s="28">
        <v>46295</v>
      </c>
      <c r="J1056" t="s">
        <v>1367</v>
      </c>
      <c r="K1056" t="s">
        <v>1368</v>
      </c>
    </row>
    <row r="1057" spans="1:11" hidden="1">
      <c r="A1057" s="28">
        <v>46295</v>
      </c>
      <c r="B1057" t="s">
        <v>186</v>
      </c>
      <c r="C1057" t="s">
        <v>203</v>
      </c>
      <c r="D1057" t="s">
        <v>217</v>
      </c>
      <c r="E1057">
        <f>IF(LEFT(D1057,6)="CLIENT",IFERROR(VLOOKUP(C1057,Config_Carteiras!$A:$B,2,FALSE),1),"")</f>
        <v>1</v>
      </c>
      <c r="F1057" s="25">
        <v>8850</v>
      </c>
      <c r="G1057" s="28">
        <f>IF(LEFT(D1057,6)="CLIENT",IF(E1057=0,WORKDAY(A1057-1,1,Dias_Sem_Compensacao!$A$2:$A$500),WORKDAY(A1057,E1057,Dias_Sem_Compensacao!$A$2:$A$500)),"")</f>
        <v>46296</v>
      </c>
      <c r="H1057" s="25">
        <v>0</v>
      </c>
      <c r="I1057" s="28">
        <v>46295</v>
      </c>
      <c r="J1057" t="s">
        <v>1369</v>
      </c>
      <c r="K1057" t="s">
        <v>1370</v>
      </c>
    </row>
    <row r="1058" spans="1:11" hidden="1">
      <c r="A1058" s="28">
        <v>46295</v>
      </c>
      <c r="B1058" t="s">
        <v>186</v>
      </c>
      <c r="C1058" t="s">
        <v>203</v>
      </c>
      <c r="D1058" t="s">
        <v>217</v>
      </c>
      <c r="E1058">
        <f>IF(LEFT(D1058,6)="CLIENT",IFERROR(VLOOKUP(C1058,Config_Carteiras!$A:$B,2,FALSE),1),"")</f>
        <v>1</v>
      </c>
      <c r="F1058" s="25">
        <v>464.02</v>
      </c>
      <c r="G1058" s="28">
        <f>IF(LEFT(D1058,6)="CLIENT",IF(E1058=0,WORKDAY(A1058-1,1,Dias_Sem_Compensacao!$A$2:$A$500),WORKDAY(A1058,E1058,Dias_Sem_Compensacao!$A$2:$A$500)),"")</f>
        <v>46296</v>
      </c>
      <c r="H1058" s="25">
        <v>0</v>
      </c>
      <c r="I1058" s="28">
        <v>46295</v>
      </c>
      <c r="J1058" t="s">
        <v>1371</v>
      </c>
      <c r="K1058" t="s">
        <v>1372</v>
      </c>
    </row>
    <row r="1059" spans="1:11" hidden="1">
      <c r="A1059" s="28">
        <v>46295</v>
      </c>
      <c r="B1059" t="s">
        <v>186</v>
      </c>
      <c r="C1059" t="s">
        <v>203</v>
      </c>
      <c r="D1059" t="s">
        <v>217</v>
      </c>
      <c r="E1059">
        <f>IF(LEFT(D1059,6)="CLIENT",IFERROR(VLOOKUP(C1059,Config_Carteiras!$A:$B,2,FALSE),1),"")</f>
        <v>1</v>
      </c>
      <c r="F1059" s="25">
        <v>1040</v>
      </c>
      <c r="G1059" s="28">
        <f>IF(LEFT(D1059,6)="CLIENT",IF(E1059=0,WORKDAY(A1059-1,1,Dias_Sem_Compensacao!$A$2:$A$500),WORKDAY(A1059,E1059,Dias_Sem_Compensacao!$A$2:$A$500)),"")</f>
        <v>46296</v>
      </c>
      <c r="H1059" s="25">
        <v>0</v>
      </c>
      <c r="I1059" s="28">
        <v>46295</v>
      </c>
      <c r="J1059" t="s">
        <v>1373</v>
      </c>
      <c r="K1059" t="s">
        <v>1374</v>
      </c>
    </row>
    <row r="1060" spans="1:11" hidden="1">
      <c r="A1060" s="28">
        <v>46295</v>
      </c>
      <c r="B1060" t="s">
        <v>186</v>
      </c>
      <c r="C1060" t="s">
        <v>203</v>
      </c>
      <c r="D1060" t="s">
        <v>217</v>
      </c>
      <c r="E1060">
        <f>IF(LEFT(D1060,6)="CLIENT",IFERROR(VLOOKUP(C1060,Config_Carteiras!$A:$B,2,FALSE),1),"")</f>
        <v>1</v>
      </c>
      <c r="F1060" s="25">
        <v>1700</v>
      </c>
      <c r="G1060" s="28">
        <f>IF(LEFT(D1060,6)="CLIENT",IF(E1060=0,WORKDAY(A1060-1,1,Dias_Sem_Compensacao!$A$2:$A$500),WORKDAY(A1060,E1060,Dias_Sem_Compensacao!$A$2:$A$500)),"")</f>
        <v>46296</v>
      </c>
      <c r="H1060" s="25">
        <v>0</v>
      </c>
      <c r="I1060" s="28">
        <v>46295</v>
      </c>
      <c r="J1060" t="s">
        <v>1375</v>
      </c>
      <c r="K1060" t="s">
        <v>1376</v>
      </c>
    </row>
    <row r="1061" spans="1:11" hidden="1">
      <c r="A1061" s="28">
        <v>46295</v>
      </c>
      <c r="B1061" t="s">
        <v>186</v>
      </c>
      <c r="C1061" t="s">
        <v>203</v>
      </c>
      <c r="D1061" t="s">
        <v>217</v>
      </c>
      <c r="E1061">
        <f>IF(LEFT(D1061,6)="CLIENT",IFERROR(VLOOKUP(C1061,Config_Carteiras!$A:$B,2,FALSE),1),"")</f>
        <v>1</v>
      </c>
      <c r="F1061" s="25">
        <v>2120</v>
      </c>
      <c r="G1061" s="28">
        <f>IF(LEFT(D1061,6)="CLIENT",IF(E1061=0,WORKDAY(A1061-1,1,Dias_Sem_Compensacao!$A$2:$A$500),WORKDAY(A1061,E1061,Dias_Sem_Compensacao!$A$2:$A$500)),"")</f>
        <v>46296</v>
      </c>
      <c r="H1061" s="25">
        <v>0</v>
      </c>
      <c r="I1061" s="28">
        <v>46295</v>
      </c>
      <c r="K1061" t="s">
        <v>1377</v>
      </c>
    </row>
    <row r="1062" spans="1:11" hidden="1">
      <c r="A1062" s="28">
        <v>46295</v>
      </c>
      <c r="B1062" t="s">
        <v>186</v>
      </c>
      <c r="C1062" t="s">
        <v>203</v>
      </c>
      <c r="D1062" t="s">
        <v>217</v>
      </c>
      <c r="E1062">
        <f>IF(LEFT(D1062,6)="CLIENT",IFERROR(VLOOKUP(C1062,Config_Carteiras!$A:$B,2,FALSE),1),"")</f>
        <v>1</v>
      </c>
      <c r="F1062" s="25">
        <v>471.5</v>
      </c>
      <c r="G1062" s="28">
        <f>IF(LEFT(D1062,6)="CLIENT",IF(E1062=0,WORKDAY(A1062-1,1,Dias_Sem_Compensacao!$A$2:$A$500),WORKDAY(A1062,E1062,Dias_Sem_Compensacao!$A$2:$A$500)),"")</f>
        <v>46296</v>
      </c>
      <c r="H1062" s="25">
        <v>0</v>
      </c>
      <c r="I1062" s="28">
        <v>46295</v>
      </c>
      <c r="J1062" t="s">
        <v>1378</v>
      </c>
      <c r="K1062" t="s">
        <v>1379</v>
      </c>
    </row>
    <row r="1063" spans="1:11" hidden="1">
      <c r="A1063" s="28">
        <v>46295</v>
      </c>
      <c r="B1063" t="s">
        <v>186</v>
      </c>
      <c r="C1063" t="s">
        <v>203</v>
      </c>
      <c r="D1063" t="s">
        <v>217</v>
      </c>
      <c r="E1063">
        <f>IF(LEFT(D1063,6)="CLIENT",IFERROR(VLOOKUP(C1063,Config_Carteiras!$A:$B,2,FALSE),1),"")</f>
        <v>1</v>
      </c>
      <c r="F1063" s="25">
        <v>1203</v>
      </c>
      <c r="G1063" s="28">
        <f>IF(LEFT(D1063,6)="CLIENT",IF(E1063=0,WORKDAY(A1063-1,1,Dias_Sem_Compensacao!$A$2:$A$500),WORKDAY(A1063,E1063,Dias_Sem_Compensacao!$A$2:$A$500)),"")</f>
        <v>46296</v>
      </c>
      <c r="H1063" s="25">
        <v>0</v>
      </c>
      <c r="I1063" s="28">
        <v>46295</v>
      </c>
      <c r="J1063" t="s">
        <v>1380</v>
      </c>
      <c r="K1063" t="s">
        <v>1381</v>
      </c>
    </row>
    <row r="1064" spans="1:11" hidden="1">
      <c r="A1064" s="28">
        <v>46295</v>
      </c>
      <c r="B1064" t="s">
        <v>186</v>
      </c>
      <c r="C1064" t="s">
        <v>203</v>
      </c>
      <c r="D1064" t="s">
        <v>217</v>
      </c>
      <c r="E1064">
        <f>IF(LEFT(D1064,6)="CLIENT",IFERROR(VLOOKUP(C1064,Config_Carteiras!$A:$B,2,FALSE),1),"")</f>
        <v>1</v>
      </c>
      <c r="F1064" s="25">
        <v>1034</v>
      </c>
      <c r="G1064" s="28">
        <f>IF(LEFT(D1064,6)="CLIENT",IF(E1064=0,WORKDAY(A1064-1,1,Dias_Sem_Compensacao!$A$2:$A$500),WORKDAY(A1064,E1064,Dias_Sem_Compensacao!$A$2:$A$500)),"")</f>
        <v>46296</v>
      </c>
      <c r="H1064" s="25">
        <v>0</v>
      </c>
      <c r="I1064" s="28">
        <v>46295</v>
      </c>
      <c r="J1064" t="s">
        <v>1382</v>
      </c>
      <c r="K1064" t="s">
        <v>1383</v>
      </c>
    </row>
    <row r="1065" spans="1:11" hidden="1">
      <c r="A1065" s="28">
        <v>46295</v>
      </c>
      <c r="B1065" t="s">
        <v>186</v>
      </c>
      <c r="C1065" t="s">
        <v>203</v>
      </c>
      <c r="D1065" t="s">
        <v>217</v>
      </c>
      <c r="E1065">
        <f>IF(LEFT(D1065,6)="CLIENT",IFERROR(VLOOKUP(C1065,Config_Carteiras!$A:$B,2,FALSE),1),"")</f>
        <v>1</v>
      </c>
      <c r="F1065" s="25">
        <v>1034</v>
      </c>
      <c r="G1065" s="28">
        <f>IF(LEFT(D1065,6)="CLIENT",IF(E1065=0,WORKDAY(A1065-1,1,Dias_Sem_Compensacao!$A$2:$A$500),WORKDAY(A1065,E1065,Dias_Sem_Compensacao!$A$2:$A$500)),"")</f>
        <v>46296</v>
      </c>
      <c r="H1065" s="25">
        <v>0</v>
      </c>
      <c r="I1065" s="28">
        <v>46295</v>
      </c>
      <c r="J1065" t="s">
        <v>1384</v>
      </c>
      <c r="K1065" t="s">
        <v>1385</v>
      </c>
    </row>
    <row r="1066" spans="1:11" hidden="1">
      <c r="A1066" s="28">
        <v>46295</v>
      </c>
      <c r="B1066" t="s">
        <v>186</v>
      </c>
      <c r="C1066" t="s">
        <v>203</v>
      </c>
      <c r="D1066" t="s">
        <v>217</v>
      </c>
      <c r="E1066">
        <f>IF(LEFT(D1066,6)="CLIENT",IFERROR(VLOOKUP(C1066,Config_Carteiras!$A:$B,2,FALSE),1),"")</f>
        <v>1</v>
      </c>
      <c r="F1066" s="25">
        <v>5771</v>
      </c>
      <c r="G1066" s="28">
        <f>IF(LEFT(D1066,6)="CLIENT",IF(E1066=0,WORKDAY(A1066-1,1,Dias_Sem_Compensacao!$A$2:$A$500),WORKDAY(A1066,E1066,Dias_Sem_Compensacao!$A$2:$A$500)),"")</f>
        <v>46296</v>
      </c>
      <c r="H1066" s="25">
        <v>0</v>
      </c>
      <c r="I1066" s="28">
        <v>46295</v>
      </c>
      <c r="J1066" t="s">
        <v>1386</v>
      </c>
      <c r="K1066" t="s">
        <v>1387</v>
      </c>
    </row>
    <row r="1067" spans="1:11" hidden="1">
      <c r="A1067" s="28">
        <v>46295</v>
      </c>
      <c r="B1067" t="s">
        <v>186</v>
      </c>
      <c r="C1067" t="s">
        <v>203</v>
      </c>
      <c r="D1067" t="s">
        <v>217</v>
      </c>
      <c r="E1067">
        <f>IF(LEFT(D1067,6)="CLIENT",IFERROR(VLOOKUP(C1067,Config_Carteiras!$A:$B,2,FALSE),1),"")</f>
        <v>1</v>
      </c>
      <c r="F1067" s="25">
        <v>422</v>
      </c>
      <c r="G1067" s="28">
        <f>IF(LEFT(D1067,6)="CLIENT",IF(E1067=0,WORKDAY(A1067-1,1,Dias_Sem_Compensacao!$A$2:$A$500),WORKDAY(A1067,E1067,Dias_Sem_Compensacao!$A$2:$A$500)),"")</f>
        <v>46296</v>
      </c>
      <c r="H1067" s="25">
        <v>0</v>
      </c>
      <c r="I1067" s="28">
        <v>46295</v>
      </c>
      <c r="J1067" t="s">
        <v>1388</v>
      </c>
      <c r="K1067" t="s">
        <v>1389</v>
      </c>
    </row>
    <row r="1068" spans="1:11" hidden="1">
      <c r="A1068" s="28">
        <v>46295</v>
      </c>
      <c r="B1068" t="s">
        <v>186</v>
      </c>
      <c r="C1068" t="s">
        <v>203</v>
      </c>
      <c r="D1068" t="s">
        <v>217</v>
      </c>
      <c r="E1068">
        <f>IF(LEFT(D1068,6)="CLIENT",IFERROR(VLOOKUP(C1068,Config_Carteiras!$A:$B,2,FALSE),1),"")</f>
        <v>1</v>
      </c>
      <c r="F1068" s="25">
        <v>2253.08</v>
      </c>
      <c r="G1068" s="28">
        <f>IF(LEFT(D1068,6)="CLIENT",IF(E1068=0,WORKDAY(A1068-1,1,Dias_Sem_Compensacao!$A$2:$A$500),WORKDAY(A1068,E1068,Dias_Sem_Compensacao!$A$2:$A$500)),"")</f>
        <v>46296</v>
      </c>
      <c r="H1068" s="25">
        <v>0</v>
      </c>
      <c r="I1068" s="28">
        <v>46295</v>
      </c>
      <c r="J1068" t="s">
        <v>1390</v>
      </c>
      <c r="K1068" t="s">
        <v>1391</v>
      </c>
    </row>
    <row r="1069" spans="1:11" hidden="1">
      <c r="A1069" s="28">
        <v>46295</v>
      </c>
      <c r="B1069" t="s">
        <v>186</v>
      </c>
      <c r="C1069" t="s">
        <v>203</v>
      </c>
      <c r="D1069" t="s">
        <v>217</v>
      </c>
      <c r="E1069">
        <f>IF(LEFT(D1069,6)="CLIENT",IFERROR(VLOOKUP(C1069,Config_Carteiras!$A:$B,2,FALSE),1),"")</f>
        <v>1</v>
      </c>
      <c r="F1069" s="25">
        <v>18240</v>
      </c>
      <c r="G1069" s="28">
        <f>IF(LEFT(D1069,6)="CLIENT",IF(E1069=0,WORKDAY(A1069-1,1,Dias_Sem_Compensacao!$A$2:$A$500),WORKDAY(A1069,E1069,Dias_Sem_Compensacao!$A$2:$A$500)),"")</f>
        <v>46296</v>
      </c>
      <c r="H1069" s="25">
        <v>0</v>
      </c>
      <c r="I1069" s="28">
        <v>46295</v>
      </c>
      <c r="J1069" t="s">
        <v>1392</v>
      </c>
      <c r="K1069" t="s">
        <v>1393</v>
      </c>
    </row>
    <row r="1070" spans="1:11" hidden="1">
      <c r="A1070" s="28">
        <v>46295</v>
      </c>
      <c r="B1070" t="s">
        <v>186</v>
      </c>
      <c r="C1070" t="s">
        <v>203</v>
      </c>
      <c r="D1070" t="s">
        <v>217</v>
      </c>
      <c r="E1070">
        <f>IF(LEFT(D1070,6)="CLIENT",IFERROR(VLOOKUP(C1070,Config_Carteiras!$A:$B,2,FALSE),1),"")</f>
        <v>1</v>
      </c>
      <c r="F1070" s="25">
        <v>1912</v>
      </c>
      <c r="G1070" s="28">
        <f>IF(LEFT(D1070,6)="CLIENT",IF(E1070=0,WORKDAY(A1070-1,1,Dias_Sem_Compensacao!$A$2:$A$500),WORKDAY(A1070,E1070,Dias_Sem_Compensacao!$A$2:$A$500)),"")</f>
        <v>46296</v>
      </c>
      <c r="H1070" s="25">
        <v>0</v>
      </c>
      <c r="I1070" s="28">
        <v>46295</v>
      </c>
      <c r="J1070" t="s">
        <v>433</v>
      </c>
      <c r="K1070" t="s">
        <v>1394</v>
      </c>
    </row>
    <row r="1071" spans="1:11" hidden="1">
      <c r="A1071" s="28">
        <v>46295</v>
      </c>
      <c r="B1071" t="s">
        <v>186</v>
      </c>
      <c r="C1071" t="s">
        <v>203</v>
      </c>
      <c r="D1071" t="s">
        <v>217</v>
      </c>
      <c r="E1071">
        <f>IF(LEFT(D1071,6)="CLIENT",IFERROR(VLOOKUP(C1071,Config_Carteiras!$A:$B,2,FALSE),1),"")</f>
        <v>1</v>
      </c>
      <c r="F1071" s="25">
        <v>846</v>
      </c>
      <c r="G1071" s="28">
        <f>IF(LEFT(D1071,6)="CLIENT",IF(E1071=0,WORKDAY(A1071-1,1,Dias_Sem_Compensacao!$A$2:$A$500),WORKDAY(A1071,E1071,Dias_Sem_Compensacao!$A$2:$A$500)),"")</f>
        <v>46296</v>
      </c>
      <c r="H1071" s="25">
        <v>0</v>
      </c>
      <c r="I1071" s="28">
        <v>46295</v>
      </c>
      <c r="J1071" t="s">
        <v>1395</v>
      </c>
      <c r="K1071" t="s">
        <v>1396</v>
      </c>
    </row>
    <row r="1072" spans="1:11" hidden="1">
      <c r="A1072" s="28">
        <v>46295</v>
      </c>
      <c r="B1072" t="s">
        <v>186</v>
      </c>
      <c r="C1072" t="s">
        <v>203</v>
      </c>
      <c r="D1072" t="s">
        <v>217</v>
      </c>
      <c r="E1072">
        <f>IF(LEFT(D1072,6)="CLIENT",IFERROR(VLOOKUP(C1072,Config_Carteiras!$A:$B,2,FALSE),1),"")</f>
        <v>1</v>
      </c>
      <c r="F1072" s="25">
        <v>1763</v>
      </c>
      <c r="G1072" s="28">
        <f>IF(LEFT(D1072,6)="CLIENT",IF(E1072=0,WORKDAY(A1072-1,1,Dias_Sem_Compensacao!$A$2:$A$500),WORKDAY(A1072,E1072,Dias_Sem_Compensacao!$A$2:$A$500)),"")</f>
        <v>46296</v>
      </c>
      <c r="H1072" s="25">
        <v>0</v>
      </c>
      <c r="I1072" s="28">
        <v>46295</v>
      </c>
      <c r="J1072" t="s">
        <v>1397</v>
      </c>
      <c r="K1072" t="s">
        <v>1398</v>
      </c>
    </row>
    <row r="1073" spans="1:11" hidden="1">
      <c r="A1073" s="28">
        <v>46295</v>
      </c>
      <c r="B1073" t="s">
        <v>186</v>
      </c>
      <c r="C1073" t="s">
        <v>203</v>
      </c>
      <c r="D1073" t="s">
        <v>217</v>
      </c>
      <c r="E1073">
        <f>IF(LEFT(D1073,6)="CLIENT",IFERROR(VLOOKUP(C1073,Config_Carteiras!$A:$B,2,FALSE),1),"")</f>
        <v>1</v>
      </c>
      <c r="F1073" s="25">
        <v>1312</v>
      </c>
      <c r="G1073" s="28">
        <f>IF(LEFT(D1073,6)="CLIENT",IF(E1073=0,WORKDAY(A1073-1,1,Dias_Sem_Compensacao!$A$2:$A$500),WORKDAY(A1073,E1073,Dias_Sem_Compensacao!$A$2:$A$500)),"")</f>
        <v>46296</v>
      </c>
      <c r="H1073" s="25">
        <v>0</v>
      </c>
      <c r="I1073" s="28">
        <v>46295</v>
      </c>
      <c r="J1073" t="s">
        <v>1399</v>
      </c>
      <c r="K1073" t="s">
        <v>1400</v>
      </c>
    </row>
    <row r="1074" spans="1:11" hidden="1">
      <c r="A1074" s="28">
        <v>46295</v>
      </c>
      <c r="B1074" t="s">
        <v>186</v>
      </c>
      <c r="C1074" t="s">
        <v>203</v>
      </c>
      <c r="D1074" t="s">
        <v>217</v>
      </c>
      <c r="E1074">
        <f>IF(LEFT(D1074,6)="CLIENT",IFERROR(VLOOKUP(C1074,Config_Carteiras!$A:$B,2,FALSE),1),"")</f>
        <v>1</v>
      </c>
      <c r="F1074" s="25">
        <v>4249</v>
      </c>
      <c r="G1074" s="28">
        <f>IF(LEFT(D1074,6)="CLIENT",IF(E1074=0,WORKDAY(A1074-1,1,Dias_Sem_Compensacao!$A$2:$A$500),WORKDAY(A1074,E1074,Dias_Sem_Compensacao!$A$2:$A$500)),"")</f>
        <v>46296</v>
      </c>
      <c r="H1074" s="25">
        <v>0</v>
      </c>
      <c r="I1074" s="28">
        <v>46295</v>
      </c>
      <c r="J1074" t="s">
        <v>1401</v>
      </c>
      <c r="K1074" t="s">
        <v>1402</v>
      </c>
    </row>
    <row r="1075" spans="1:11" hidden="1">
      <c r="A1075" s="28">
        <v>46295</v>
      </c>
      <c r="B1075" t="s">
        <v>186</v>
      </c>
      <c r="C1075" t="s">
        <v>203</v>
      </c>
      <c r="D1075" t="s">
        <v>217</v>
      </c>
      <c r="E1075">
        <f>IF(LEFT(D1075,6)="CLIENT",IFERROR(VLOOKUP(C1075,Config_Carteiras!$A:$B,2,FALSE),1),"")</f>
        <v>1</v>
      </c>
      <c r="F1075" s="25">
        <v>1156.8900000000001</v>
      </c>
      <c r="G1075" s="28">
        <f>IF(LEFT(D1075,6)="CLIENT",IF(E1075=0,WORKDAY(A1075-1,1,Dias_Sem_Compensacao!$A$2:$A$500),WORKDAY(A1075,E1075,Dias_Sem_Compensacao!$A$2:$A$500)),"")</f>
        <v>46296</v>
      </c>
      <c r="H1075" s="25">
        <v>0</v>
      </c>
      <c r="I1075" s="28">
        <v>46295</v>
      </c>
      <c r="J1075" t="s">
        <v>1403</v>
      </c>
      <c r="K1075" t="s">
        <v>1404</v>
      </c>
    </row>
    <row r="1076" spans="1:11" hidden="1">
      <c r="A1076" s="28">
        <v>46295</v>
      </c>
      <c r="B1076" t="s">
        <v>186</v>
      </c>
      <c r="C1076" t="s">
        <v>203</v>
      </c>
      <c r="D1076" t="s">
        <v>217</v>
      </c>
      <c r="E1076">
        <f>IF(LEFT(D1076,6)="CLIENT",IFERROR(VLOOKUP(C1076,Config_Carteiras!$A:$B,2,FALSE),1),"")</f>
        <v>1</v>
      </c>
      <c r="F1076" s="25">
        <v>761</v>
      </c>
      <c r="G1076" s="28">
        <f>IF(LEFT(D1076,6)="CLIENT",IF(E1076=0,WORKDAY(A1076-1,1,Dias_Sem_Compensacao!$A$2:$A$500),WORKDAY(A1076,E1076,Dias_Sem_Compensacao!$A$2:$A$500)),"")</f>
        <v>46296</v>
      </c>
      <c r="H1076" s="25">
        <v>0</v>
      </c>
      <c r="I1076" s="28">
        <v>46295</v>
      </c>
      <c r="J1076" t="s">
        <v>1065</v>
      </c>
      <c r="K1076" t="s">
        <v>1066</v>
      </c>
    </row>
    <row r="1077" spans="1:11" hidden="1">
      <c r="A1077" s="28">
        <v>46295</v>
      </c>
      <c r="B1077" t="s">
        <v>186</v>
      </c>
      <c r="C1077" t="s">
        <v>203</v>
      </c>
      <c r="D1077" t="s">
        <v>217</v>
      </c>
      <c r="E1077">
        <f>IF(LEFT(D1077,6)="CLIENT",IFERROR(VLOOKUP(C1077,Config_Carteiras!$A:$B,2,FALSE),1),"")</f>
        <v>1</v>
      </c>
      <c r="F1077" s="25">
        <v>2591</v>
      </c>
      <c r="G1077" s="28">
        <f>IF(LEFT(D1077,6)="CLIENT",IF(E1077=0,WORKDAY(A1077-1,1,Dias_Sem_Compensacao!$A$2:$A$500),WORKDAY(A1077,E1077,Dias_Sem_Compensacao!$A$2:$A$500)),"")</f>
        <v>46296</v>
      </c>
      <c r="H1077" s="25">
        <v>0</v>
      </c>
      <c r="I1077" s="28">
        <v>46295</v>
      </c>
      <c r="J1077" t="s">
        <v>918</v>
      </c>
      <c r="K1077" t="s">
        <v>1405</v>
      </c>
    </row>
    <row r="1078" spans="1:11" hidden="1">
      <c r="A1078" s="28">
        <v>46295</v>
      </c>
      <c r="B1078" t="s">
        <v>186</v>
      </c>
      <c r="C1078" t="s">
        <v>203</v>
      </c>
      <c r="D1078" t="s">
        <v>217</v>
      </c>
      <c r="E1078">
        <f>IF(LEFT(D1078,6)="CLIENT",IFERROR(VLOOKUP(C1078,Config_Carteiras!$A:$B,2,FALSE),1),"")</f>
        <v>1</v>
      </c>
      <c r="F1078" s="25">
        <v>18240</v>
      </c>
      <c r="G1078" s="28">
        <f>IF(LEFT(D1078,6)="CLIENT",IF(E1078=0,WORKDAY(A1078-1,1,Dias_Sem_Compensacao!$A$2:$A$500),WORKDAY(A1078,E1078,Dias_Sem_Compensacao!$A$2:$A$500)),"")</f>
        <v>46296</v>
      </c>
      <c r="H1078" s="25">
        <v>0</v>
      </c>
      <c r="I1078" s="28">
        <v>46295</v>
      </c>
      <c r="J1078" t="s">
        <v>1406</v>
      </c>
      <c r="K1078" t="s">
        <v>1407</v>
      </c>
    </row>
    <row r="1079" spans="1:11" hidden="1">
      <c r="A1079" s="28">
        <v>46295</v>
      </c>
      <c r="B1079" t="s">
        <v>186</v>
      </c>
      <c r="C1079" t="s">
        <v>203</v>
      </c>
      <c r="D1079" t="s">
        <v>217</v>
      </c>
      <c r="E1079">
        <f>IF(LEFT(D1079,6)="CLIENT",IFERROR(VLOOKUP(C1079,Config_Carteiras!$A:$B,2,FALSE),1),"")</f>
        <v>1</v>
      </c>
      <c r="F1079" s="25">
        <v>429</v>
      </c>
      <c r="G1079" s="28">
        <f>IF(LEFT(D1079,6)="CLIENT",IF(E1079=0,WORKDAY(A1079-1,1,Dias_Sem_Compensacao!$A$2:$A$500),WORKDAY(A1079,E1079,Dias_Sem_Compensacao!$A$2:$A$500)),"")</f>
        <v>46296</v>
      </c>
      <c r="H1079" s="25">
        <v>0</v>
      </c>
      <c r="I1079" s="28">
        <v>46295</v>
      </c>
      <c r="J1079" t="s">
        <v>984</v>
      </c>
      <c r="K1079" t="s">
        <v>1408</v>
      </c>
    </row>
    <row r="1080" spans="1:11" hidden="1">
      <c r="A1080" s="28">
        <v>46295</v>
      </c>
      <c r="B1080" t="s">
        <v>186</v>
      </c>
      <c r="C1080" t="s">
        <v>203</v>
      </c>
      <c r="D1080" t="s">
        <v>217</v>
      </c>
      <c r="E1080">
        <f>IF(LEFT(D1080,6)="CLIENT",IFERROR(VLOOKUP(C1080,Config_Carteiras!$A:$B,2,FALSE),1),"")</f>
        <v>1</v>
      </c>
      <c r="F1080" s="25">
        <v>437</v>
      </c>
      <c r="G1080" s="28">
        <f>IF(LEFT(D1080,6)="CLIENT",IF(E1080=0,WORKDAY(A1080-1,1,Dias_Sem_Compensacao!$A$2:$A$500),WORKDAY(A1080,E1080,Dias_Sem_Compensacao!$A$2:$A$500)),"")</f>
        <v>46296</v>
      </c>
      <c r="H1080" s="25">
        <v>0</v>
      </c>
      <c r="I1080" s="28">
        <v>46295</v>
      </c>
      <c r="J1080" t="s">
        <v>98</v>
      </c>
      <c r="K1080" t="s">
        <v>1409</v>
      </c>
    </row>
    <row r="1081" spans="1:11" hidden="1">
      <c r="A1081" s="28">
        <v>46295</v>
      </c>
      <c r="B1081" t="s">
        <v>186</v>
      </c>
      <c r="C1081" t="s">
        <v>203</v>
      </c>
      <c r="D1081" t="s">
        <v>217</v>
      </c>
      <c r="E1081">
        <f>IF(LEFT(D1081,6)="CLIENT",IFERROR(VLOOKUP(C1081,Config_Carteiras!$A:$B,2,FALSE),1),"")</f>
        <v>1</v>
      </c>
      <c r="F1081" s="25">
        <v>6523</v>
      </c>
      <c r="G1081" s="28">
        <f>IF(LEFT(D1081,6)="CLIENT",IF(E1081=0,WORKDAY(A1081-1,1,Dias_Sem_Compensacao!$A$2:$A$500),WORKDAY(A1081,E1081,Dias_Sem_Compensacao!$A$2:$A$500)),"")</f>
        <v>46296</v>
      </c>
      <c r="H1081" s="25">
        <v>0</v>
      </c>
      <c r="I1081" s="28">
        <v>46295</v>
      </c>
      <c r="K1081" t="s">
        <v>1410</v>
      </c>
    </row>
    <row r="1082" spans="1:11" hidden="1">
      <c r="A1082" s="28">
        <v>46295</v>
      </c>
      <c r="B1082" t="s">
        <v>186</v>
      </c>
      <c r="C1082" t="s">
        <v>203</v>
      </c>
      <c r="D1082" t="s">
        <v>217</v>
      </c>
      <c r="E1082">
        <f>IF(LEFT(D1082,6)="CLIENT",IFERROR(VLOOKUP(C1082,Config_Carteiras!$A:$B,2,FALSE),1),"")</f>
        <v>1</v>
      </c>
      <c r="F1082" s="25">
        <v>456</v>
      </c>
      <c r="G1082" s="28">
        <f>IF(LEFT(D1082,6)="CLIENT",IF(E1082=0,WORKDAY(A1082-1,1,Dias_Sem_Compensacao!$A$2:$A$500),WORKDAY(A1082,E1082,Dias_Sem_Compensacao!$A$2:$A$500)),"")</f>
        <v>46296</v>
      </c>
      <c r="H1082" s="25">
        <v>0</v>
      </c>
      <c r="I1082" s="28">
        <v>46295</v>
      </c>
      <c r="K1082" t="s">
        <v>1411</v>
      </c>
    </row>
    <row r="1083" spans="1:11" hidden="1">
      <c r="A1083" s="28">
        <v>46295</v>
      </c>
      <c r="B1083" t="s">
        <v>186</v>
      </c>
      <c r="C1083" t="s">
        <v>203</v>
      </c>
      <c r="D1083" t="s">
        <v>217</v>
      </c>
      <c r="E1083">
        <f>IF(LEFT(D1083,6)="CLIENT",IFERROR(VLOOKUP(C1083,Config_Carteiras!$A:$B,2,FALSE),1),"")</f>
        <v>1</v>
      </c>
      <c r="F1083" s="25">
        <v>606</v>
      </c>
      <c r="G1083" s="28">
        <f>IF(LEFT(D1083,6)="CLIENT",IF(E1083=0,WORKDAY(A1083-1,1,Dias_Sem_Compensacao!$A$2:$A$500),WORKDAY(A1083,E1083,Dias_Sem_Compensacao!$A$2:$A$500)),"")</f>
        <v>46296</v>
      </c>
      <c r="H1083" s="25">
        <v>0</v>
      </c>
      <c r="I1083" s="28">
        <v>46295</v>
      </c>
      <c r="J1083" t="s">
        <v>1412</v>
      </c>
      <c r="K1083" t="s">
        <v>1413</v>
      </c>
    </row>
    <row r="1084" spans="1:11" hidden="1">
      <c r="A1084" s="28">
        <v>46295</v>
      </c>
      <c r="B1084" t="s">
        <v>186</v>
      </c>
      <c r="C1084" t="s">
        <v>203</v>
      </c>
      <c r="D1084" t="s">
        <v>217</v>
      </c>
      <c r="E1084">
        <f>IF(LEFT(D1084,6)="CLIENT",IFERROR(VLOOKUP(C1084,Config_Carteiras!$A:$B,2,FALSE),1),"")</f>
        <v>1</v>
      </c>
      <c r="F1084" s="25">
        <v>2891</v>
      </c>
      <c r="G1084" s="28">
        <f>IF(LEFT(D1084,6)="CLIENT",IF(E1084=0,WORKDAY(A1084-1,1,Dias_Sem_Compensacao!$A$2:$A$500),WORKDAY(A1084,E1084,Dias_Sem_Compensacao!$A$2:$A$500)),"")</f>
        <v>46296</v>
      </c>
      <c r="H1084" s="25">
        <v>0</v>
      </c>
      <c r="I1084" s="28">
        <v>46295</v>
      </c>
      <c r="J1084" t="s">
        <v>1414</v>
      </c>
      <c r="K1084" t="s">
        <v>1415</v>
      </c>
    </row>
    <row r="1085" spans="1:11" hidden="1">
      <c r="A1085" s="28">
        <v>46295</v>
      </c>
      <c r="B1085" t="s">
        <v>186</v>
      </c>
      <c r="C1085" t="s">
        <v>203</v>
      </c>
      <c r="D1085" t="s">
        <v>217</v>
      </c>
      <c r="E1085">
        <f>IF(LEFT(D1085,6)="CLIENT",IFERROR(VLOOKUP(C1085,Config_Carteiras!$A:$B,2,FALSE),1),"")</f>
        <v>1</v>
      </c>
      <c r="F1085" s="25">
        <v>662</v>
      </c>
      <c r="G1085" s="28">
        <f>IF(LEFT(D1085,6)="CLIENT",IF(E1085=0,WORKDAY(A1085-1,1,Dias_Sem_Compensacao!$A$2:$A$500),WORKDAY(A1085,E1085,Dias_Sem_Compensacao!$A$2:$A$500)),"")</f>
        <v>46296</v>
      </c>
      <c r="H1085" s="25">
        <v>0</v>
      </c>
      <c r="I1085" s="28">
        <v>46295</v>
      </c>
      <c r="J1085" t="s">
        <v>1416</v>
      </c>
      <c r="K1085" t="s">
        <v>1417</v>
      </c>
    </row>
    <row r="1086" spans="1:11" hidden="1">
      <c r="A1086" s="28">
        <v>46295</v>
      </c>
      <c r="B1086" t="s">
        <v>186</v>
      </c>
      <c r="C1086" t="s">
        <v>203</v>
      </c>
      <c r="D1086" t="s">
        <v>217</v>
      </c>
      <c r="E1086">
        <f>IF(LEFT(D1086,6)="CLIENT",IFERROR(VLOOKUP(C1086,Config_Carteiras!$A:$B,2,FALSE),1),"")</f>
        <v>1</v>
      </c>
      <c r="F1086" s="25">
        <v>168.75</v>
      </c>
      <c r="G1086" s="28">
        <f>IF(LEFT(D1086,6)="CLIENT",IF(E1086=0,WORKDAY(A1086-1,1,Dias_Sem_Compensacao!$A$2:$A$500),WORKDAY(A1086,E1086,Dias_Sem_Compensacao!$A$2:$A$500)),"")</f>
        <v>46296</v>
      </c>
      <c r="H1086" s="25">
        <v>0</v>
      </c>
      <c r="I1086" s="28">
        <v>46295</v>
      </c>
      <c r="J1086" t="s">
        <v>106</v>
      </c>
      <c r="K1086" t="s">
        <v>1418</v>
      </c>
    </row>
    <row r="1087" spans="1:11" hidden="1">
      <c r="A1087" s="28">
        <v>46295</v>
      </c>
      <c r="B1087" t="s">
        <v>186</v>
      </c>
      <c r="C1087" t="s">
        <v>203</v>
      </c>
      <c r="D1087" t="s">
        <v>217</v>
      </c>
      <c r="E1087">
        <f>IF(LEFT(D1087,6)="CLIENT",IFERROR(VLOOKUP(C1087,Config_Carteiras!$A:$B,2,FALSE),1),"")</f>
        <v>1</v>
      </c>
      <c r="F1087" s="25">
        <v>499</v>
      </c>
      <c r="G1087" s="28">
        <f>IF(LEFT(D1087,6)="CLIENT",IF(E1087=0,WORKDAY(A1087-1,1,Dias_Sem_Compensacao!$A$2:$A$500),WORKDAY(A1087,E1087,Dias_Sem_Compensacao!$A$2:$A$500)),"")</f>
        <v>46296</v>
      </c>
      <c r="H1087" s="25">
        <v>0</v>
      </c>
      <c r="I1087" s="28">
        <v>46295</v>
      </c>
      <c r="J1087" t="s">
        <v>1076</v>
      </c>
      <c r="K1087" t="s">
        <v>1419</v>
      </c>
    </row>
    <row r="1088" spans="1:11" hidden="1">
      <c r="A1088" s="28">
        <v>46295</v>
      </c>
      <c r="B1088" t="s">
        <v>186</v>
      </c>
      <c r="C1088" t="s">
        <v>203</v>
      </c>
      <c r="D1088" t="s">
        <v>217</v>
      </c>
      <c r="E1088">
        <f>IF(LEFT(D1088,6)="CLIENT",IFERROR(VLOOKUP(C1088,Config_Carteiras!$A:$B,2,FALSE),1),"")</f>
        <v>1</v>
      </c>
      <c r="F1088" s="25">
        <v>1191</v>
      </c>
      <c r="G1088" s="28">
        <f>IF(LEFT(D1088,6)="CLIENT",IF(E1088=0,WORKDAY(A1088-1,1,Dias_Sem_Compensacao!$A$2:$A$500),WORKDAY(A1088,E1088,Dias_Sem_Compensacao!$A$2:$A$500)),"")</f>
        <v>46296</v>
      </c>
      <c r="H1088" s="25">
        <v>0</v>
      </c>
      <c r="I1088" s="28">
        <v>46295</v>
      </c>
      <c r="J1088" t="s">
        <v>1420</v>
      </c>
      <c r="K1088" t="s">
        <v>1421</v>
      </c>
    </row>
    <row r="1089" spans="1:11" hidden="1">
      <c r="A1089" s="28">
        <v>46295</v>
      </c>
      <c r="B1089" t="s">
        <v>186</v>
      </c>
      <c r="C1089" t="s">
        <v>203</v>
      </c>
      <c r="D1089" t="s">
        <v>217</v>
      </c>
      <c r="E1089">
        <f>IF(LEFT(D1089,6)="CLIENT",IFERROR(VLOOKUP(C1089,Config_Carteiras!$A:$B,2,FALSE),1),"")</f>
        <v>1</v>
      </c>
      <c r="F1089" s="25">
        <v>1317.33</v>
      </c>
      <c r="G1089" s="28">
        <f>IF(LEFT(D1089,6)="CLIENT",IF(E1089=0,WORKDAY(A1089-1,1,Dias_Sem_Compensacao!$A$2:$A$500),WORKDAY(A1089,E1089,Dias_Sem_Compensacao!$A$2:$A$500)),"")</f>
        <v>46296</v>
      </c>
      <c r="H1089" s="25">
        <v>0</v>
      </c>
      <c r="I1089" s="28">
        <v>46295</v>
      </c>
      <c r="J1089" t="s">
        <v>1422</v>
      </c>
      <c r="K1089" t="s">
        <v>1423</v>
      </c>
    </row>
    <row r="1090" spans="1:11" hidden="1">
      <c r="A1090" s="28">
        <v>46295</v>
      </c>
      <c r="B1090" t="s">
        <v>186</v>
      </c>
      <c r="C1090" t="s">
        <v>203</v>
      </c>
      <c r="D1090" t="s">
        <v>217</v>
      </c>
      <c r="E1090">
        <f>IF(LEFT(D1090,6)="CLIENT",IFERROR(VLOOKUP(C1090,Config_Carteiras!$A:$B,2,FALSE),1),"")</f>
        <v>1</v>
      </c>
      <c r="F1090" s="25">
        <v>3246</v>
      </c>
      <c r="G1090" s="28">
        <f>IF(LEFT(D1090,6)="CLIENT",IF(E1090=0,WORKDAY(A1090-1,1,Dias_Sem_Compensacao!$A$2:$A$500),WORKDAY(A1090,E1090,Dias_Sem_Compensacao!$A$2:$A$500)),"")</f>
        <v>46296</v>
      </c>
      <c r="H1090" s="25">
        <v>0</v>
      </c>
      <c r="I1090" s="28">
        <v>46295</v>
      </c>
      <c r="J1090" t="s">
        <v>1424</v>
      </c>
      <c r="K1090" t="s">
        <v>1425</v>
      </c>
    </row>
    <row r="1091" spans="1:11" hidden="1">
      <c r="A1091" s="28">
        <v>46295</v>
      </c>
      <c r="B1091" t="s">
        <v>186</v>
      </c>
      <c r="C1091" t="s">
        <v>203</v>
      </c>
      <c r="D1091" t="s">
        <v>217</v>
      </c>
      <c r="E1091">
        <f>IF(LEFT(D1091,6)="CLIENT",IFERROR(VLOOKUP(C1091,Config_Carteiras!$A:$B,2,FALSE),1),"")</f>
        <v>1</v>
      </c>
      <c r="F1091" s="25">
        <v>578</v>
      </c>
      <c r="G1091" s="28">
        <f>IF(LEFT(D1091,6)="CLIENT",IF(E1091=0,WORKDAY(A1091-1,1,Dias_Sem_Compensacao!$A$2:$A$500),WORKDAY(A1091,E1091,Dias_Sem_Compensacao!$A$2:$A$500)),"")</f>
        <v>46296</v>
      </c>
      <c r="H1091" s="25">
        <v>0</v>
      </c>
      <c r="I1091" s="28">
        <v>46295</v>
      </c>
      <c r="J1091" t="s">
        <v>1426</v>
      </c>
      <c r="K1091" t="s">
        <v>1427</v>
      </c>
    </row>
    <row r="1092" spans="1:11" hidden="1">
      <c r="A1092" s="28">
        <v>46296</v>
      </c>
      <c r="B1092" t="s">
        <v>186</v>
      </c>
      <c r="C1092" t="s">
        <v>203</v>
      </c>
      <c r="D1092" t="s">
        <v>217</v>
      </c>
      <c r="E1092">
        <f>IF(LEFT(D1092,6)="CLIENT",IFERROR(VLOOKUP(C1092,Config_Carteiras!$A:$B,2,FALSE),1),"")</f>
        <v>1</v>
      </c>
      <c r="F1092" s="25">
        <v>1642.44</v>
      </c>
      <c r="G1092" s="28">
        <f>IF(LEFT(D1092,6)="CLIENT",IF(E1092=0,WORKDAY(A1092-1,1,Dias_Sem_Compensacao!$A$2:$A$500),WORKDAY(A1092,E1092,Dias_Sem_Compensacao!$A$2:$A$500)),"")</f>
        <v>46297</v>
      </c>
      <c r="H1092" s="25">
        <v>0</v>
      </c>
      <c r="I1092" s="28">
        <v>46296</v>
      </c>
      <c r="J1092" t="s">
        <v>1428</v>
      </c>
      <c r="K1092" t="s">
        <v>1429</v>
      </c>
    </row>
    <row r="1093" spans="1:11" hidden="1">
      <c r="A1093" s="28">
        <v>46296</v>
      </c>
      <c r="B1093" t="s">
        <v>186</v>
      </c>
      <c r="C1093" t="s">
        <v>203</v>
      </c>
      <c r="D1093" t="s">
        <v>217</v>
      </c>
      <c r="E1093">
        <f>IF(LEFT(D1093,6)="CLIENT",IFERROR(VLOOKUP(C1093,Config_Carteiras!$A:$B,2,FALSE),1),"")</f>
        <v>1</v>
      </c>
      <c r="F1093" s="25">
        <v>965</v>
      </c>
      <c r="G1093" s="28">
        <f>IF(LEFT(D1093,6)="CLIENT",IF(E1093=0,WORKDAY(A1093-1,1,Dias_Sem_Compensacao!$A$2:$A$500),WORKDAY(A1093,E1093,Dias_Sem_Compensacao!$A$2:$A$500)),"")</f>
        <v>46297</v>
      </c>
      <c r="H1093" s="25">
        <v>0</v>
      </c>
      <c r="I1093" s="28">
        <v>46296</v>
      </c>
      <c r="J1093" t="s">
        <v>1430</v>
      </c>
      <c r="K1093" t="s">
        <v>1431</v>
      </c>
    </row>
    <row r="1094" spans="1:11" hidden="1">
      <c r="A1094" s="28">
        <v>46296</v>
      </c>
      <c r="B1094" t="s">
        <v>186</v>
      </c>
      <c r="C1094" t="s">
        <v>203</v>
      </c>
      <c r="D1094" t="s">
        <v>217</v>
      </c>
      <c r="E1094">
        <f>IF(LEFT(D1094,6)="CLIENT",IFERROR(VLOOKUP(C1094,Config_Carteiras!$A:$B,2,FALSE),1),"")</f>
        <v>1</v>
      </c>
      <c r="F1094" s="25">
        <v>827.65</v>
      </c>
      <c r="G1094" s="28">
        <f>IF(LEFT(D1094,6)="CLIENT",IF(E1094=0,WORKDAY(A1094-1,1,Dias_Sem_Compensacao!$A$2:$A$500),WORKDAY(A1094,E1094,Dias_Sem_Compensacao!$A$2:$A$500)),"")</f>
        <v>46297</v>
      </c>
      <c r="H1094" s="25">
        <v>0</v>
      </c>
      <c r="I1094" s="28">
        <v>46296</v>
      </c>
      <c r="J1094" t="s">
        <v>1432</v>
      </c>
      <c r="K1094" t="s">
        <v>1433</v>
      </c>
    </row>
    <row r="1095" spans="1:11" hidden="1">
      <c r="A1095" s="28">
        <v>46296</v>
      </c>
      <c r="B1095" t="s">
        <v>186</v>
      </c>
      <c r="C1095" t="s">
        <v>203</v>
      </c>
      <c r="D1095" t="s">
        <v>217</v>
      </c>
      <c r="E1095">
        <f>IF(LEFT(D1095,6)="CLIENT",IFERROR(VLOOKUP(C1095,Config_Carteiras!$A:$B,2,FALSE),1),"")</f>
        <v>1</v>
      </c>
      <c r="F1095" s="25">
        <v>440</v>
      </c>
      <c r="G1095" s="28">
        <f>IF(LEFT(D1095,6)="CLIENT",IF(E1095=0,WORKDAY(A1095-1,1,Dias_Sem_Compensacao!$A$2:$A$500),WORKDAY(A1095,E1095,Dias_Sem_Compensacao!$A$2:$A$500)),"")</f>
        <v>46297</v>
      </c>
      <c r="H1095" s="25">
        <v>0</v>
      </c>
      <c r="I1095" s="28">
        <v>46296</v>
      </c>
      <c r="J1095" t="s">
        <v>1298</v>
      </c>
      <c r="K1095" t="s">
        <v>1434</v>
      </c>
    </row>
    <row r="1096" spans="1:11" hidden="1">
      <c r="A1096" s="28">
        <v>46296</v>
      </c>
      <c r="B1096" t="s">
        <v>186</v>
      </c>
      <c r="C1096" t="s">
        <v>203</v>
      </c>
      <c r="D1096" t="s">
        <v>217</v>
      </c>
      <c r="E1096">
        <f>IF(LEFT(D1096,6)="CLIENT",IFERROR(VLOOKUP(C1096,Config_Carteiras!$A:$B,2,FALSE),1),"")</f>
        <v>1</v>
      </c>
      <c r="F1096" s="25">
        <v>1317</v>
      </c>
      <c r="G1096" s="28">
        <f>IF(LEFT(D1096,6)="CLIENT",IF(E1096=0,WORKDAY(A1096-1,1,Dias_Sem_Compensacao!$A$2:$A$500),WORKDAY(A1096,E1096,Dias_Sem_Compensacao!$A$2:$A$500)),"")</f>
        <v>46297</v>
      </c>
      <c r="H1096" s="25">
        <v>0</v>
      </c>
      <c r="I1096" s="28">
        <v>46296</v>
      </c>
      <c r="J1096" t="s">
        <v>1435</v>
      </c>
      <c r="K1096" t="s">
        <v>1436</v>
      </c>
    </row>
    <row r="1097" spans="1:11" hidden="1">
      <c r="A1097" s="28">
        <v>46296</v>
      </c>
      <c r="B1097" t="s">
        <v>186</v>
      </c>
      <c r="C1097" t="s">
        <v>203</v>
      </c>
      <c r="D1097" t="s">
        <v>217</v>
      </c>
      <c r="E1097">
        <f>IF(LEFT(D1097,6)="CLIENT",IFERROR(VLOOKUP(C1097,Config_Carteiras!$A:$B,2,FALSE),1),"")</f>
        <v>1</v>
      </c>
      <c r="F1097" s="25">
        <v>1207</v>
      </c>
      <c r="G1097" s="28">
        <f>IF(LEFT(D1097,6)="CLIENT",IF(E1097=0,WORKDAY(A1097-1,1,Dias_Sem_Compensacao!$A$2:$A$500),WORKDAY(A1097,E1097,Dias_Sem_Compensacao!$A$2:$A$500)),"")</f>
        <v>46297</v>
      </c>
      <c r="H1097" s="25">
        <v>0</v>
      </c>
      <c r="I1097" s="28">
        <v>46296</v>
      </c>
      <c r="J1097" t="s">
        <v>1437</v>
      </c>
      <c r="K1097" t="s">
        <v>1438</v>
      </c>
    </row>
    <row r="1098" spans="1:11" hidden="1">
      <c r="A1098" s="28">
        <v>46296</v>
      </c>
      <c r="B1098" t="s">
        <v>186</v>
      </c>
      <c r="C1098" t="s">
        <v>203</v>
      </c>
      <c r="D1098" t="s">
        <v>217</v>
      </c>
      <c r="E1098">
        <f>IF(LEFT(D1098,6)="CLIENT",IFERROR(VLOOKUP(C1098,Config_Carteiras!$A:$B,2,FALSE),1),"")</f>
        <v>1</v>
      </c>
      <c r="F1098" s="25">
        <v>2678</v>
      </c>
      <c r="G1098" s="28">
        <f>IF(LEFT(D1098,6)="CLIENT",IF(E1098=0,WORKDAY(A1098-1,1,Dias_Sem_Compensacao!$A$2:$A$500),WORKDAY(A1098,E1098,Dias_Sem_Compensacao!$A$2:$A$500)),"")</f>
        <v>46297</v>
      </c>
      <c r="H1098" s="25">
        <v>0</v>
      </c>
      <c r="I1098" s="28">
        <v>46296</v>
      </c>
      <c r="J1098" t="s">
        <v>1439</v>
      </c>
      <c r="K1098" t="s">
        <v>1440</v>
      </c>
    </row>
    <row r="1099" spans="1:11" hidden="1">
      <c r="A1099" s="28">
        <v>46296</v>
      </c>
      <c r="B1099" t="s">
        <v>186</v>
      </c>
      <c r="C1099" t="s">
        <v>203</v>
      </c>
      <c r="D1099" t="s">
        <v>217</v>
      </c>
      <c r="E1099">
        <f>IF(LEFT(D1099,6)="CLIENT",IFERROR(VLOOKUP(C1099,Config_Carteiras!$A:$B,2,FALSE),1),"")</f>
        <v>1</v>
      </c>
      <c r="F1099" s="25">
        <v>763.72</v>
      </c>
      <c r="G1099" s="28">
        <f>IF(LEFT(D1099,6)="CLIENT",IF(E1099=0,WORKDAY(A1099-1,1,Dias_Sem_Compensacao!$A$2:$A$500),WORKDAY(A1099,E1099,Dias_Sem_Compensacao!$A$2:$A$500)),"")</f>
        <v>46297</v>
      </c>
      <c r="H1099" s="25">
        <v>0</v>
      </c>
      <c r="I1099" s="28">
        <v>46296</v>
      </c>
      <c r="J1099" t="s">
        <v>1441</v>
      </c>
      <c r="K1099" t="s">
        <v>1442</v>
      </c>
    </row>
    <row r="1100" spans="1:11" hidden="1">
      <c r="A1100" s="28">
        <v>46296</v>
      </c>
      <c r="B1100" t="s">
        <v>186</v>
      </c>
      <c r="C1100" t="s">
        <v>203</v>
      </c>
      <c r="D1100" t="s">
        <v>217</v>
      </c>
      <c r="E1100">
        <f>IF(LEFT(D1100,6)="CLIENT",IFERROR(VLOOKUP(C1100,Config_Carteiras!$A:$B,2,FALSE),1),"")</f>
        <v>1</v>
      </c>
      <c r="F1100" s="25">
        <v>517.23</v>
      </c>
      <c r="G1100" s="28">
        <f>IF(LEFT(D1100,6)="CLIENT",IF(E1100=0,WORKDAY(A1100-1,1,Dias_Sem_Compensacao!$A$2:$A$500),WORKDAY(A1100,E1100,Dias_Sem_Compensacao!$A$2:$A$500)),"")</f>
        <v>46297</v>
      </c>
      <c r="H1100" s="25">
        <v>0</v>
      </c>
      <c r="I1100" s="28">
        <v>46296</v>
      </c>
      <c r="J1100" t="s">
        <v>1443</v>
      </c>
      <c r="K1100" t="s">
        <v>1444</v>
      </c>
    </row>
    <row r="1101" spans="1:11" hidden="1">
      <c r="A1101" s="28">
        <v>46296</v>
      </c>
      <c r="B1101" t="s">
        <v>186</v>
      </c>
      <c r="C1101" t="s">
        <v>203</v>
      </c>
      <c r="D1101" t="s">
        <v>217</v>
      </c>
      <c r="E1101">
        <f>IF(LEFT(D1101,6)="CLIENT",IFERROR(VLOOKUP(C1101,Config_Carteiras!$A:$B,2,FALSE),1),"")</f>
        <v>1</v>
      </c>
      <c r="F1101" s="25">
        <v>677.86</v>
      </c>
      <c r="G1101" s="28">
        <f>IF(LEFT(D1101,6)="CLIENT",IF(E1101=0,WORKDAY(A1101-1,1,Dias_Sem_Compensacao!$A$2:$A$500),WORKDAY(A1101,E1101,Dias_Sem_Compensacao!$A$2:$A$500)),"")</f>
        <v>46297</v>
      </c>
      <c r="H1101" s="25">
        <v>0</v>
      </c>
      <c r="I1101" s="28">
        <v>46296</v>
      </c>
      <c r="J1101" t="s">
        <v>1445</v>
      </c>
      <c r="K1101" t="s">
        <v>1446</v>
      </c>
    </row>
    <row r="1102" spans="1:11" hidden="1">
      <c r="A1102" s="28">
        <v>46296</v>
      </c>
      <c r="B1102" t="s">
        <v>186</v>
      </c>
      <c r="C1102" t="s">
        <v>203</v>
      </c>
      <c r="D1102" t="s">
        <v>217</v>
      </c>
      <c r="E1102">
        <f>IF(LEFT(D1102,6)="CLIENT",IFERROR(VLOOKUP(C1102,Config_Carteiras!$A:$B,2,FALSE),1),"")</f>
        <v>1</v>
      </c>
      <c r="F1102" s="25">
        <v>1443</v>
      </c>
      <c r="G1102" s="28">
        <f>IF(LEFT(D1102,6)="CLIENT",IF(E1102=0,WORKDAY(A1102-1,1,Dias_Sem_Compensacao!$A$2:$A$500),WORKDAY(A1102,E1102,Dias_Sem_Compensacao!$A$2:$A$500)),"")</f>
        <v>46297</v>
      </c>
      <c r="H1102" s="25">
        <v>0</v>
      </c>
      <c r="I1102" s="28">
        <v>46296</v>
      </c>
      <c r="J1102" t="s">
        <v>1447</v>
      </c>
      <c r="K1102" t="s">
        <v>1448</v>
      </c>
    </row>
    <row r="1103" spans="1:11" hidden="1">
      <c r="A1103" s="28">
        <v>46296</v>
      </c>
      <c r="B1103" t="s">
        <v>186</v>
      </c>
      <c r="C1103" t="s">
        <v>203</v>
      </c>
      <c r="D1103" t="s">
        <v>217</v>
      </c>
      <c r="E1103">
        <f>IF(LEFT(D1103,6)="CLIENT",IFERROR(VLOOKUP(C1103,Config_Carteiras!$A:$B,2,FALSE),1),"")</f>
        <v>1</v>
      </c>
      <c r="F1103" s="25">
        <v>1693</v>
      </c>
      <c r="G1103" s="28">
        <f>IF(LEFT(D1103,6)="CLIENT",IF(E1103=0,WORKDAY(A1103-1,1,Dias_Sem_Compensacao!$A$2:$A$500),WORKDAY(A1103,E1103,Dias_Sem_Compensacao!$A$2:$A$500)),"")</f>
        <v>46297</v>
      </c>
      <c r="H1103" s="25">
        <v>0</v>
      </c>
      <c r="I1103" s="28">
        <v>46296</v>
      </c>
      <c r="J1103" t="s">
        <v>1449</v>
      </c>
      <c r="K1103" t="s">
        <v>1450</v>
      </c>
    </row>
    <row r="1104" spans="1:11" hidden="1">
      <c r="A1104" s="28">
        <v>46296</v>
      </c>
      <c r="B1104" t="s">
        <v>186</v>
      </c>
      <c r="C1104" t="s">
        <v>203</v>
      </c>
      <c r="D1104" t="s">
        <v>217</v>
      </c>
      <c r="E1104">
        <f>IF(LEFT(D1104,6)="CLIENT",IFERROR(VLOOKUP(C1104,Config_Carteiras!$A:$B,2,FALSE),1),"")</f>
        <v>1</v>
      </c>
      <c r="F1104" s="25">
        <v>878</v>
      </c>
      <c r="G1104" s="28">
        <f>IF(LEFT(D1104,6)="CLIENT",IF(E1104=0,WORKDAY(A1104-1,1,Dias_Sem_Compensacao!$A$2:$A$500),WORKDAY(A1104,E1104,Dias_Sem_Compensacao!$A$2:$A$500)),"")</f>
        <v>46297</v>
      </c>
      <c r="H1104" s="25">
        <v>0</v>
      </c>
      <c r="I1104" s="28">
        <v>46296</v>
      </c>
      <c r="J1104" t="s">
        <v>1451</v>
      </c>
      <c r="K1104" t="s">
        <v>1452</v>
      </c>
    </row>
    <row r="1105" spans="1:11" hidden="1">
      <c r="A1105" s="28">
        <v>46296</v>
      </c>
      <c r="B1105" t="s">
        <v>186</v>
      </c>
      <c r="C1105" t="s">
        <v>203</v>
      </c>
      <c r="D1105" t="s">
        <v>217</v>
      </c>
      <c r="E1105">
        <f>IF(LEFT(D1105,6)="CLIENT",IFERROR(VLOOKUP(C1105,Config_Carteiras!$A:$B,2,FALSE),1),"")</f>
        <v>1</v>
      </c>
      <c r="F1105" s="25">
        <v>1361.74</v>
      </c>
      <c r="G1105" s="28">
        <f>IF(LEFT(D1105,6)="CLIENT",IF(E1105=0,WORKDAY(A1105-1,1,Dias_Sem_Compensacao!$A$2:$A$500),WORKDAY(A1105,E1105,Dias_Sem_Compensacao!$A$2:$A$500)),"")</f>
        <v>46297</v>
      </c>
      <c r="H1105" s="25">
        <v>0</v>
      </c>
      <c r="I1105" s="28">
        <v>46296</v>
      </c>
      <c r="J1105" t="s">
        <v>1453</v>
      </c>
      <c r="K1105" t="s">
        <v>1454</v>
      </c>
    </row>
    <row r="1106" spans="1:11" hidden="1">
      <c r="A1106" s="28">
        <v>46296</v>
      </c>
      <c r="B1106" t="s">
        <v>186</v>
      </c>
      <c r="C1106" t="s">
        <v>203</v>
      </c>
      <c r="D1106" t="s">
        <v>217</v>
      </c>
      <c r="E1106">
        <f>IF(LEFT(D1106,6)="CLIENT",IFERROR(VLOOKUP(C1106,Config_Carteiras!$A:$B,2,FALSE),1),"")</f>
        <v>1</v>
      </c>
      <c r="F1106" s="25">
        <v>2193</v>
      </c>
      <c r="G1106" s="28">
        <f>IF(LEFT(D1106,6)="CLIENT",IF(E1106=0,WORKDAY(A1106-1,1,Dias_Sem_Compensacao!$A$2:$A$500),WORKDAY(A1106,E1106,Dias_Sem_Compensacao!$A$2:$A$500)),"")</f>
        <v>46297</v>
      </c>
      <c r="H1106" s="25">
        <v>0</v>
      </c>
      <c r="I1106" s="28">
        <v>46296</v>
      </c>
      <c r="J1106" t="s">
        <v>1455</v>
      </c>
      <c r="K1106" t="s">
        <v>1456</v>
      </c>
    </row>
    <row r="1107" spans="1:11" hidden="1">
      <c r="A1107" s="28">
        <v>46296</v>
      </c>
      <c r="B1107" t="s">
        <v>186</v>
      </c>
      <c r="C1107" t="s">
        <v>203</v>
      </c>
      <c r="D1107" t="s">
        <v>217</v>
      </c>
      <c r="E1107">
        <f>IF(LEFT(D1107,6)="CLIENT",IFERROR(VLOOKUP(C1107,Config_Carteiras!$A:$B,2,FALSE),1),"")</f>
        <v>1</v>
      </c>
      <c r="F1107" s="25">
        <v>900.42</v>
      </c>
      <c r="G1107" s="28">
        <f>IF(LEFT(D1107,6)="CLIENT",IF(E1107=0,WORKDAY(A1107-1,1,Dias_Sem_Compensacao!$A$2:$A$500),WORKDAY(A1107,E1107,Dias_Sem_Compensacao!$A$2:$A$500)),"")</f>
        <v>46297</v>
      </c>
      <c r="H1107" s="25">
        <v>0</v>
      </c>
      <c r="I1107" s="28">
        <v>46296</v>
      </c>
      <c r="J1107" t="s">
        <v>1457</v>
      </c>
      <c r="K1107" t="s">
        <v>1458</v>
      </c>
    </row>
    <row r="1108" spans="1:11" hidden="1">
      <c r="A1108" s="28">
        <v>46296</v>
      </c>
      <c r="B1108" t="s">
        <v>186</v>
      </c>
      <c r="C1108" t="s">
        <v>203</v>
      </c>
      <c r="D1108" t="s">
        <v>217</v>
      </c>
      <c r="E1108">
        <f>IF(LEFT(D1108,6)="CLIENT",IFERROR(VLOOKUP(C1108,Config_Carteiras!$A:$B,2,FALSE),1),"")</f>
        <v>1</v>
      </c>
      <c r="F1108" s="25">
        <v>982.12</v>
      </c>
      <c r="G1108" s="28">
        <f>IF(LEFT(D1108,6)="CLIENT",IF(E1108=0,WORKDAY(A1108-1,1,Dias_Sem_Compensacao!$A$2:$A$500),WORKDAY(A1108,E1108,Dias_Sem_Compensacao!$A$2:$A$500)),"")</f>
        <v>46297</v>
      </c>
      <c r="H1108" s="25">
        <v>0</v>
      </c>
      <c r="I1108" s="28">
        <v>46296</v>
      </c>
      <c r="J1108" t="s">
        <v>1459</v>
      </c>
      <c r="K1108" t="s">
        <v>1460</v>
      </c>
    </row>
    <row r="1109" spans="1:11" hidden="1">
      <c r="A1109" s="28">
        <v>46296</v>
      </c>
      <c r="B1109" t="s">
        <v>186</v>
      </c>
      <c r="C1109" t="s">
        <v>203</v>
      </c>
      <c r="D1109" t="s">
        <v>217</v>
      </c>
      <c r="E1109">
        <f>IF(LEFT(D1109,6)="CLIENT",IFERROR(VLOOKUP(C1109,Config_Carteiras!$A:$B,2,FALSE),1),"")</f>
        <v>1</v>
      </c>
      <c r="F1109" s="25">
        <v>1592</v>
      </c>
      <c r="G1109" s="28">
        <f>IF(LEFT(D1109,6)="CLIENT",IF(E1109=0,WORKDAY(A1109-1,1,Dias_Sem_Compensacao!$A$2:$A$500),WORKDAY(A1109,E1109,Dias_Sem_Compensacao!$A$2:$A$500)),"")</f>
        <v>46297</v>
      </c>
      <c r="H1109" s="25">
        <v>0</v>
      </c>
      <c r="I1109" s="28">
        <v>46296</v>
      </c>
      <c r="J1109" t="s">
        <v>1461</v>
      </c>
      <c r="K1109" t="s">
        <v>1462</v>
      </c>
    </row>
    <row r="1110" spans="1:11" hidden="1">
      <c r="A1110" s="28">
        <v>46296</v>
      </c>
      <c r="B1110" t="s">
        <v>186</v>
      </c>
      <c r="C1110" t="s">
        <v>203</v>
      </c>
      <c r="D1110" t="s">
        <v>217</v>
      </c>
      <c r="E1110">
        <f>IF(LEFT(D1110,6)="CLIENT",IFERROR(VLOOKUP(C1110,Config_Carteiras!$A:$B,2,FALSE),1),"")</f>
        <v>1</v>
      </c>
      <c r="F1110" s="25">
        <v>810</v>
      </c>
      <c r="G1110" s="28">
        <f>IF(LEFT(D1110,6)="CLIENT",IF(E1110=0,WORKDAY(A1110-1,1,Dias_Sem_Compensacao!$A$2:$A$500),WORKDAY(A1110,E1110,Dias_Sem_Compensacao!$A$2:$A$500)),"")</f>
        <v>46297</v>
      </c>
      <c r="H1110" s="25">
        <v>0</v>
      </c>
      <c r="I1110" s="28">
        <v>46296</v>
      </c>
      <c r="J1110" t="s">
        <v>1463</v>
      </c>
      <c r="K1110" t="s">
        <v>1464</v>
      </c>
    </row>
    <row r="1111" spans="1:11" hidden="1">
      <c r="A1111" s="28">
        <v>46296</v>
      </c>
      <c r="B1111" t="s">
        <v>186</v>
      </c>
      <c r="C1111" t="s">
        <v>203</v>
      </c>
      <c r="D1111" t="s">
        <v>217</v>
      </c>
      <c r="E1111">
        <f>IF(LEFT(D1111,6)="CLIENT",IFERROR(VLOOKUP(C1111,Config_Carteiras!$A:$B,2,FALSE),1),"")</f>
        <v>1</v>
      </c>
      <c r="F1111" s="25">
        <v>5180</v>
      </c>
      <c r="G1111" s="28">
        <f>IF(LEFT(D1111,6)="CLIENT",IF(E1111=0,WORKDAY(A1111-1,1,Dias_Sem_Compensacao!$A$2:$A$500),WORKDAY(A1111,E1111,Dias_Sem_Compensacao!$A$2:$A$500)),"")</f>
        <v>46297</v>
      </c>
      <c r="H1111" s="25">
        <v>0</v>
      </c>
      <c r="I1111" s="28">
        <v>46296</v>
      </c>
      <c r="J1111" t="s">
        <v>1465</v>
      </c>
      <c r="K1111" t="s">
        <v>1466</v>
      </c>
    </row>
    <row r="1112" spans="1:11" hidden="1">
      <c r="A1112" s="28">
        <v>46296</v>
      </c>
      <c r="B1112" t="s">
        <v>186</v>
      </c>
      <c r="C1112" t="s">
        <v>203</v>
      </c>
      <c r="D1112" t="s">
        <v>217</v>
      </c>
      <c r="E1112">
        <f>IF(LEFT(D1112,6)="CLIENT",IFERROR(VLOOKUP(C1112,Config_Carteiras!$A:$B,2,FALSE),1),"")</f>
        <v>1</v>
      </c>
      <c r="F1112" s="25">
        <v>1640</v>
      </c>
      <c r="G1112" s="28">
        <f>IF(LEFT(D1112,6)="CLIENT",IF(E1112=0,WORKDAY(A1112-1,1,Dias_Sem_Compensacao!$A$2:$A$500),WORKDAY(A1112,E1112,Dias_Sem_Compensacao!$A$2:$A$500)),"")</f>
        <v>46297</v>
      </c>
      <c r="H1112" s="25">
        <v>0</v>
      </c>
      <c r="I1112" s="28">
        <v>46296</v>
      </c>
      <c r="J1112" t="s">
        <v>1467</v>
      </c>
      <c r="K1112" t="s">
        <v>1468</v>
      </c>
    </row>
    <row r="1113" spans="1:11" hidden="1">
      <c r="A1113" s="28">
        <v>46296</v>
      </c>
      <c r="B1113" t="s">
        <v>186</v>
      </c>
      <c r="C1113" t="s">
        <v>203</v>
      </c>
      <c r="D1113" t="s">
        <v>217</v>
      </c>
      <c r="E1113">
        <f>IF(LEFT(D1113,6)="CLIENT",IFERROR(VLOOKUP(C1113,Config_Carteiras!$A:$B,2,FALSE),1),"")</f>
        <v>1</v>
      </c>
      <c r="F1113" s="25">
        <v>561</v>
      </c>
      <c r="G1113" s="28">
        <f>IF(LEFT(D1113,6)="CLIENT",IF(E1113=0,WORKDAY(A1113-1,1,Dias_Sem_Compensacao!$A$2:$A$500),WORKDAY(A1113,E1113,Dias_Sem_Compensacao!$A$2:$A$500)),"")</f>
        <v>46297</v>
      </c>
      <c r="H1113" s="25">
        <v>0</v>
      </c>
      <c r="I1113" s="28">
        <v>46296</v>
      </c>
      <c r="J1113" t="s">
        <v>1469</v>
      </c>
      <c r="K1113" t="s">
        <v>1470</v>
      </c>
    </row>
    <row r="1114" spans="1:11" hidden="1">
      <c r="A1114" s="28">
        <v>46296</v>
      </c>
      <c r="B1114" t="s">
        <v>186</v>
      </c>
      <c r="C1114" t="s">
        <v>203</v>
      </c>
      <c r="D1114" t="s">
        <v>217</v>
      </c>
      <c r="E1114">
        <f>IF(LEFT(D1114,6)="CLIENT",IFERROR(VLOOKUP(C1114,Config_Carteiras!$A:$B,2,FALSE),1),"")</f>
        <v>1</v>
      </c>
      <c r="F1114" s="25">
        <v>423</v>
      </c>
      <c r="G1114" s="28">
        <f>IF(LEFT(D1114,6)="CLIENT",IF(E1114=0,WORKDAY(A1114-1,1,Dias_Sem_Compensacao!$A$2:$A$500),WORKDAY(A1114,E1114,Dias_Sem_Compensacao!$A$2:$A$500)),"")</f>
        <v>46297</v>
      </c>
      <c r="H1114" s="25">
        <v>0</v>
      </c>
      <c r="I1114" s="28">
        <v>46296</v>
      </c>
      <c r="J1114" t="s">
        <v>967</v>
      </c>
      <c r="K1114" t="s">
        <v>1471</v>
      </c>
    </row>
    <row r="1115" spans="1:11" hidden="1">
      <c r="A1115" s="28">
        <v>46296</v>
      </c>
      <c r="B1115" t="s">
        <v>186</v>
      </c>
      <c r="C1115" t="s">
        <v>203</v>
      </c>
      <c r="D1115" t="s">
        <v>217</v>
      </c>
      <c r="E1115">
        <f>IF(LEFT(D1115,6)="CLIENT",IFERROR(VLOOKUP(C1115,Config_Carteiras!$A:$B,2,FALSE),1),"")</f>
        <v>1</v>
      </c>
      <c r="F1115" s="25">
        <v>2105</v>
      </c>
      <c r="G1115" s="28">
        <f>IF(LEFT(D1115,6)="CLIENT",IF(E1115=0,WORKDAY(A1115-1,1,Dias_Sem_Compensacao!$A$2:$A$500),WORKDAY(A1115,E1115,Dias_Sem_Compensacao!$A$2:$A$500)),"")</f>
        <v>46297</v>
      </c>
      <c r="H1115" s="25">
        <v>0</v>
      </c>
      <c r="I1115" s="28">
        <v>46296</v>
      </c>
      <c r="J1115" t="s">
        <v>1472</v>
      </c>
      <c r="K1115" t="s">
        <v>1473</v>
      </c>
    </row>
    <row r="1116" spans="1:11" hidden="1">
      <c r="A1116" s="28">
        <v>46296</v>
      </c>
      <c r="B1116" t="s">
        <v>186</v>
      </c>
      <c r="C1116" t="s">
        <v>203</v>
      </c>
      <c r="D1116" t="s">
        <v>217</v>
      </c>
      <c r="E1116">
        <f>IF(LEFT(D1116,6)="CLIENT",IFERROR(VLOOKUP(C1116,Config_Carteiras!$A:$B,2,FALSE),1),"")</f>
        <v>1</v>
      </c>
      <c r="F1116" s="25">
        <v>569</v>
      </c>
      <c r="G1116" s="28">
        <f>IF(LEFT(D1116,6)="CLIENT",IF(E1116=0,WORKDAY(A1116-1,1,Dias_Sem_Compensacao!$A$2:$A$500),WORKDAY(A1116,E1116,Dias_Sem_Compensacao!$A$2:$A$500)),"")</f>
        <v>46297</v>
      </c>
      <c r="H1116" s="25">
        <v>0</v>
      </c>
      <c r="I1116" s="28">
        <v>46296</v>
      </c>
      <c r="J1116" t="s">
        <v>1474</v>
      </c>
      <c r="K1116" t="s">
        <v>1475</v>
      </c>
    </row>
    <row r="1117" spans="1:11" hidden="1">
      <c r="A1117" s="28">
        <v>46296</v>
      </c>
      <c r="B1117" t="s">
        <v>186</v>
      </c>
      <c r="C1117" t="s">
        <v>203</v>
      </c>
      <c r="D1117" t="s">
        <v>217</v>
      </c>
      <c r="E1117">
        <f>IF(LEFT(D1117,6)="CLIENT",IFERROR(VLOOKUP(C1117,Config_Carteiras!$A:$B,2,FALSE),1),"")</f>
        <v>1</v>
      </c>
      <c r="F1117" s="25">
        <v>1115</v>
      </c>
      <c r="G1117" s="28">
        <f>IF(LEFT(D1117,6)="CLIENT",IF(E1117=0,WORKDAY(A1117-1,1,Dias_Sem_Compensacao!$A$2:$A$500),WORKDAY(A1117,E1117,Dias_Sem_Compensacao!$A$2:$A$500)),"")</f>
        <v>46297</v>
      </c>
      <c r="H1117" s="25">
        <v>0</v>
      </c>
      <c r="I1117" s="28">
        <v>46296</v>
      </c>
      <c r="J1117" t="s">
        <v>1476</v>
      </c>
      <c r="K1117" t="s">
        <v>1477</v>
      </c>
    </row>
    <row r="1118" spans="1:11" hidden="1">
      <c r="A1118" s="28">
        <v>46296</v>
      </c>
      <c r="B1118" t="s">
        <v>186</v>
      </c>
      <c r="C1118" t="s">
        <v>203</v>
      </c>
      <c r="D1118" t="s">
        <v>217</v>
      </c>
      <c r="E1118">
        <f>IF(LEFT(D1118,6)="CLIENT",IFERROR(VLOOKUP(C1118,Config_Carteiras!$A:$B,2,FALSE),1),"")</f>
        <v>1</v>
      </c>
      <c r="F1118" s="25">
        <v>7906</v>
      </c>
      <c r="G1118" s="28">
        <f>IF(LEFT(D1118,6)="CLIENT",IF(E1118=0,WORKDAY(A1118-1,1,Dias_Sem_Compensacao!$A$2:$A$500),WORKDAY(A1118,E1118,Dias_Sem_Compensacao!$A$2:$A$500)),"")</f>
        <v>46297</v>
      </c>
      <c r="H1118" s="25">
        <v>0</v>
      </c>
      <c r="I1118" s="28">
        <v>46296</v>
      </c>
      <c r="J1118" t="s">
        <v>1478</v>
      </c>
      <c r="K1118" t="s">
        <v>1479</v>
      </c>
    </row>
    <row r="1119" spans="1:11" hidden="1">
      <c r="A1119" s="28">
        <v>46296</v>
      </c>
      <c r="B1119" t="s">
        <v>186</v>
      </c>
      <c r="C1119" t="s">
        <v>203</v>
      </c>
      <c r="D1119" t="s">
        <v>217</v>
      </c>
      <c r="E1119">
        <f>IF(LEFT(D1119,6)="CLIENT",IFERROR(VLOOKUP(C1119,Config_Carteiras!$A:$B,2,FALSE),1),"")</f>
        <v>1</v>
      </c>
      <c r="F1119" s="25">
        <v>1655.1</v>
      </c>
      <c r="G1119" s="28">
        <f>IF(LEFT(D1119,6)="CLIENT",IF(E1119=0,WORKDAY(A1119-1,1,Dias_Sem_Compensacao!$A$2:$A$500),WORKDAY(A1119,E1119,Dias_Sem_Compensacao!$A$2:$A$500)),"")</f>
        <v>46297</v>
      </c>
      <c r="H1119" s="25">
        <v>0</v>
      </c>
      <c r="I1119" s="28">
        <v>46296</v>
      </c>
      <c r="J1119" t="s">
        <v>1480</v>
      </c>
      <c r="K1119" t="s">
        <v>1481</v>
      </c>
    </row>
    <row r="1120" spans="1:11" hidden="1">
      <c r="A1120" s="28">
        <v>46296</v>
      </c>
      <c r="B1120" t="s">
        <v>186</v>
      </c>
      <c r="C1120" t="s">
        <v>203</v>
      </c>
      <c r="D1120" t="s">
        <v>217</v>
      </c>
      <c r="E1120">
        <f>IF(LEFT(D1120,6)="CLIENT",IFERROR(VLOOKUP(C1120,Config_Carteiras!$A:$B,2,FALSE),1),"")</f>
        <v>1</v>
      </c>
      <c r="F1120" s="25">
        <v>1817.72</v>
      </c>
      <c r="G1120" s="28">
        <f>IF(LEFT(D1120,6)="CLIENT",IF(E1120=0,WORKDAY(A1120-1,1,Dias_Sem_Compensacao!$A$2:$A$500),WORKDAY(A1120,E1120,Dias_Sem_Compensacao!$A$2:$A$500)),"")</f>
        <v>46297</v>
      </c>
      <c r="H1120" s="25">
        <v>0</v>
      </c>
      <c r="I1120" s="28">
        <v>46296</v>
      </c>
      <c r="K1120" t="s">
        <v>1482</v>
      </c>
    </row>
    <row r="1121" spans="1:11" hidden="1">
      <c r="A1121" s="28">
        <v>46296</v>
      </c>
      <c r="B1121" t="s">
        <v>186</v>
      </c>
      <c r="C1121" t="s">
        <v>203</v>
      </c>
      <c r="D1121" t="s">
        <v>217</v>
      </c>
      <c r="E1121">
        <f>IF(LEFT(D1121,6)="CLIENT",IFERROR(VLOOKUP(C1121,Config_Carteiras!$A:$B,2,FALSE),1),"")</f>
        <v>1</v>
      </c>
      <c r="F1121" s="25">
        <v>1642.72</v>
      </c>
      <c r="G1121" s="28">
        <f>IF(LEFT(D1121,6)="CLIENT",IF(E1121=0,WORKDAY(A1121-1,1,Dias_Sem_Compensacao!$A$2:$A$500),WORKDAY(A1121,E1121,Dias_Sem_Compensacao!$A$2:$A$500)),"")</f>
        <v>46297</v>
      </c>
      <c r="H1121" s="25">
        <v>0</v>
      </c>
      <c r="I1121" s="28">
        <v>46296</v>
      </c>
      <c r="K1121" t="s">
        <v>1483</v>
      </c>
    </row>
    <row r="1122" spans="1:11" hidden="1">
      <c r="A1122" s="28">
        <v>46296</v>
      </c>
      <c r="B1122" t="s">
        <v>186</v>
      </c>
      <c r="C1122" t="s">
        <v>203</v>
      </c>
      <c r="D1122" t="s">
        <v>217</v>
      </c>
      <c r="E1122">
        <f>IF(LEFT(D1122,6)="CLIENT",IFERROR(VLOOKUP(C1122,Config_Carteiras!$A:$B,2,FALSE),1),"")</f>
        <v>1</v>
      </c>
      <c r="F1122" s="25">
        <v>3000</v>
      </c>
      <c r="G1122" s="28">
        <f>IF(LEFT(D1122,6)="CLIENT",IF(E1122=0,WORKDAY(A1122-1,1,Dias_Sem_Compensacao!$A$2:$A$500),WORKDAY(A1122,E1122,Dias_Sem_Compensacao!$A$2:$A$500)),"")</f>
        <v>46297</v>
      </c>
      <c r="H1122" s="25">
        <v>0</v>
      </c>
      <c r="I1122" s="28">
        <v>46296</v>
      </c>
      <c r="J1122" t="s">
        <v>1162</v>
      </c>
      <c r="K1122" t="s">
        <v>1484</v>
      </c>
    </row>
    <row r="1123" spans="1:11" hidden="1">
      <c r="A1123" s="28">
        <v>46296</v>
      </c>
      <c r="B1123" t="s">
        <v>186</v>
      </c>
      <c r="C1123" t="s">
        <v>203</v>
      </c>
      <c r="D1123" t="s">
        <v>217</v>
      </c>
      <c r="E1123">
        <f>IF(LEFT(D1123,6)="CLIENT",IFERROR(VLOOKUP(C1123,Config_Carteiras!$A:$B,2,FALSE),1),"")</f>
        <v>1</v>
      </c>
      <c r="F1123" s="25">
        <v>479</v>
      </c>
      <c r="G1123" s="28">
        <f>IF(LEFT(D1123,6)="CLIENT",IF(E1123=0,WORKDAY(A1123-1,1,Dias_Sem_Compensacao!$A$2:$A$500),WORKDAY(A1123,E1123,Dias_Sem_Compensacao!$A$2:$A$500)),"")</f>
        <v>46297</v>
      </c>
      <c r="H1123" s="25">
        <v>0</v>
      </c>
      <c r="I1123" s="28">
        <v>46296</v>
      </c>
      <c r="J1123" t="s">
        <v>1485</v>
      </c>
      <c r="K1123" t="s">
        <v>1486</v>
      </c>
    </row>
    <row r="1124" spans="1:11" hidden="1">
      <c r="A1124" s="28">
        <v>46296</v>
      </c>
      <c r="B1124" t="s">
        <v>186</v>
      </c>
      <c r="C1124" t="s">
        <v>203</v>
      </c>
      <c r="D1124" t="s">
        <v>217</v>
      </c>
      <c r="E1124">
        <f>IF(LEFT(D1124,6)="CLIENT",IFERROR(VLOOKUP(C1124,Config_Carteiras!$A:$B,2,FALSE),1),"")</f>
        <v>1</v>
      </c>
      <c r="F1124" s="25">
        <v>3916.03</v>
      </c>
      <c r="G1124" s="28">
        <f>IF(LEFT(D1124,6)="CLIENT",IF(E1124=0,WORKDAY(A1124-1,1,Dias_Sem_Compensacao!$A$2:$A$500),WORKDAY(A1124,E1124,Dias_Sem_Compensacao!$A$2:$A$500)),"")</f>
        <v>46297</v>
      </c>
      <c r="H1124" s="25">
        <v>0</v>
      </c>
      <c r="I1124" s="28">
        <v>46296</v>
      </c>
      <c r="J1124" t="s">
        <v>1487</v>
      </c>
      <c r="K1124" t="s">
        <v>1488</v>
      </c>
    </row>
    <row r="1125" spans="1:11" hidden="1">
      <c r="A1125" s="28">
        <v>46296</v>
      </c>
      <c r="B1125" t="s">
        <v>186</v>
      </c>
      <c r="C1125" t="s">
        <v>203</v>
      </c>
      <c r="D1125" t="s">
        <v>217</v>
      </c>
      <c r="E1125">
        <f>IF(LEFT(D1125,6)="CLIENT",IFERROR(VLOOKUP(C1125,Config_Carteiras!$A:$B,2,FALSE),1),"")</f>
        <v>1</v>
      </c>
      <c r="F1125" s="25">
        <v>1487.44</v>
      </c>
      <c r="G1125" s="28">
        <f>IF(LEFT(D1125,6)="CLIENT",IF(E1125=0,WORKDAY(A1125-1,1,Dias_Sem_Compensacao!$A$2:$A$500),WORKDAY(A1125,E1125,Dias_Sem_Compensacao!$A$2:$A$500)),"")</f>
        <v>46297</v>
      </c>
      <c r="H1125" s="25">
        <v>0</v>
      </c>
      <c r="I1125" s="28">
        <v>46296</v>
      </c>
      <c r="J1125" t="s">
        <v>1489</v>
      </c>
      <c r="K1125" t="s">
        <v>1490</v>
      </c>
    </row>
    <row r="1126" spans="1:11" hidden="1">
      <c r="A1126" s="28">
        <v>46296</v>
      </c>
      <c r="B1126" t="s">
        <v>186</v>
      </c>
      <c r="C1126" t="s">
        <v>203</v>
      </c>
      <c r="D1126" t="s">
        <v>217</v>
      </c>
      <c r="E1126">
        <f>IF(LEFT(D1126,6)="CLIENT",IFERROR(VLOOKUP(C1126,Config_Carteiras!$A:$B,2,FALSE),1),"")</f>
        <v>1</v>
      </c>
      <c r="F1126" s="25">
        <v>2937.24</v>
      </c>
      <c r="G1126" s="28">
        <f>IF(LEFT(D1126,6)="CLIENT",IF(E1126=0,WORKDAY(A1126-1,1,Dias_Sem_Compensacao!$A$2:$A$500),WORKDAY(A1126,E1126,Dias_Sem_Compensacao!$A$2:$A$500)),"")</f>
        <v>46297</v>
      </c>
      <c r="H1126" s="25">
        <v>0</v>
      </c>
      <c r="I1126" s="28">
        <v>46296</v>
      </c>
      <c r="J1126" t="s">
        <v>1491</v>
      </c>
      <c r="K1126" t="s">
        <v>1492</v>
      </c>
    </row>
    <row r="1127" spans="1:11" hidden="1">
      <c r="A1127" s="28">
        <v>46296</v>
      </c>
      <c r="B1127" t="s">
        <v>186</v>
      </c>
      <c r="C1127" t="s">
        <v>203</v>
      </c>
      <c r="D1127" t="s">
        <v>217</v>
      </c>
      <c r="E1127">
        <f>IF(LEFT(D1127,6)="CLIENT",IFERROR(VLOOKUP(C1127,Config_Carteiras!$A:$B,2,FALSE),1),"")</f>
        <v>1</v>
      </c>
      <c r="F1127" s="25">
        <v>644</v>
      </c>
      <c r="G1127" s="28">
        <f>IF(LEFT(D1127,6)="CLIENT",IF(E1127=0,WORKDAY(A1127-1,1,Dias_Sem_Compensacao!$A$2:$A$500),WORKDAY(A1127,E1127,Dias_Sem_Compensacao!$A$2:$A$500)),"")</f>
        <v>46297</v>
      </c>
      <c r="H1127" s="25">
        <v>0</v>
      </c>
      <c r="I1127" s="28">
        <v>46296</v>
      </c>
      <c r="J1127" t="s">
        <v>1493</v>
      </c>
      <c r="K1127" t="s">
        <v>1494</v>
      </c>
    </row>
    <row r="1128" spans="1:11" hidden="1">
      <c r="A1128" s="28">
        <v>46296</v>
      </c>
      <c r="B1128" t="s">
        <v>186</v>
      </c>
      <c r="C1128" t="s">
        <v>203</v>
      </c>
      <c r="D1128" t="s">
        <v>217</v>
      </c>
      <c r="E1128">
        <f>IF(LEFT(D1128,6)="CLIENT",IFERROR(VLOOKUP(C1128,Config_Carteiras!$A:$B,2,FALSE),1),"")</f>
        <v>1</v>
      </c>
      <c r="F1128" s="25">
        <v>2732</v>
      </c>
      <c r="G1128" s="28">
        <f>IF(LEFT(D1128,6)="CLIENT",IF(E1128=0,WORKDAY(A1128-1,1,Dias_Sem_Compensacao!$A$2:$A$500),WORKDAY(A1128,E1128,Dias_Sem_Compensacao!$A$2:$A$500)),"")</f>
        <v>46297</v>
      </c>
      <c r="H1128" s="25">
        <v>0</v>
      </c>
      <c r="I1128" s="28">
        <v>46296</v>
      </c>
      <c r="J1128" t="s">
        <v>1495</v>
      </c>
      <c r="K1128" t="s">
        <v>1496</v>
      </c>
    </row>
    <row r="1129" spans="1:11" hidden="1">
      <c r="A1129" s="28">
        <v>46296</v>
      </c>
      <c r="B1129" t="s">
        <v>186</v>
      </c>
      <c r="C1129" t="s">
        <v>203</v>
      </c>
      <c r="D1129" t="s">
        <v>217</v>
      </c>
      <c r="E1129">
        <f>IF(LEFT(D1129,6)="CLIENT",IFERROR(VLOOKUP(C1129,Config_Carteiras!$A:$B,2,FALSE),1),"")</f>
        <v>1</v>
      </c>
      <c r="F1129" s="25">
        <v>598</v>
      </c>
      <c r="G1129" s="28">
        <f>IF(LEFT(D1129,6)="CLIENT",IF(E1129=0,WORKDAY(A1129-1,1,Dias_Sem_Compensacao!$A$2:$A$500),WORKDAY(A1129,E1129,Dias_Sem_Compensacao!$A$2:$A$500)),"")</f>
        <v>46297</v>
      </c>
      <c r="H1129" s="25">
        <v>0</v>
      </c>
      <c r="I1129" s="28">
        <v>46296</v>
      </c>
      <c r="J1129" t="s">
        <v>1497</v>
      </c>
      <c r="K1129" t="s">
        <v>1498</v>
      </c>
    </row>
    <row r="1130" spans="1:11" hidden="1">
      <c r="A1130" s="28">
        <v>46296</v>
      </c>
      <c r="B1130" t="s">
        <v>186</v>
      </c>
      <c r="C1130" t="s">
        <v>203</v>
      </c>
      <c r="D1130" t="s">
        <v>217</v>
      </c>
      <c r="E1130">
        <f>IF(LEFT(D1130,6)="CLIENT",IFERROR(VLOOKUP(C1130,Config_Carteiras!$A:$B,2,FALSE),1),"")</f>
        <v>1</v>
      </c>
      <c r="F1130" s="25">
        <v>712</v>
      </c>
      <c r="G1130" s="28">
        <f>IF(LEFT(D1130,6)="CLIENT",IF(E1130=0,WORKDAY(A1130-1,1,Dias_Sem_Compensacao!$A$2:$A$500),WORKDAY(A1130,E1130,Dias_Sem_Compensacao!$A$2:$A$500)),"")</f>
        <v>46297</v>
      </c>
      <c r="H1130" s="25">
        <v>0</v>
      </c>
      <c r="I1130" s="28">
        <v>46296</v>
      </c>
      <c r="J1130" t="s">
        <v>1499</v>
      </c>
      <c r="K1130" t="s">
        <v>1500</v>
      </c>
    </row>
    <row r="1131" spans="1:11" hidden="1">
      <c r="A1131" s="28">
        <v>46296</v>
      </c>
      <c r="B1131" t="s">
        <v>186</v>
      </c>
      <c r="C1131" t="s">
        <v>203</v>
      </c>
      <c r="D1131" t="s">
        <v>217</v>
      </c>
      <c r="E1131">
        <f>IF(LEFT(D1131,6)="CLIENT",IFERROR(VLOOKUP(C1131,Config_Carteiras!$A:$B,2,FALSE),1),"")</f>
        <v>1</v>
      </c>
      <c r="F1131" s="25">
        <v>1513</v>
      </c>
      <c r="G1131" s="28">
        <f>IF(LEFT(D1131,6)="CLIENT",IF(E1131=0,WORKDAY(A1131-1,1,Dias_Sem_Compensacao!$A$2:$A$500),WORKDAY(A1131,E1131,Dias_Sem_Compensacao!$A$2:$A$500)),"")</f>
        <v>46297</v>
      </c>
      <c r="H1131" s="25">
        <v>0</v>
      </c>
      <c r="I1131" s="28">
        <v>46296</v>
      </c>
      <c r="J1131" t="s">
        <v>1501</v>
      </c>
      <c r="K1131" t="s">
        <v>1502</v>
      </c>
    </row>
    <row r="1132" spans="1:11" hidden="1">
      <c r="A1132" s="28">
        <v>46296</v>
      </c>
      <c r="B1132" t="s">
        <v>186</v>
      </c>
      <c r="C1132" t="s">
        <v>203</v>
      </c>
      <c r="D1132" t="s">
        <v>217</v>
      </c>
      <c r="E1132">
        <f>IF(LEFT(D1132,6)="CLIENT",IFERROR(VLOOKUP(C1132,Config_Carteiras!$A:$B,2,FALSE),1),"")</f>
        <v>1</v>
      </c>
      <c r="F1132" s="25">
        <v>476.56</v>
      </c>
      <c r="G1132" s="28">
        <f>IF(LEFT(D1132,6)="CLIENT",IF(E1132=0,WORKDAY(A1132-1,1,Dias_Sem_Compensacao!$A$2:$A$500),WORKDAY(A1132,E1132,Dias_Sem_Compensacao!$A$2:$A$500)),"")</f>
        <v>46297</v>
      </c>
      <c r="H1132" s="25">
        <v>0</v>
      </c>
      <c r="I1132" s="28">
        <v>46296</v>
      </c>
      <c r="J1132" t="s">
        <v>1503</v>
      </c>
      <c r="K1132" t="s">
        <v>1504</v>
      </c>
    </row>
    <row r="1133" spans="1:11" hidden="1">
      <c r="A1133" s="28">
        <v>46296</v>
      </c>
      <c r="B1133" t="s">
        <v>186</v>
      </c>
      <c r="C1133" t="s">
        <v>203</v>
      </c>
      <c r="D1133" t="s">
        <v>217</v>
      </c>
      <c r="E1133">
        <f>IF(LEFT(D1133,6)="CLIENT",IFERROR(VLOOKUP(C1133,Config_Carteiras!$A:$B,2,FALSE),1),"")</f>
        <v>1</v>
      </c>
      <c r="F1133" s="25">
        <v>600.33000000000004</v>
      </c>
      <c r="G1133" s="28">
        <f>IF(LEFT(D1133,6)="CLIENT",IF(E1133=0,WORKDAY(A1133-1,1,Dias_Sem_Compensacao!$A$2:$A$500),WORKDAY(A1133,E1133,Dias_Sem_Compensacao!$A$2:$A$500)),"")</f>
        <v>46297</v>
      </c>
      <c r="H1133" s="25">
        <v>0</v>
      </c>
      <c r="I1133" s="28">
        <v>46296</v>
      </c>
      <c r="K1133" t="s">
        <v>1505</v>
      </c>
    </row>
    <row r="1134" spans="1:11" hidden="1">
      <c r="A1134" s="28">
        <v>46296</v>
      </c>
      <c r="B1134" t="s">
        <v>186</v>
      </c>
      <c r="C1134" t="s">
        <v>203</v>
      </c>
      <c r="D1134" t="s">
        <v>217</v>
      </c>
      <c r="E1134">
        <f>IF(LEFT(D1134,6)="CLIENT",IFERROR(VLOOKUP(C1134,Config_Carteiras!$A:$B,2,FALSE),1),"")</f>
        <v>1</v>
      </c>
      <c r="F1134" s="25">
        <v>466</v>
      </c>
      <c r="G1134" s="28">
        <f>IF(LEFT(D1134,6)="CLIENT",IF(E1134=0,WORKDAY(A1134-1,1,Dias_Sem_Compensacao!$A$2:$A$500),WORKDAY(A1134,E1134,Dias_Sem_Compensacao!$A$2:$A$500)),"")</f>
        <v>46297</v>
      </c>
      <c r="H1134" s="25">
        <v>0</v>
      </c>
      <c r="I1134" s="28">
        <v>46296</v>
      </c>
      <c r="J1134" t="s">
        <v>1506</v>
      </c>
      <c r="K1134" t="s">
        <v>1507</v>
      </c>
    </row>
    <row r="1135" spans="1:11" hidden="1">
      <c r="A1135" s="28">
        <v>46296</v>
      </c>
      <c r="B1135" t="s">
        <v>186</v>
      </c>
      <c r="C1135" t="s">
        <v>203</v>
      </c>
      <c r="D1135" t="s">
        <v>217</v>
      </c>
      <c r="E1135">
        <f>IF(LEFT(D1135,6)="CLIENT",IFERROR(VLOOKUP(C1135,Config_Carteiras!$A:$B,2,FALSE),1),"")</f>
        <v>1</v>
      </c>
      <c r="F1135" s="25">
        <v>3657</v>
      </c>
      <c r="G1135" s="28">
        <f>IF(LEFT(D1135,6)="CLIENT",IF(E1135=0,WORKDAY(A1135-1,1,Dias_Sem_Compensacao!$A$2:$A$500),WORKDAY(A1135,E1135,Dias_Sem_Compensacao!$A$2:$A$500)),"")</f>
        <v>46297</v>
      </c>
      <c r="H1135" s="25">
        <v>0</v>
      </c>
      <c r="I1135" s="28">
        <v>46296</v>
      </c>
      <c r="J1135" t="s">
        <v>1170</v>
      </c>
      <c r="K1135" t="s">
        <v>1508</v>
      </c>
    </row>
    <row r="1136" spans="1:11" hidden="1">
      <c r="A1136" s="28">
        <v>46296</v>
      </c>
      <c r="B1136" t="s">
        <v>186</v>
      </c>
      <c r="C1136" t="s">
        <v>203</v>
      </c>
      <c r="D1136" t="s">
        <v>217</v>
      </c>
      <c r="E1136">
        <f>IF(LEFT(D1136,6)="CLIENT",IFERROR(VLOOKUP(C1136,Config_Carteiras!$A:$B,2,FALSE),1),"")</f>
        <v>1</v>
      </c>
      <c r="F1136" s="25">
        <v>750</v>
      </c>
      <c r="G1136" s="28">
        <f>IF(LEFT(D1136,6)="CLIENT",IF(E1136=0,WORKDAY(A1136-1,1,Dias_Sem_Compensacao!$A$2:$A$500),WORKDAY(A1136,E1136,Dias_Sem_Compensacao!$A$2:$A$500)),"")</f>
        <v>46297</v>
      </c>
      <c r="H1136" s="25">
        <v>0</v>
      </c>
      <c r="I1136" s="28">
        <v>46296</v>
      </c>
      <c r="J1136" t="s">
        <v>1509</v>
      </c>
      <c r="K1136" t="s">
        <v>1510</v>
      </c>
    </row>
    <row r="1137" spans="1:11" hidden="1">
      <c r="A1137" s="28">
        <v>46296</v>
      </c>
      <c r="B1137" t="s">
        <v>186</v>
      </c>
      <c r="C1137" t="s">
        <v>203</v>
      </c>
      <c r="D1137" t="s">
        <v>217</v>
      </c>
      <c r="E1137">
        <f>IF(LEFT(D1137,6)="CLIENT",IFERROR(VLOOKUP(C1137,Config_Carteiras!$A:$B,2,FALSE),1),"")</f>
        <v>1</v>
      </c>
      <c r="F1137" s="25">
        <v>600.80999999999995</v>
      </c>
      <c r="G1137" s="28">
        <f>IF(LEFT(D1137,6)="CLIENT",IF(E1137=0,WORKDAY(A1137-1,1,Dias_Sem_Compensacao!$A$2:$A$500),WORKDAY(A1137,E1137,Dias_Sem_Compensacao!$A$2:$A$500)),"")</f>
        <v>46297</v>
      </c>
      <c r="H1137" s="25">
        <v>0</v>
      </c>
      <c r="I1137" s="28">
        <v>46296</v>
      </c>
      <c r="J1137" t="s">
        <v>1511</v>
      </c>
      <c r="K1137" t="s">
        <v>1512</v>
      </c>
    </row>
    <row r="1138" spans="1:11" hidden="1">
      <c r="A1138" s="28">
        <v>46296</v>
      </c>
      <c r="B1138" t="s">
        <v>186</v>
      </c>
      <c r="C1138" t="s">
        <v>203</v>
      </c>
      <c r="D1138" t="s">
        <v>217</v>
      </c>
      <c r="E1138">
        <f>IF(LEFT(D1138,6)="CLIENT",IFERROR(VLOOKUP(C1138,Config_Carteiras!$A:$B,2,FALSE),1),"")</f>
        <v>1</v>
      </c>
      <c r="F1138" s="25">
        <v>1102</v>
      </c>
      <c r="G1138" s="28">
        <f>IF(LEFT(D1138,6)="CLIENT",IF(E1138=0,WORKDAY(A1138-1,1,Dias_Sem_Compensacao!$A$2:$A$500),WORKDAY(A1138,E1138,Dias_Sem_Compensacao!$A$2:$A$500)),"")</f>
        <v>46297</v>
      </c>
      <c r="H1138" s="25">
        <v>0</v>
      </c>
      <c r="I1138" s="28">
        <v>46296</v>
      </c>
      <c r="J1138" t="s">
        <v>224</v>
      </c>
      <c r="K1138" t="s">
        <v>1513</v>
      </c>
    </row>
    <row r="1139" spans="1:11" hidden="1">
      <c r="A1139" s="28">
        <v>46296</v>
      </c>
      <c r="B1139" t="s">
        <v>186</v>
      </c>
      <c r="C1139" t="s">
        <v>203</v>
      </c>
      <c r="D1139" t="s">
        <v>217</v>
      </c>
      <c r="E1139">
        <f>IF(LEFT(D1139,6)="CLIENT",IFERROR(VLOOKUP(C1139,Config_Carteiras!$A:$B,2,FALSE),1),"")</f>
        <v>1</v>
      </c>
      <c r="F1139" s="25">
        <v>435.43</v>
      </c>
      <c r="G1139" s="28">
        <f>IF(LEFT(D1139,6)="CLIENT",IF(E1139=0,WORKDAY(A1139-1,1,Dias_Sem_Compensacao!$A$2:$A$500),WORKDAY(A1139,E1139,Dias_Sem_Compensacao!$A$2:$A$500)),"")</f>
        <v>46297</v>
      </c>
      <c r="H1139" s="25">
        <v>0</v>
      </c>
      <c r="I1139" s="28">
        <v>46296</v>
      </c>
      <c r="J1139" t="s">
        <v>1514</v>
      </c>
      <c r="K1139" t="s">
        <v>1515</v>
      </c>
    </row>
    <row r="1140" spans="1:11" hidden="1">
      <c r="A1140" s="28">
        <v>46296</v>
      </c>
      <c r="B1140" t="s">
        <v>186</v>
      </c>
      <c r="C1140" t="s">
        <v>203</v>
      </c>
      <c r="D1140" t="s">
        <v>217</v>
      </c>
      <c r="E1140">
        <f>IF(LEFT(D1140,6)="CLIENT",IFERROR(VLOOKUP(C1140,Config_Carteiras!$A:$B,2,FALSE),1),"")</f>
        <v>1</v>
      </c>
      <c r="F1140" s="25">
        <v>387</v>
      </c>
      <c r="G1140" s="28">
        <f>IF(LEFT(D1140,6)="CLIENT",IF(E1140=0,WORKDAY(A1140-1,1,Dias_Sem_Compensacao!$A$2:$A$500),WORKDAY(A1140,E1140,Dias_Sem_Compensacao!$A$2:$A$500)),"")</f>
        <v>46297</v>
      </c>
      <c r="H1140" s="25">
        <v>0</v>
      </c>
      <c r="I1140" s="28">
        <v>46296</v>
      </c>
      <c r="J1140" t="s">
        <v>1516</v>
      </c>
      <c r="K1140" t="s">
        <v>1517</v>
      </c>
    </row>
    <row r="1141" spans="1:11" hidden="1">
      <c r="A1141" s="28">
        <v>46296</v>
      </c>
      <c r="B1141" t="s">
        <v>186</v>
      </c>
      <c r="C1141" t="s">
        <v>203</v>
      </c>
      <c r="D1141" t="s">
        <v>217</v>
      </c>
      <c r="E1141">
        <f>IF(LEFT(D1141,6)="CLIENT",IFERROR(VLOOKUP(C1141,Config_Carteiras!$A:$B,2,FALSE),1),"")</f>
        <v>1</v>
      </c>
      <c r="F1141" s="25">
        <v>1087</v>
      </c>
      <c r="G1141" s="28">
        <f>IF(LEFT(D1141,6)="CLIENT",IF(E1141=0,WORKDAY(A1141-1,1,Dias_Sem_Compensacao!$A$2:$A$500),WORKDAY(A1141,E1141,Dias_Sem_Compensacao!$A$2:$A$500)),"")</f>
        <v>46297</v>
      </c>
      <c r="H1141" s="25">
        <v>0</v>
      </c>
      <c r="I1141" s="28">
        <v>46296</v>
      </c>
      <c r="J1141" t="s">
        <v>1518</v>
      </c>
      <c r="K1141" t="s">
        <v>1519</v>
      </c>
    </row>
    <row r="1142" spans="1:11" hidden="1">
      <c r="A1142" s="28">
        <v>46296</v>
      </c>
      <c r="B1142" t="s">
        <v>186</v>
      </c>
      <c r="C1142" t="s">
        <v>203</v>
      </c>
      <c r="D1142" t="s">
        <v>217</v>
      </c>
      <c r="E1142">
        <f>IF(LEFT(D1142,6)="CLIENT",IFERROR(VLOOKUP(C1142,Config_Carteiras!$A:$B,2,FALSE),1),"")</f>
        <v>1</v>
      </c>
      <c r="F1142" s="25">
        <v>1627</v>
      </c>
      <c r="G1142" s="28">
        <f>IF(LEFT(D1142,6)="CLIENT",IF(E1142=0,WORKDAY(A1142-1,1,Dias_Sem_Compensacao!$A$2:$A$500),WORKDAY(A1142,E1142,Dias_Sem_Compensacao!$A$2:$A$500)),"")</f>
        <v>46297</v>
      </c>
      <c r="H1142" s="25">
        <v>0</v>
      </c>
      <c r="I1142" s="28">
        <v>46296</v>
      </c>
      <c r="J1142" t="s">
        <v>1520</v>
      </c>
      <c r="K1142" t="s">
        <v>1521</v>
      </c>
    </row>
    <row r="1143" spans="1:11" hidden="1">
      <c r="A1143" s="28">
        <v>46296</v>
      </c>
      <c r="B1143" t="s">
        <v>186</v>
      </c>
      <c r="C1143" t="s">
        <v>203</v>
      </c>
      <c r="D1143" t="s">
        <v>217</v>
      </c>
      <c r="E1143">
        <f>IF(LEFT(D1143,6)="CLIENT",IFERROR(VLOOKUP(C1143,Config_Carteiras!$A:$B,2,FALSE),1),"")</f>
        <v>1</v>
      </c>
      <c r="F1143" s="25">
        <v>1392</v>
      </c>
      <c r="G1143" s="28">
        <f>IF(LEFT(D1143,6)="CLIENT",IF(E1143=0,WORKDAY(A1143-1,1,Dias_Sem_Compensacao!$A$2:$A$500),WORKDAY(A1143,E1143,Dias_Sem_Compensacao!$A$2:$A$500)),"")</f>
        <v>46297</v>
      </c>
      <c r="H1143" s="25">
        <v>0</v>
      </c>
      <c r="I1143" s="28">
        <v>46296</v>
      </c>
      <c r="J1143" t="s">
        <v>1522</v>
      </c>
      <c r="K1143" t="s">
        <v>1523</v>
      </c>
    </row>
    <row r="1144" spans="1:11" hidden="1">
      <c r="A1144" s="28">
        <v>46296</v>
      </c>
      <c r="B1144" t="s">
        <v>186</v>
      </c>
      <c r="C1144" t="s">
        <v>203</v>
      </c>
      <c r="D1144" t="s">
        <v>217</v>
      </c>
      <c r="E1144">
        <f>IF(LEFT(D1144,6)="CLIENT",IFERROR(VLOOKUP(C1144,Config_Carteiras!$A:$B,2,FALSE),1),"")</f>
        <v>1</v>
      </c>
      <c r="F1144" s="25">
        <v>862</v>
      </c>
      <c r="G1144" s="28">
        <f>IF(LEFT(D1144,6)="CLIENT",IF(E1144=0,WORKDAY(A1144-1,1,Dias_Sem_Compensacao!$A$2:$A$500),WORKDAY(A1144,E1144,Dias_Sem_Compensacao!$A$2:$A$500)),"")</f>
        <v>46297</v>
      </c>
      <c r="H1144" s="25">
        <v>0</v>
      </c>
      <c r="I1144" s="28">
        <v>46296</v>
      </c>
      <c r="J1144" t="s">
        <v>1524</v>
      </c>
      <c r="K1144" t="s">
        <v>1525</v>
      </c>
    </row>
    <row r="1145" spans="1:11" hidden="1">
      <c r="A1145" s="28">
        <v>46296</v>
      </c>
      <c r="B1145" t="s">
        <v>186</v>
      </c>
      <c r="C1145" t="s">
        <v>203</v>
      </c>
      <c r="D1145" t="s">
        <v>217</v>
      </c>
      <c r="E1145">
        <f>IF(LEFT(D1145,6)="CLIENT",IFERROR(VLOOKUP(C1145,Config_Carteiras!$A:$B,2,FALSE),1),"")</f>
        <v>1</v>
      </c>
      <c r="F1145" s="25">
        <v>3280.32</v>
      </c>
      <c r="G1145" s="28">
        <f>IF(LEFT(D1145,6)="CLIENT",IF(E1145=0,WORKDAY(A1145-1,1,Dias_Sem_Compensacao!$A$2:$A$500),WORKDAY(A1145,E1145,Dias_Sem_Compensacao!$A$2:$A$500)),"")</f>
        <v>46297</v>
      </c>
      <c r="H1145" s="25">
        <v>0</v>
      </c>
      <c r="I1145" s="28">
        <v>46296</v>
      </c>
      <c r="J1145" t="s">
        <v>1526</v>
      </c>
      <c r="K1145" t="s">
        <v>1527</v>
      </c>
    </row>
    <row r="1146" spans="1:11" hidden="1">
      <c r="A1146" s="28">
        <v>46296</v>
      </c>
      <c r="B1146" t="s">
        <v>186</v>
      </c>
      <c r="C1146" t="s">
        <v>203</v>
      </c>
      <c r="D1146" t="s">
        <v>217</v>
      </c>
      <c r="E1146">
        <f>IF(LEFT(D1146,6)="CLIENT",IFERROR(VLOOKUP(C1146,Config_Carteiras!$A:$B,2,FALSE),1),"")</f>
        <v>1</v>
      </c>
      <c r="F1146" s="25">
        <v>855.95</v>
      </c>
      <c r="G1146" s="28">
        <f>IF(LEFT(D1146,6)="CLIENT",IF(E1146=0,WORKDAY(A1146-1,1,Dias_Sem_Compensacao!$A$2:$A$500),WORKDAY(A1146,E1146,Dias_Sem_Compensacao!$A$2:$A$500)),"")</f>
        <v>46297</v>
      </c>
      <c r="H1146" s="25">
        <v>0</v>
      </c>
      <c r="I1146" s="28">
        <v>46296</v>
      </c>
      <c r="J1146" t="s">
        <v>1528</v>
      </c>
      <c r="K1146" t="s">
        <v>1529</v>
      </c>
    </row>
    <row r="1147" spans="1:11" hidden="1">
      <c r="A1147" s="28">
        <v>46296</v>
      </c>
      <c r="B1147" t="s">
        <v>186</v>
      </c>
      <c r="C1147" t="s">
        <v>203</v>
      </c>
      <c r="D1147" t="s">
        <v>217</v>
      </c>
      <c r="E1147">
        <f>IF(LEFT(D1147,6)="CLIENT",IFERROR(VLOOKUP(C1147,Config_Carteiras!$A:$B,2,FALSE),1),"")</f>
        <v>1</v>
      </c>
      <c r="F1147" s="25">
        <v>957.75</v>
      </c>
      <c r="G1147" s="28">
        <f>IF(LEFT(D1147,6)="CLIENT",IF(E1147=0,WORKDAY(A1147-1,1,Dias_Sem_Compensacao!$A$2:$A$500),WORKDAY(A1147,E1147,Dias_Sem_Compensacao!$A$2:$A$500)),"")</f>
        <v>46297</v>
      </c>
      <c r="H1147" s="25">
        <v>0</v>
      </c>
      <c r="I1147" s="28">
        <v>46296</v>
      </c>
      <c r="K1147" t="s">
        <v>1530</v>
      </c>
    </row>
    <row r="1148" spans="1:11" hidden="1">
      <c r="A1148" s="28">
        <v>46296</v>
      </c>
      <c r="B1148" t="s">
        <v>186</v>
      </c>
      <c r="C1148" t="s">
        <v>203</v>
      </c>
      <c r="D1148" t="s">
        <v>217</v>
      </c>
      <c r="E1148">
        <f>IF(LEFT(D1148,6)="CLIENT",IFERROR(VLOOKUP(C1148,Config_Carteiras!$A:$B,2,FALSE),1),"")</f>
        <v>1</v>
      </c>
      <c r="F1148" s="25">
        <v>705</v>
      </c>
      <c r="G1148" s="28">
        <f>IF(LEFT(D1148,6)="CLIENT",IF(E1148=0,WORKDAY(A1148-1,1,Dias_Sem_Compensacao!$A$2:$A$500),WORKDAY(A1148,E1148,Dias_Sem_Compensacao!$A$2:$A$500)),"")</f>
        <v>46297</v>
      </c>
      <c r="H1148" s="25">
        <v>0</v>
      </c>
      <c r="I1148" s="28">
        <v>46296</v>
      </c>
      <c r="J1148" t="s">
        <v>1531</v>
      </c>
      <c r="K1148" t="s">
        <v>1532</v>
      </c>
    </row>
    <row r="1149" spans="1:11" hidden="1">
      <c r="A1149" s="28">
        <v>46296</v>
      </c>
      <c r="B1149" t="s">
        <v>186</v>
      </c>
      <c r="C1149" t="s">
        <v>203</v>
      </c>
      <c r="D1149" t="s">
        <v>217</v>
      </c>
      <c r="E1149">
        <f>IF(LEFT(D1149,6)="CLIENT",IFERROR(VLOOKUP(C1149,Config_Carteiras!$A:$B,2,FALSE),1),"")</f>
        <v>1</v>
      </c>
      <c r="F1149" s="25">
        <v>717</v>
      </c>
      <c r="G1149" s="28">
        <f>IF(LEFT(D1149,6)="CLIENT",IF(E1149=0,WORKDAY(A1149-1,1,Dias_Sem_Compensacao!$A$2:$A$500),WORKDAY(A1149,E1149,Dias_Sem_Compensacao!$A$2:$A$500)),"")</f>
        <v>46297</v>
      </c>
      <c r="H1149" s="25">
        <v>0</v>
      </c>
      <c r="I1149" s="28">
        <v>46296</v>
      </c>
      <c r="J1149" t="s">
        <v>1533</v>
      </c>
      <c r="K1149" t="s">
        <v>1534</v>
      </c>
    </row>
    <row r="1150" spans="1:11" hidden="1">
      <c r="A1150" s="28">
        <v>46296</v>
      </c>
      <c r="B1150" t="s">
        <v>186</v>
      </c>
      <c r="C1150" t="s">
        <v>203</v>
      </c>
      <c r="D1150" t="s">
        <v>217</v>
      </c>
      <c r="E1150">
        <f>IF(LEFT(D1150,6)="CLIENT",IFERROR(VLOOKUP(C1150,Config_Carteiras!$A:$B,2,FALSE),1),"")</f>
        <v>1</v>
      </c>
      <c r="F1150" s="25">
        <v>893.59</v>
      </c>
      <c r="G1150" s="28">
        <f>IF(LEFT(D1150,6)="CLIENT",IF(E1150=0,WORKDAY(A1150-1,1,Dias_Sem_Compensacao!$A$2:$A$500),WORKDAY(A1150,E1150,Dias_Sem_Compensacao!$A$2:$A$500)),"")</f>
        <v>46297</v>
      </c>
      <c r="H1150" s="25">
        <v>0</v>
      </c>
      <c r="I1150" s="28">
        <v>46296</v>
      </c>
      <c r="J1150" t="s">
        <v>1535</v>
      </c>
      <c r="K1150" t="s">
        <v>1536</v>
      </c>
    </row>
    <row r="1151" spans="1:11" hidden="1">
      <c r="A1151" s="28">
        <v>46296</v>
      </c>
      <c r="B1151" t="s">
        <v>186</v>
      </c>
      <c r="C1151" t="s">
        <v>203</v>
      </c>
      <c r="D1151" t="s">
        <v>217</v>
      </c>
      <c r="E1151">
        <f>IF(LEFT(D1151,6)="CLIENT",IFERROR(VLOOKUP(C1151,Config_Carteiras!$A:$B,2,FALSE),1),"")</f>
        <v>1</v>
      </c>
      <c r="F1151" s="25">
        <v>960</v>
      </c>
      <c r="G1151" s="28">
        <f>IF(LEFT(D1151,6)="CLIENT",IF(E1151=0,WORKDAY(A1151-1,1,Dias_Sem_Compensacao!$A$2:$A$500),WORKDAY(A1151,E1151,Dias_Sem_Compensacao!$A$2:$A$500)),"")</f>
        <v>46297</v>
      </c>
      <c r="H1151" s="25">
        <v>0</v>
      </c>
      <c r="I1151" s="28">
        <v>46296</v>
      </c>
      <c r="J1151" t="s">
        <v>1537</v>
      </c>
      <c r="K1151" t="s">
        <v>1538</v>
      </c>
    </row>
    <row r="1152" spans="1:11" hidden="1">
      <c r="A1152" s="28">
        <v>46296</v>
      </c>
      <c r="B1152" t="s">
        <v>186</v>
      </c>
      <c r="C1152" t="s">
        <v>203</v>
      </c>
      <c r="D1152" t="s">
        <v>217</v>
      </c>
      <c r="E1152">
        <f>IF(LEFT(D1152,6)="CLIENT",IFERROR(VLOOKUP(C1152,Config_Carteiras!$A:$B,2,FALSE),1),"")</f>
        <v>1</v>
      </c>
      <c r="F1152" s="25">
        <v>882.43</v>
      </c>
      <c r="G1152" s="28">
        <f>IF(LEFT(D1152,6)="CLIENT",IF(E1152=0,WORKDAY(A1152-1,1,Dias_Sem_Compensacao!$A$2:$A$500),WORKDAY(A1152,E1152,Dias_Sem_Compensacao!$A$2:$A$500)),"")</f>
        <v>46297</v>
      </c>
      <c r="H1152" s="25">
        <v>0</v>
      </c>
      <c r="I1152" s="28">
        <v>46296</v>
      </c>
      <c r="J1152" t="s">
        <v>1539</v>
      </c>
      <c r="K1152" t="s">
        <v>1540</v>
      </c>
    </row>
    <row r="1153" spans="1:11" hidden="1">
      <c r="A1153" s="28">
        <v>46296</v>
      </c>
      <c r="B1153" t="s">
        <v>186</v>
      </c>
      <c r="C1153" t="s">
        <v>203</v>
      </c>
      <c r="D1153" t="s">
        <v>217</v>
      </c>
      <c r="E1153">
        <f>IF(LEFT(D1153,6)="CLIENT",IFERROR(VLOOKUP(C1153,Config_Carteiras!$A:$B,2,FALSE),1),"")</f>
        <v>1</v>
      </c>
      <c r="F1153" s="25">
        <v>1217.32</v>
      </c>
      <c r="G1153" s="28">
        <f>IF(LEFT(D1153,6)="CLIENT",IF(E1153=0,WORKDAY(A1153-1,1,Dias_Sem_Compensacao!$A$2:$A$500),WORKDAY(A1153,E1153,Dias_Sem_Compensacao!$A$2:$A$500)),"")</f>
        <v>46297</v>
      </c>
      <c r="H1153" s="25">
        <v>0</v>
      </c>
      <c r="I1153" s="28">
        <v>46296</v>
      </c>
      <c r="J1153" t="s">
        <v>1541</v>
      </c>
      <c r="K1153" t="s">
        <v>1542</v>
      </c>
    </row>
    <row r="1154" spans="1:11" hidden="1">
      <c r="A1154" s="28">
        <v>46296</v>
      </c>
      <c r="B1154" t="s">
        <v>186</v>
      </c>
      <c r="C1154" t="s">
        <v>203</v>
      </c>
      <c r="D1154" t="s">
        <v>217</v>
      </c>
      <c r="E1154">
        <f>IF(LEFT(D1154,6)="CLIENT",IFERROR(VLOOKUP(C1154,Config_Carteiras!$A:$B,2,FALSE),1),"")</f>
        <v>1</v>
      </c>
      <c r="F1154" s="25">
        <v>605</v>
      </c>
      <c r="G1154" s="28">
        <f>IF(LEFT(D1154,6)="CLIENT",IF(E1154=0,WORKDAY(A1154-1,1,Dias_Sem_Compensacao!$A$2:$A$500),WORKDAY(A1154,E1154,Dias_Sem_Compensacao!$A$2:$A$500)),"")</f>
        <v>46297</v>
      </c>
      <c r="H1154" s="25">
        <v>0</v>
      </c>
      <c r="I1154" s="28">
        <v>46296</v>
      </c>
      <c r="J1154" t="s">
        <v>1543</v>
      </c>
      <c r="K1154" t="s">
        <v>1544</v>
      </c>
    </row>
    <row r="1155" spans="1:11" hidden="1">
      <c r="A1155" s="28">
        <v>46296</v>
      </c>
      <c r="B1155" t="s">
        <v>186</v>
      </c>
      <c r="C1155" t="s">
        <v>203</v>
      </c>
      <c r="D1155" t="s">
        <v>217</v>
      </c>
      <c r="E1155">
        <f>IF(LEFT(D1155,6)="CLIENT",IFERROR(VLOOKUP(C1155,Config_Carteiras!$A:$B,2,FALSE),1),"")</f>
        <v>1</v>
      </c>
      <c r="F1155" s="25">
        <v>212.1</v>
      </c>
      <c r="G1155" s="28">
        <f>IF(LEFT(D1155,6)="CLIENT",IF(E1155=0,WORKDAY(A1155-1,1,Dias_Sem_Compensacao!$A$2:$A$500),WORKDAY(A1155,E1155,Dias_Sem_Compensacao!$A$2:$A$500)),"")</f>
        <v>46297</v>
      </c>
      <c r="H1155" s="25">
        <v>0</v>
      </c>
      <c r="I1155" s="28">
        <v>46296</v>
      </c>
      <c r="J1155" t="s">
        <v>894</v>
      </c>
      <c r="K1155" t="s">
        <v>1545</v>
      </c>
    </row>
    <row r="1156" spans="1:11" hidden="1">
      <c r="A1156" s="28">
        <v>46296</v>
      </c>
      <c r="B1156" t="s">
        <v>186</v>
      </c>
      <c r="C1156" t="s">
        <v>203</v>
      </c>
      <c r="D1156" t="s">
        <v>217</v>
      </c>
      <c r="E1156">
        <f>IF(LEFT(D1156,6)="CLIENT",IFERROR(VLOOKUP(C1156,Config_Carteiras!$A:$B,2,FALSE),1),"")</f>
        <v>1</v>
      </c>
      <c r="F1156" s="25">
        <v>847.3</v>
      </c>
      <c r="G1156" s="28">
        <f>IF(LEFT(D1156,6)="CLIENT",IF(E1156=0,WORKDAY(A1156-1,1,Dias_Sem_Compensacao!$A$2:$A$500),WORKDAY(A1156,E1156,Dias_Sem_Compensacao!$A$2:$A$500)),"")</f>
        <v>46297</v>
      </c>
      <c r="H1156" s="25">
        <v>0</v>
      </c>
      <c r="I1156" s="28">
        <v>46296</v>
      </c>
      <c r="J1156" t="s">
        <v>1546</v>
      </c>
      <c r="K1156" t="s">
        <v>1547</v>
      </c>
    </row>
    <row r="1157" spans="1:11" hidden="1">
      <c r="A1157" s="28">
        <v>46296</v>
      </c>
      <c r="B1157" t="s">
        <v>186</v>
      </c>
      <c r="C1157" t="s">
        <v>203</v>
      </c>
      <c r="D1157" t="s">
        <v>217</v>
      </c>
      <c r="E1157">
        <f>IF(LEFT(D1157,6)="CLIENT",IFERROR(VLOOKUP(C1157,Config_Carteiras!$A:$B,2,FALSE),1),"")</f>
        <v>1</v>
      </c>
      <c r="F1157" s="25">
        <v>632.30999999999995</v>
      </c>
      <c r="G1157" s="28">
        <f>IF(LEFT(D1157,6)="CLIENT",IF(E1157=0,WORKDAY(A1157-1,1,Dias_Sem_Compensacao!$A$2:$A$500),WORKDAY(A1157,E1157,Dias_Sem_Compensacao!$A$2:$A$500)),"")</f>
        <v>46297</v>
      </c>
      <c r="H1157" s="25">
        <v>0</v>
      </c>
      <c r="I1157" s="28">
        <v>46296</v>
      </c>
      <c r="J1157" t="s">
        <v>1548</v>
      </c>
      <c r="K1157" t="s">
        <v>1549</v>
      </c>
    </row>
    <row r="1158" spans="1:11" hidden="1">
      <c r="A1158" s="28">
        <v>46296</v>
      </c>
      <c r="B1158" t="s">
        <v>186</v>
      </c>
      <c r="C1158" t="s">
        <v>203</v>
      </c>
      <c r="D1158" t="s">
        <v>217</v>
      </c>
      <c r="E1158">
        <f>IF(LEFT(D1158,6)="CLIENT",IFERROR(VLOOKUP(C1158,Config_Carteiras!$A:$B,2,FALSE),1),"")</f>
        <v>1</v>
      </c>
      <c r="F1158" s="25">
        <v>1261</v>
      </c>
      <c r="G1158" s="28">
        <f>IF(LEFT(D1158,6)="CLIENT",IF(E1158=0,WORKDAY(A1158-1,1,Dias_Sem_Compensacao!$A$2:$A$500),WORKDAY(A1158,E1158,Dias_Sem_Compensacao!$A$2:$A$500)),"")</f>
        <v>46297</v>
      </c>
      <c r="H1158" s="25">
        <v>0</v>
      </c>
      <c r="I1158" s="28">
        <v>46296</v>
      </c>
      <c r="J1158" t="s">
        <v>1550</v>
      </c>
      <c r="K1158" t="s">
        <v>1551</v>
      </c>
    </row>
    <row r="1159" spans="1:11" hidden="1">
      <c r="A1159" s="28">
        <v>46296</v>
      </c>
      <c r="B1159" t="s">
        <v>186</v>
      </c>
      <c r="C1159" t="s">
        <v>203</v>
      </c>
      <c r="D1159" t="s">
        <v>217</v>
      </c>
      <c r="E1159">
        <f>IF(LEFT(D1159,6)="CLIENT",IFERROR(VLOOKUP(C1159,Config_Carteiras!$A:$B,2,FALSE),1),"")</f>
        <v>1</v>
      </c>
      <c r="F1159" s="25">
        <v>470</v>
      </c>
      <c r="G1159" s="28">
        <f>IF(LEFT(D1159,6)="CLIENT",IF(E1159=0,WORKDAY(A1159-1,1,Dias_Sem_Compensacao!$A$2:$A$500),WORKDAY(A1159,E1159,Dias_Sem_Compensacao!$A$2:$A$500)),"")</f>
        <v>46297</v>
      </c>
      <c r="H1159" s="25">
        <v>0</v>
      </c>
      <c r="I1159" s="28">
        <v>46296</v>
      </c>
      <c r="J1159" t="s">
        <v>1552</v>
      </c>
      <c r="K1159" t="s">
        <v>1553</v>
      </c>
    </row>
    <row r="1160" spans="1:11" hidden="1">
      <c r="A1160" s="28">
        <v>46296</v>
      </c>
      <c r="B1160" t="s">
        <v>186</v>
      </c>
      <c r="C1160" t="s">
        <v>203</v>
      </c>
      <c r="D1160" t="s">
        <v>217</v>
      </c>
      <c r="E1160">
        <f>IF(LEFT(D1160,6)="CLIENT",IFERROR(VLOOKUP(C1160,Config_Carteiras!$A:$B,2,FALSE),1),"")</f>
        <v>1</v>
      </c>
      <c r="F1160" s="25">
        <v>845.17</v>
      </c>
      <c r="G1160" s="28">
        <f>IF(LEFT(D1160,6)="CLIENT",IF(E1160=0,WORKDAY(A1160-1,1,Dias_Sem_Compensacao!$A$2:$A$500),WORKDAY(A1160,E1160,Dias_Sem_Compensacao!$A$2:$A$500)),"")</f>
        <v>46297</v>
      </c>
      <c r="H1160" s="25">
        <v>0</v>
      </c>
      <c r="I1160" s="28">
        <v>46296</v>
      </c>
      <c r="J1160" t="s">
        <v>1554</v>
      </c>
      <c r="K1160" t="s">
        <v>1555</v>
      </c>
    </row>
    <row r="1161" spans="1:11" hidden="1">
      <c r="A1161" s="28">
        <v>46296</v>
      </c>
      <c r="B1161" t="s">
        <v>186</v>
      </c>
      <c r="C1161" t="s">
        <v>203</v>
      </c>
      <c r="D1161" t="s">
        <v>217</v>
      </c>
      <c r="E1161">
        <f>IF(LEFT(D1161,6)="CLIENT",IFERROR(VLOOKUP(C1161,Config_Carteiras!$A:$B,2,FALSE),1),"")</f>
        <v>1</v>
      </c>
      <c r="F1161" s="25">
        <v>6280.99</v>
      </c>
      <c r="G1161" s="28">
        <f>IF(LEFT(D1161,6)="CLIENT",IF(E1161=0,WORKDAY(A1161-1,1,Dias_Sem_Compensacao!$A$2:$A$500),WORKDAY(A1161,E1161,Dias_Sem_Compensacao!$A$2:$A$500)),"")</f>
        <v>46297</v>
      </c>
      <c r="H1161" s="25">
        <v>0</v>
      </c>
      <c r="I1161" s="28">
        <v>46296</v>
      </c>
      <c r="J1161" t="s">
        <v>1556</v>
      </c>
      <c r="K1161" t="s">
        <v>1557</v>
      </c>
    </row>
    <row r="1162" spans="1:11" hidden="1">
      <c r="A1162" s="28">
        <v>46296</v>
      </c>
      <c r="B1162" t="s">
        <v>186</v>
      </c>
      <c r="C1162" t="s">
        <v>203</v>
      </c>
      <c r="D1162" t="s">
        <v>217</v>
      </c>
      <c r="E1162">
        <f>IF(LEFT(D1162,6)="CLIENT",IFERROR(VLOOKUP(C1162,Config_Carteiras!$A:$B,2,FALSE),1),"")</f>
        <v>1</v>
      </c>
      <c r="F1162" s="25">
        <v>862.28</v>
      </c>
      <c r="G1162" s="28">
        <f>IF(LEFT(D1162,6)="CLIENT",IF(E1162=0,WORKDAY(A1162-1,1,Dias_Sem_Compensacao!$A$2:$A$500),WORKDAY(A1162,E1162,Dias_Sem_Compensacao!$A$2:$A$500)),"")</f>
        <v>46297</v>
      </c>
      <c r="H1162" s="25">
        <v>0</v>
      </c>
      <c r="I1162" s="28">
        <v>46296</v>
      </c>
      <c r="J1162" t="s">
        <v>1558</v>
      </c>
      <c r="K1162" t="s">
        <v>1559</v>
      </c>
    </row>
    <row r="1163" spans="1:11" hidden="1">
      <c r="A1163" s="28">
        <v>46296</v>
      </c>
      <c r="B1163" t="s">
        <v>186</v>
      </c>
      <c r="C1163" t="s">
        <v>203</v>
      </c>
      <c r="D1163" t="s">
        <v>217</v>
      </c>
      <c r="E1163">
        <f>IF(LEFT(D1163,6)="CLIENT",IFERROR(VLOOKUP(C1163,Config_Carteiras!$A:$B,2,FALSE),1),"")</f>
        <v>1</v>
      </c>
      <c r="F1163" s="25">
        <v>1274</v>
      </c>
      <c r="G1163" s="28">
        <f>IF(LEFT(D1163,6)="CLIENT",IF(E1163=0,WORKDAY(A1163-1,1,Dias_Sem_Compensacao!$A$2:$A$500),WORKDAY(A1163,E1163,Dias_Sem_Compensacao!$A$2:$A$500)),"")</f>
        <v>46297</v>
      </c>
      <c r="H1163" s="25">
        <v>0</v>
      </c>
      <c r="I1163" s="28">
        <v>46296</v>
      </c>
      <c r="J1163" t="s">
        <v>1560</v>
      </c>
      <c r="K1163" t="s">
        <v>1561</v>
      </c>
    </row>
    <row r="1164" spans="1:11" hidden="1">
      <c r="A1164" s="28">
        <v>46296</v>
      </c>
      <c r="B1164" t="s">
        <v>186</v>
      </c>
      <c r="C1164" t="s">
        <v>203</v>
      </c>
      <c r="D1164" t="s">
        <v>217</v>
      </c>
      <c r="E1164">
        <f>IF(LEFT(D1164,6)="CLIENT",IFERROR(VLOOKUP(C1164,Config_Carteiras!$A:$B,2,FALSE),1),"")</f>
        <v>1</v>
      </c>
      <c r="F1164" s="25">
        <v>358</v>
      </c>
      <c r="G1164" s="28">
        <f>IF(LEFT(D1164,6)="CLIENT",IF(E1164=0,WORKDAY(A1164-1,1,Dias_Sem_Compensacao!$A$2:$A$500),WORKDAY(A1164,E1164,Dias_Sem_Compensacao!$A$2:$A$500)),"")</f>
        <v>46297</v>
      </c>
      <c r="H1164" s="25">
        <v>0</v>
      </c>
      <c r="I1164" s="28">
        <v>46296</v>
      </c>
      <c r="J1164" t="s">
        <v>1562</v>
      </c>
      <c r="K1164" t="s">
        <v>1563</v>
      </c>
    </row>
    <row r="1165" spans="1:11" hidden="1">
      <c r="A1165" s="28">
        <v>46296</v>
      </c>
      <c r="B1165" t="s">
        <v>186</v>
      </c>
      <c r="C1165" t="s">
        <v>203</v>
      </c>
      <c r="D1165" t="s">
        <v>217</v>
      </c>
      <c r="E1165">
        <f>IF(LEFT(D1165,6)="CLIENT",IFERROR(VLOOKUP(C1165,Config_Carteiras!$A:$B,2,FALSE),1),"")</f>
        <v>1</v>
      </c>
      <c r="F1165" s="25">
        <v>634</v>
      </c>
      <c r="G1165" s="28">
        <f>IF(LEFT(D1165,6)="CLIENT",IF(E1165=0,WORKDAY(A1165-1,1,Dias_Sem_Compensacao!$A$2:$A$500),WORKDAY(A1165,E1165,Dias_Sem_Compensacao!$A$2:$A$500)),"")</f>
        <v>46297</v>
      </c>
      <c r="H1165" s="25">
        <v>0</v>
      </c>
      <c r="I1165" s="28">
        <v>46296</v>
      </c>
      <c r="J1165" t="s">
        <v>1564</v>
      </c>
      <c r="K1165" t="s">
        <v>1565</v>
      </c>
    </row>
    <row r="1166" spans="1:11" hidden="1">
      <c r="A1166" s="28">
        <v>46296</v>
      </c>
      <c r="B1166" t="s">
        <v>186</v>
      </c>
      <c r="C1166" t="s">
        <v>203</v>
      </c>
      <c r="D1166" t="s">
        <v>217</v>
      </c>
      <c r="E1166">
        <f>IF(LEFT(D1166,6)="CLIENT",IFERROR(VLOOKUP(C1166,Config_Carteiras!$A:$B,2,FALSE),1),"")</f>
        <v>1</v>
      </c>
      <c r="F1166" s="25">
        <v>2072.6</v>
      </c>
      <c r="G1166" s="28">
        <f>IF(LEFT(D1166,6)="CLIENT",IF(E1166=0,WORKDAY(A1166-1,1,Dias_Sem_Compensacao!$A$2:$A$500),WORKDAY(A1166,E1166,Dias_Sem_Compensacao!$A$2:$A$500)),"")</f>
        <v>46297</v>
      </c>
      <c r="H1166" s="25">
        <v>0</v>
      </c>
      <c r="I1166" s="28">
        <v>46296</v>
      </c>
      <c r="J1166" t="s">
        <v>1566</v>
      </c>
      <c r="K1166" t="s">
        <v>1567</v>
      </c>
    </row>
    <row r="1167" spans="1:11" hidden="1">
      <c r="A1167" s="28">
        <v>46296</v>
      </c>
      <c r="B1167" t="s">
        <v>186</v>
      </c>
      <c r="C1167" t="s">
        <v>203</v>
      </c>
      <c r="D1167" t="s">
        <v>217</v>
      </c>
      <c r="E1167">
        <f>IF(LEFT(D1167,6)="CLIENT",IFERROR(VLOOKUP(C1167,Config_Carteiras!$A:$B,2,FALSE),1),"")</f>
        <v>1</v>
      </c>
      <c r="F1167" s="25">
        <v>1403</v>
      </c>
      <c r="G1167" s="28">
        <f>IF(LEFT(D1167,6)="CLIENT",IF(E1167=0,WORKDAY(A1167-1,1,Dias_Sem_Compensacao!$A$2:$A$500),WORKDAY(A1167,E1167,Dias_Sem_Compensacao!$A$2:$A$500)),"")</f>
        <v>46297</v>
      </c>
      <c r="H1167" s="25">
        <v>0</v>
      </c>
      <c r="I1167" s="28">
        <v>46296</v>
      </c>
      <c r="J1167" t="s">
        <v>1568</v>
      </c>
      <c r="K1167" t="s">
        <v>1569</v>
      </c>
    </row>
    <row r="1168" spans="1:11" hidden="1">
      <c r="A1168" s="28">
        <v>46296</v>
      </c>
      <c r="B1168" t="s">
        <v>186</v>
      </c>
      <c r="C1168" t="s">
        <v>203</v>
      </c>
      <c r="D1168" t="s">
        <v>217</v>
      </c>
      <c r="E1168">
        <f>IF(LEFT(D1168,6)="CLIENT",IFERROR(VLOOKUP(C1168,Config_Carteiras!$A:$B,2,FALSE),1),"")</f>
        <v>1</v>
      </c>
      <c r="F1168" s="25">
        <v>787.86</v>
      </c>
      <c r="G1168" s="28">
        <f>IF(LEFT(D1168,6)="CLIENT",IF(E1168=0,WORKDAY(A1168-1,1,Dias_Sem_Compensacao!$A$2:$A$500),WORKDAY(A1168,E1168,Dias_Sem_Compensacao!$A$2:$A$500)),"")</f>
        <v>46297</v>
      </c>
      <c r="H1168" s="25">
        <v>0</v>
      </c>
      <c r="I1168" s="28">
        <v>46296</v>
      </c>
      <c r="J1168" t="s">
        <v>1570</v>
      </c>
      <c r="K1168" t="s">
        <v>1571</v>
      </c>
    </row>
    <row r="1169" spans="1:11" hidden="1">
      <c r="A1169" s="28">
        <v>46296</v>
      </c>
      <c r="B1169" t="s">
        <v>186</v>
      </c>
      <c r="C1169" t="s">
        <v>203</v>
      </c>
      <c r="D1169" t="s">
        <v>217</v>
      </c>
      <c r="E1169">
        <f>IF(LEFT(D1169,6)="CLIENT",IFERROR(VLOOKUP(C1169,Config_Carteiras!$A:$B,2,FALSE),1),"")</f>
        <v>1</v>
      </c>
      <c r="F1169" s="25">
        <v>1347</v>
      </c>
      <c r="G1169" s="28">
        <f>IF(LEFT(D1169,6)="CLIENT",IF(E1169=0,WORKDAY(A1169-1,1,Dias_Sem_Compensacao!$A$2:$A$500),WORKDAY(A1169,E1169,Dias_Sem_Compensacao!$A$2:$A$500)),"")</f>
        <v>46297</v>
      </c>
      <c r="H1169" s="25">
        <v>0</v>
      </c>
      <c r="I1169" s="28">
        <v>46296</v>
      </c>
      <c r="J1169" t="s">
        <v>1572</v>
      </c>
      <c r="K1169" t="s">
        <v>1573</v>
      </c>
    </row>
    <row r="1170" spans="1:11" hidden="1">
      <c r="A1170" s="28">
        <v>46296</v>
      </c>
      <c r="B1170" t="s">
        <v>186</v>
      </c>
      <c r="C1170" t="s">
        <v>203</v>
      </c>
      <c r="D1170" t="s">
        <v>217</v>
      </c>
      <c r="E1170">
        <f>IF(LEFT(D1170,6)="CLIENT",IFERROR(VLOOKUP(C1170,Config_Carteiras!$A:$B,2,FALSE),1),"")</f>
        <v>1</v>
      </c>
      <c r="F1170" s="25">
        <v>516</v>
      </c>
      <c r="G1170" s="28">
        <f>IF(LEFT(D1170,6)="CLIENT",IF(E1170=0,WORKDAY(A1170-1,1,Dias_Sem_Compensacao!$A$2:$A$500),WORKDAY(A1170,E1170,Dias_Sem_Compensacao!$A$2:$A$500)),"")</f>
        <v>46297</v>
      </c>
      <c r="H1170" s="25">
        <v>0</v>
      </c>
      <c r="I1170" s="28">
        <v>46296</v>
      </c>
      <c r="J1170" t="s">
        <v>1574</v>
      </c>
      <c r="K1170" t="s">
        <v>1575</v>
      </c>
    </row>
    <row r="1171" spans="1:11" hidden="1">
      <c r="A1171" s="28">
        <v>46296</v>
      </c>
      <c r="B1171" t="s">
        <v>186</v>
      </c>
      <c r="C1171" t="s">
        <v>203</v>
      </c>
      <c r="D1171" t="s">
        <v>217</v>
      </c>
      <c r="E1171">
        <f>IF(LEFT(D1171,6)="CLIENT",IFERROR(VLOOKUP(C1171,Config_Carteiras!$A:$B,2,FALSE),1),"")</f>
        <v>1</v>
      </c>
      <c r="F1171" s="25">
        <v>4098</v>
      </c>
      <c r="G1171" s="28">
        <f>IF(LEFT(D1171,6)="CLIENT",IF(E1171=0,WORKDAY(A1171-1,1,Dias_Sem_Compensacao!$A$2:$A$500),WORKDAY(A1171,E1171,Dias_Sem_Compensacao!$A$2:$A$500)),"")</f>
        <v>46297</v>
      </c>
      <c r="H1171" s="25">
        <v>0</v>
      </c>
      <c r="I1171" s="28">
        <v>46296</v>
      </c>
      <c r="J1171" t="s">
        <v>1576</v>
      </c>
      <c r="K1171" t="s">
        <v>1577</v>
      </c>
    </row>
    <row r="1172" spans="1:11" hidden="1">
      <c r="A1172" s="28">
        <v>46296</v>
      </c>
      <c r="B1172" t="s">
        <v>186</v>
      </c>
      <c r="C1172" t="s">
        <v>203</v>
      </c>
      <c r="D1172" t="s">
        <v>217</v>
      </c>
      <c r="E1172">
        <f>IF(LEFT(D1172,6)="CLIENT",IFERROR(VLOOKUP(C1172,Config_Carteiras!$A:$B,2,FALSE),1),"")</f>
        <v>1</v>
      </c>
      <c r="F1172" s="25">
        <v>816</v>
      </c>
      <c r="G1172" s="28">
        <f>IF(LEFT(D1172,6)="CLIENT",IF(E1172=0,WORKDAY(A1172-1,1,Dias_Sem_Compensacao!$A$2:$A$500),WORKDAY(A1172,E1172,Dias_Sem_Compensacao!$A$2:$A$500)),"")</f>
        <v>46297</v>
      </c>
      <c r="H1172" s="25">
        <v>0</v>
      </c>
      <c r="I1172" s="28">
        <v>46296</v>
      </c>
      <c r="J1172" t="s">
        <v>1578</v>
      </c>
      <c r="K1172" t="s">
        <v>1579</v>
      </c>
    </row>
    <row r="1173" spans="1:11" hidden="1">
      <c r="A1173" s="28">
        <v>46296</v>
      </c>
      <c r="B1173" t="s">
        <v>186</v>
      </c>
      <c r="C1173" t="s">
        <v>203</v>
      </c>
      <c r="D1173" t="s">
        <v>217</v>
      </c>
      <c r="E1173">
        <f>IF(LEFT(D1173,6)="CLIENT",IFERROR(VLOOKUP(C1173,Config_Carteiras!$A:$B,2,FALSE),1),"")</f>
        <v>1</v>
      </c>
      <c r="F1173" s="25">
        <v>1381</v>
      </c>
      <c r="G1173" s="28">
        <f>IF(LEFT(D1173,6)="CLIENT",IF(E1173=0,WORKDAY(A1173-1,1,Dias_Sem_Compensacao!$A$2:$A$500),WORKDAY(A1173,E1173,Dias_Sem_Compensacao!$A$2:$A$500)),"")</f>
        <v>46297</v>
      </c>
      <c r="H1173" s="25">
        <v>0</v>
      </c>
      <c r="I1173" s="28">
        <v>46296</v>
      </c>
      <c r="J1173" t="s">
        <v>1580</v>
      </c>
      <c r="K1173" t="s">
        <v>1581</v>
      </c>
    </row>
    <row r="1174" spans="1:11" hidden="1">
      <c r="A1174" s="28">
        <v>46296</v>
      </c>
      <c r="B1174" t="s">
        <v>186</v>
      </c>
      <c r="C1174" t="s">
        <v>203</v>
      </c>
      <c r="D1174" t="s">
        <v>217</v>
      </c>
      <c r="E1174">
        <f>IF(LEFT(D1174,6)="CLIENT",IFERROR(VLOOKUP(C1174,Config_Carteiras!$A:$B,2,FALSE),1),"")</f>
        <v>1</v>
      </c>
      <c r="F1174" s="25">
        <v>4106</v>
      </c>
      <c r="G1174" s="28">
        <f>IF(LEFT(D1174,6)="CLIENT",IF(E1174=0,WORKDAY(A1174-1,1,Dias_Sem_Compensacao!$A$2:$A$500),WORKDAY(A1174,E1174,Dias_Sem_Compensacao!$A$2:$A$500)),"")</f>
        <v>46297</v>
      </c>
      <c r="H1174" s="25">
        <v>0</v>
      </c>
      <c r="I1174" s="28">
        <v>46296</v>
      </c>
      <c r="J1174" t="s">
        <v>1070</v>
      </c>
      <c r="K1174" t="s">
        <v>1071</v>
      </c>
    </row>
    <row r="1175" spans="1:11" hidden="1">
      <c r="A1175" s="28">
        <v>46296</v>
      </c>
      <c r="B1175" t="s">
        <v>186</v>
      </c>
      <c r="C1175" t="s">
        <v>203</v>
      </c>
      <c r="D1175" t="s">
        <v>217</v>
      </c>
      <c r="E1175">
        <f>IF(LEFT(D1175,6)="CLIENT",IFERROR(VLOOKUP(C1175,Config_Carteiras!$A:$B,2,FALSE),1),"")</f>
        <v>1</v>
      </c>
      <c r="F1175" s="25">
        <v>1917</v>
      </c>
      <c r="G1175" s="28">
        <f>IF(LEFT(D1175,6)="CLIENT",IF(E1175=0,WORKDAY(A1175-1,1,Dias_Sem_Compensacao!$A$2:$A$500),WORKDAY(A1175,E1175,Dias_Sem_Compensacao!$A$2:$A$500)),"")</f>
        <v>46297</v>
      </c>
      <c r="H1175" s="25">
        <v>0</v>
      </c>
      <c r="I1175" s="28">
        <v>46296</v>
      </c>
      <c r="J1175" t="s">
        <v>1582</v>
      </c>
      <c r="K1175" t="s">
        <v>1583</v>
      </c>
    </row>
    <row r="1176" spans="1:11" hidden="1">
      <c r="A1176" s="28">
        <v>46296</v>
      </c>
      <c r="B1176" t="s">
        <v>186</v>
      </c>
      <c r="C1176" t="s">
        <v>203</v>
      </c>
      <c r="D1176" t="s">
        <v>217</v>
      </c>
      <c r="E1176">
        <f>IF(LEFT(D1176,6)="CLIENT",IFERROR(VLOOKUP(C1176,Config_Carteiras!$A:$B,2,FALSE),1),"")</f>
        <v>1</v>
      </c>
      <c r="F1176" s="25">
        <v>3109.51</v>
      </c>
      <c r="G1176" s="28">
        <f>IF(LEFT(D1176,6)="CLIENT",IF(E1176=0,WORKDAY(A1176-1,1,Dias_Sem_Compensacao!$A$2:$A$500),WORKDAY(A1176,E1176,Dias_Sem_Compensacao!$A$2:$A$500)),"")</f>
        <v>46297</v>
      </c>
      <c r="H1176" s="25">
        <v>0</v>
      </c>
      <c r="I1176" s="28">
        <v>46296</v>
      </c>
      <c r="J1176" t="s">
        <v>1584</v>
      </c>
      <c r="K1176" t="s">
        <v>1585</v>
      </c>
    </row>
    <row r="1177" spans="1:11" hidden="1">
      <c r="A1177" s="28">
        <v>46296</v>
      </c>
      <c r="B1177" t="s">
        <v>186</v>
      </c>
      <c r="C1177" t="s">
        <v>203</v>
      </c>
      <c r="D1177" t="s">
        <v>217</v>
      </c>
      <c r="E1177">
        <f>IF(LEFT(D1177,6)="CLIENT",IFERROR(VLOOKUP(C1177,Config_Carteiras!$A:$B,2,FALSE),1),"")</f>
        <v>1</v>
      </c>
      <c r="F1177" s="25">
        <v>2880</v>
      </c>
      <c r="G1177" s="28">
        <f>IF(LEFT(D1177,6)="CLIENT",IF(E1177=0,WORKDAY(A1177-1,1,Dias_Sem_Compensacao!$A$2:$A$500),WORKDAY(A1177,E1177,Dias_Sem_Compensacao!$A$2:$A$500)),"")</f>
        <v>46297</v>
      </c>
      <c r="H1177" s="25">
        <v>0</v>
      </c>
      <c r="I1177" s="28">
        <v>46296</v>
      </c>
      <c r="J1177" t="s">
        <v>1586</v>
      </c>
      <c r="K1177" t="s">
        <v>1587</v>
      </c>
    </row>
    <row r="1178" spans="1:11" hidden="1">
      <c r="A1178" s="28">
        <v>46296</v>
      </c>
      <c r="B1178" t="s">
        <v>186</v>
      </c>
      <c r="C1178" t="s">
        <v>203</v>
      </c>
      <c r="D1178" t="s">
        <v>217</v>
      </c>
      <c r="E1178">
        <f>IF(LEFT(D1178,6)="CLIENT",IFERROR(VLOOKUP(C1178,Config_Carteiras!$A:$B,2,FALSE),1),"")</f>
        <v>1</v>
      </c>
      <c r="F1178" s="25">
        <v>1037</v>
      </c>
      <c r="G1178" s="28">
        <f>IF(LEFT(D1178,6)="CLIENT",IF(E1178=0,WORKDAY(A1178-1,1,Dias_Sem_Compensacao!$A$2:$A$500),WORKDAY(A1178,E1178,Dias_Sem_Compensacao!$A$2:$A$500)),"")</f>
        <v>46297</v>
      </c>
      <c r="H1178" s="25">
        <v>0</v>
      </c>
      <c r="I1178" s="28">
        <v>46296</v>
      </c>
      <c r="J1178" t="s">
        <v>1588</v>
      </c>
      <c r="K1178" t="s">
        <v>1589</v>
      </c>
    </row>
    <row r="1179" spans="1:11" hidden="1">
      <c r="A1179" s="28">
        <v>46296</v>
      </c>
      <c r="B1179" t="s">
        <v>186</v>
      </c>
      <c r="C1179" t="s">
        <v>203</v>
      </c>
      <c r="D1179" t="s">
        <v>217</v>
      </c>
      <c r="E1179">
        <f>IF(LEFT(D1179,6)="CLIENT",IFERROR(VLOOKUP(C1179,Config_Carteiras!$A:$B,2,FALSE),1),"")</f>
        <v>1</v>
      </c>
      <c r="F1179" s="25">
        <v>2065</v>
      </c>
      <c r="G1179" s="28">
        <f>IF(LEFT(D1179,6)="CLIENT",IF(E1179=0,WORKDAY(A1179-1,1,Dias_Sem_Compensacao!$A$2:$A$500),WORKDAY(A1179,E1179,Dias_Sem_Compensacao!$A$2:$A$500)),"")</f>
        <v>46297</v>
      </c>
      <c r="H1179" s="25">
        <v>0</v>
      </c>
      <c r="I1179" s="28">
        <v>46296</v>
      </c>
      <c r="J1179" t="s">
        <v>1590</v>
      </c>
      <c r="K1179" t="s">
        <v>1591</v>
      </c>
    </row>
    <row r="1180" spans="1:11" hidden="1">
      <c r="A1180" s="28">
        <v>46296</v>
      </c>
      <c r="B1180" t="s">
        <v>186</v>
      </c>
      <c r="C1180" t="s">
        <v>203</v>
      </c>
      <c r="D1180" t="s">
        <v>217</v>
      </c>
      <c r="E1180">
        <f>IF(LEFT(D1180,6)="CLIENT",IFERROR(VLOOKUP(C1180,Config_Carteiras!$A:$B,2,FALSE),1),"")</f>
        <v>1</v>
      </c>
      <c r="F1180" s="25">
        <v>676</v>
      </c>
      <c r="G1180" s="28">
        <f>IF(LEFT(D1180,6)="CLIENT",IF(E1180=0,WORKDAY(A1180-1,1,Dias_Sem_Compensacao!$A$2:$A$500),WORKDAY(A1180,E1180,Dias_Sem_Compensacao!$A$2:$A$500)),"")</f>
        <v>46297</v>
      </c>
      <c r="H1180" s="25">
        <v>0</v>
      </c>
      <c r="I1180" s="28">
        <v>46296</v>
      </c>
      <c r="J1180" t="s">
        <v>1592</v>
      </c>
      <c r="K1180" t="s">
        <v>1593</v>
      </c>
    </row>
    <row r="1181" spans="1:11" hidden="1">
      <c r="A1181" s="28">
        <v>46296</v>
      </c>
      <c r="B1181" t="s">
        <v>186</v>
      </c>
      <c r="C1181" t="s">
        <v>203</v>
      </c>
      <c r="D1181" t="s">
        <v>217</v>
      </c>
      <c r="E1181">
        <f>IF(LEFT(D1181,6)="CLIENT",IFERROR(VLOOKUP(C1181,Config_Carteiras!$A:$B,2,FALSE),1),"")</f>
        <v>1</v>
      </c>
      <c r="F1181" s="25">
        <v>398.98</v>
      </c>
      <c r="G1181" s="28">
        <f>IF(LEFT(D1181,6)="CLIENT",IF(E1181=0,WORKDAY(A1181-1,1,Dias_Sem_Compensacao!$A$2:$A$500),WORKDAY(A1181,E1181,Dias_Sem_Compensacao!$A$2:$A$500)),"")</f>
        <v>46297</v>
      </c>
      <c r="H1181" s="25">
        <v>0</v>
      </c>
      <c r="I1181" s="28">
        <v>46296</v>
      </c>
      <c r="J1181" t="s">
        <v>1028</v>
      </c>
      <c r="K1181" t="s">
        <v>1029</v>
      </c>
    </row>
    <row r="1182" spans="1:11" hidden="1">
      <c r="A1182" s="28">
        <v>46296</v>
      </c>
      <c r="B1182" t="s">
        <v>186</v>
      </c>
      <c r="C1182" t="s">
        <v>203</v>
      </c>
      <c r="D1182" t="s">
        <v>217</v>
      </c>
      <c r="E1182">
        <f>IF(LEFT(D1182,6)="CLIENT",IFERROR(VLOOKUP(C1182,Config_Carteiras!$A:$B,2,FALSE),1),"")</f>
        <v>1</v>
      </c>
      <c r="F1182" s="25">
        <v>507</v>
      </c>
      <c r="G1182" s="28">
        <f>IF(LEFT(D1182,6)="CLIENT",IF(E1182=0,WORKDAY(A1182-1,1,Dias_Sem_Compensacao!$A$2:$A$500),WORKDAY(A1182,E1182,Dias_Sem_Compensacao!$A$2:$A$500)),"")</f>
        <v>46297</v>
      </c>
      <c r="H1182" s="25">
        <v>0</v>
      </c>
      <c r="I1182" s="28">
        <v>46296</v>
      </c>
      <c r="J1182" t="s">
        <v>1594</v>
      </c>
      <c r="K1182" t="s">
        <v>1595</v>
      </c>
    </row>
    <row r="1183" spans="1:11" hidden="1">
      <c r="A1183" s="28">
        <v>46296</v>
      </c>
      <c r="B1183" t="s">
        <v>186</v>
      </c>
      <c r="C1183" t="s">
        <v>203</v>
      </c>
      <c r="D1183" t="s">
        <v>217</v>
      </c>
      <c r="E1183">
        <f>IF(LEFT(D1183,6)="CLIENT",IFERROR(VLOOKUP(C1183,Config_Carteiras!$A:$B,2,FALSE),1),"")</f>
        <v>1</v>
      </c>
      <c r="F1183" s="25">
        <v>1094</v>
      </c>
      <c r="G1183" s="28">
        <f>IF(LEFT(D1183,6)="CLIENT",IF(E1183=0,WORKDAY(A1183-1,1,Dias_Sem_Compensacao!$A$2:$A$500),WORKDAY(A1183,E1183,Dias_Sem_Compensacao!$A$2:$A$500)),"")</f>
        <v>46297</v>
      </c>
      <c r="H1183" s="25">
        <v>0</v>
      </c>
      <c r="I1183" s="28">
        <v>46296</v>
      </c>
      <c r="J1183" t="s">
        <v>1596</v>
      </c>
      <c r="K1183" t="s">
        <v>1597</v>
      </c>
    </row>
    <row r="1184" spans="1:11" hidden="1">
      <c r="A1184" s="28">
        <v>46296</v>
      </c>
      <c r="B1184" t="s">
        <v>186</v>
      </c>
      <c r="C1184" t="s">
        <v>203</v>
      </c>
      <c r="D1184" t="s">
        <v>217</v>
      </c>
      <c r="E1184">
        <f>IF(LEFT(D1184,6)="CLIENT",IFERROR(VLOOKUP(C1184,Config_Carteiras!$A:$B,2,FALSE),1),"")</f>
        <v>1</v>
      </c>
      <c r="F1184" s="25">
        <v>3825</v>
      </c>
      <c r="G1184" s="28">
        <f>IF(LEFT(D1184,6)="CLIENT",IF(E1184=0,WORKDAY(A1184-1,1,Dias_Sem_Compensacao!$A$2:$A$500),WORKDAY(A1184,E1184,Dias_Sem_Compensacao!$A$2:$A$500)),"")</f>
        <v>46297</v>
      </c>
      <c r="H1184" s="25">
        <v>0</v>
      </c>
      <c r="I1184" s="28">
        <v>46296</v>
      </c>
      <c r="J1184" t="s">
        <v>1598</v>
      </c>
      <c r="K1184" t="s">
        <v>1599</v>
      </c>
    </row>
    <row r="1185" spans="1:11" hidden="1">
      <c r="A1185" s="28">
        <v>46296</v>
      </c>
      <c r="B1185" t="s">
        <v>186</v>
      </c>
      <c r="C1185" t="s">
        <v>203</v>
      </c>
      <c r="D1185" t="s">
        <v>217</v>
      </c>
      <c r="E1185">
        <f>IF(LEFT(D1185,6)="CLIENT",IFERROR(VLOOKUP(C1185,Config_Carteiras!$A:$B,2,FALSE),1),"")</f>
        <v>1</v>
      </c>
      <c r="F1185" s="25">
        <v>3329</v>
      </c>
      <c r="G1185" s="28">
        <f>IF(LEFT(D1185,6)="CLIENT",IF(E1185=0,WORKDAY(A1185-1,1,Dias_Sem_Compensacao!$A$2:$A$500),WORKDAY(A1185,E1185,Dias_Sem_Compensacao!$A$2:$A$500)),"")</f>
        <v>46297</v>
      </c>
      <c r="H1185" s="25">
        <v>0</v>
      </c>
      <c r="I1185" s="28">
        <v>46296</v>
      </c>
      <c r="J1185" t="s">
        <v>1600</v>
      </c>
      <c r="K1185" t="s">
        <v>1601</v>
      </c>
    </row>
    <row r="1186" spans="1:11" hidden="1">
      <c r="A1186" s="28">
        <v>46296</v>
      </c>
      <c r="B1186" t="s">
        <v>186</v>
      </c>
      <c r="C1186" t="s">
        <v>203</v>
      </c>
      <c r="D1186" t="s">
        <v>217</v>
      </c>
      <c r="E1186">
        <f>IF(LEFT(D1186,6)="CLIENT",IFERROR(VLOOKUP(C1186,Config_Carteiras!$A:$B,2,FALSE),1),"")</f>
        <v>1</v>
      </c>
      <c r="F1186" s="25">
        <v>1391.44</v>
      </c>
      <c r="G1186" s="28">
        <f>IF(LEFT(D1186,6)="CLIENT",IF(E1186=0,WORKDAY(A1186-1,1,Dias_Sem_Compensacao!$A$2:$A$500),WORKDAY(A1186,E1186,Dias_Sem_Compensacao!$A$2:$A$500)),"")</f>
        <v>46297</v>
      </c>
      <c r="H1186" s="25">
        <v>0</v>
      </c>
      <c r="I1186" s="28">
        <v>46296</v>
      </c>
      <c r="J1186" t="s">
        <v>1022</v>
      </c>
      <c r="K1186" t="s">
        <v>1023</v>
      </c>
    </row>
    <row r="1187" spans="1:11" hidden="1">
      <c r="A1187" s="28">
        <v>46296</v>
      </c>
      <c r="B1187" t="s">
        <v>186</v>
      </c>
      <c r="C1187" t="s">
        <v>203</v>
      </c>
      <c r="D1187" t="s">
        <v>217</v>
      </c>
      <c r="E1187">
        <f>IF(LEFT(D1187,6)="CLIENT",IFERROR(VLOOKUP(C1187,Config_Carteiras!$A:$B,2,FALSE),1),"")</f>
        <v>1</v>
      </c>
      <c r="F1187" s="25">
        <v>1747</v>
      </c>
      <c r="G1187" s="28">
        <f>IF(LEFT(D1187,6)="CLIENT",IF(E1187=0,WORKDAY(A1187-1,1,Dias_Sem_Compensacao!$A$2:$A$500),WORKDAY(A1187,E1187,Dias_Sem_Compensacao!$A$2:$A$500)),"")</f>
        <v>46297</v>
      </c>
      <c r="H1187" s="25">
        <v>0</v>
      </c>
      <c r="I1187" s="28">
        <v>46296</v>
      </c>
      <c r="J1187" t="s">
        <v>1602</v>
      </c>
      <c r="K1187" t="s">
        <v>1603</v>
      </c>
    </row>
    <row r="1188" spans="1:11" hidden="1">
      <c r="A1188" s="28">
        <v>46296</v>
      </c>
      <c r="B1188" t="s">
        <v>186</v>
      </c>
      <c r="C1188" t="s">
        <v>203</v>
      </c>
      <c r="D1188" t="s">
        <v>217</v>
      </c>
      <c r="E1188">
        <f>IF(LEFT(D1188,6)="CLIENT",IFERROR(VLOOKUP(C1188,Config_Carteiras!$A:$B,2,FALSE),1),"")</f>
        <v>1</v>
      </c>
      <c r="F1188" s="25">
        <v>1017.51</v>
      </c>
      <c r="G1188" s="28">
        <f>IF(LEFT(D1188,6)="CLIENT",IF(E1188=0,WORKDAY(A1188-1,1,Dias_Sem_Compensacao!$A$2:$A$500),WORKDAY(A1188,E1188,Dias_Sem_Compensacao!$A$2:$A$500)),"")</f>
        <v>46297</v>
      </c>
      <c r="H1188" s="25">
        <v>0</v>
      </c>
      <c r="I1188" s="28">
        <v>46296</v>
      </c>
      <c r="J1188" t="s">
        <v>1604</v>
      </c>
      <c r="K1188" t="s">
        <v>1605</v>
      </c>
    </row>
    <row r="1189" spans="1:11" hidden="1">
      <c r="A1189" s="28">
        <v>46296</v>
      </c>
      <c r="B1189" t="s">
        <v>186</v>
      </c>
      <c r="C1189" t="s">
        <v>203</v>
      </c>
      <c r="D1189" t="s">
        <v>217</v>
      </c>
      <c r="E1189">
        <f>IF(LEFT(D1189,6)="CLIENT",IFERROR(VLOOKUP(C1189,Config_Carteiras!$A:$B,2,FALSE),1),"")</f>
        <v>1</v>
      </c>
      <c r="F1189" s="25">
        <v>571</v>
      </c>
      <c r="G1189" s="28">
        <f>IF(LEFT(D1189,6)="CLIENT",IF(E1189=0,WORKDAY(A1189-1,1,Dias_Sem_Compensacao!$A$2:$A$500),WORKDAY(A1189,E1189,Dias_Sem_Compensacao!$A$2:$A$500)),"")</f>
        <v>46297</v>
      </c>
      <c r="H1189" s="25">
        <v>0</v>
      </c>
      <c r="I1189" s="28">
        <v>46296</v>
      </c>
      <c r="J1189" t="s">
        <v>1606</v>
      </c>
      <c r="K1189" t="s">
        <v>1607</v>
      </c>
    </row>
    <row r="1190" spans="1:11" hidden="1">
      <c r="A1190" s="28">
        <v>46296</v>
      </c>
      <c r="B1190" t="s">
        <v>186</v>
      </c>
      <c r="C1190" t="s">
        <v>203</v>
      </c>
      <c r="D1190" t="s">
        <v>217</v>
      </c>
      <c r="E1190">
        <f>IF(LEFT(D1190,6)="CLIENT",IFERROR(VLOOKUP(C1190,Config_Carteiras!$A:$B,2,FALSE),1),"")</f>
        <v>1</v>
      </c>
      <c r="F1190" s="25">
        <v>306</v>
      </c>
      <c r="G1190" s="28">
        <f>IF(LEFT(D1190,6)="CLIENT",IF(E1190=0,WORKDAY(A1190-1,1,Dias_Sem_Compensacao!$A$2:$A$500),WORKDAY(A1190,E1190,Dias_Sem_Compensacao!$A$2:$A$500)),"")</f>
        <v>46297</v>
      </c>
      <c r="H1190" s="25">
        <v>0</v>
      </c>
      <c r="I1190" s="28">
        <v>46296</v>
      </c>
      <c r="J1190" t="s">
        <v>1608</v>
      </c>
      <c r="K1190" t="s">
        <v>1609</v>
      </c>
    </row>
    <row r="1191" spans="1:11" hidden="1">
      <c r="A1191" s="28">
        <v>46296</v>
      </c>
      <c r="B1191" t="s">
        <v>186</v>
      </c>
      <c r="C1191" t="s">
        <v>203</v>
      </c>
      <c r="D1191" t="s">
        <v>217</v>
      </c>
      <c r="E1191">
        <f>IF(LEFT(D1191,6)="CLIENT",IFERROR(VLOOKUP(C1191,Config_Carteiras!$A:$B,2,FALSE),1),"")</f>
        <v>1</v>
      </c>
      <c r="F1191" s="25">
        <v>342</v>
      </c>
      <c r="G1191" s="28">
        <f>IF(LEFT(D1191,6)="CLIENT",IF(E1191=0,WORKDAY(A1191-1,1,Dias_Sem_Compensacao!$A$2:$A$500),WORKDAY(A1191,E1191,Dias_Sem_Compensacao!$A$2:$A$500)),"")</f>
        <v>46297</v>
      </c>
      <c r="H1191" s="25">
        <v>0</v>
      </c>
      <c r="I1191" s="28">
        <v>46296</v>
      </c>
      <c r="J1191" t="s">
        <v>1610</v>
      </c>
      <c r="K1191" t="s">
        <v>1611</v>
      </c>
    </row>
    <row r="1192" spans="1:11" hidden="1">
      <c r="A1192" s="28">
        <v>46296</v>
      </c>
      <c r="B1192" t="s">
        <v>186</v>
      </c>
      <c r="C1192" t="s">
        <v>203</v>
      </c>
      <c r="D1192" t="s">
        <v>217</v>
      </c>
      <c r="E1192">
        <f>IF(LEFT(D1192,6)="CLIENT",IFERROR(VLOOKUP(C1192,Config_Carteiras!$A:$B,2,FALSE),1),"")</f>
        <v>1</v>
      </c>
      <c r="F1192" s="25">
        <v>604</v>
      </c>
      <c r="G1192" s="28">
        <f>IF(LEFT(D1192,6)="CLIENT",IF(E1192=0,WORKDAY(A1192-1,1,Dias_Sem_Compensacao!$A$2:$A$500),WORKDAY(A1192,E1192,Dias_Sem_Compensacao!$A$2:$A$500)),"")</f>
        <v>46297</v>
      </c>
      <c r="H1192" s="25">
        <v>0</v>
      </c>
      <c r="I1192" s="28">
        <v>46296</v>
      </c>
      <c r="J1192" t="s">
        <v>1612</v>
      </c>
      <c r="K1192" t="s">
        <v>1613</v>
      </c>
    </row>
    <row r="1193" spans="1:11" hidden="1">
      <c r="A1193" s="28">
        <v>46296</v>
      </c>
      <c r="B1193" t="s">
        <v>186</v>
      </c>
      <c r="C1193" t="s">
        <v>203</v>
      </c>
      <c r="D1193" t="s">
        <v>217</v>
      </c>
      <c r="E1193">
        <f>IF(LEFT(D1193,6)="CLIENT",IFERROR(VLOOKUP(C1193,Config_Carteiras!$A:$B,2,FALSE),1),"")</f>
        <v>1</v>
      </c>
      <c r="F1193" s="25">
        <v>2461</v>
      </c>
      <c r="G1193" s="28">
        <f>IF(LEFT(D1193,6)="CLIENT",IF(E1193=0,WORKDAY(A1193-1,1,Dias_Sem_Compensacao!$A$2:$A$500),WORKDAY(A1193,E1193,Dias_Sem_Compensacao!$A$2:$A$500)),"")</f>
        <v>46297</v>
      </c>
      <c r="H1193" s="25">
        <v>0</v>
      </c>
      <c r="I1193" s="28">
        <v>46296</v>
      </c>
      <c r="J1193" t="s">
        <v>1614</v>
      </c>
      <c r="K1193" t="s">
        <v>1615</v>
      </c>
    </row>
    <row r="1194" spans="1:11" hidden="1">
      <c r="A1194" s="28">
        <v>46296</v>
      </c>
      <c r="B1194" t="s">
        <v>186</v>
      </c>
      <c r="C1194" t="s">
        <v>203</v>
      </c>
      <c r="D1194" t="s">
        <v>217</v>
      </c>
      <c r="E1194">
        <f>IF(LEFT(D1194,6)="CLIENT",IFERROR(VLOOKUP(C1194,Config_Carteiras!$A:$B,2,FALSE),1),"")</f>
        <v>1</v>
      </c>
      <c r="F1194" s="25">
        <v>1471</v>
      </c>
      <c r="G1194" s="28">
        <f>IF(LEFT(D1194,6)="CLIENT",IF(E1194=0,WORKDAY(A1194-1,1,Dias_Sem_Compensacao!$A$2:$A$500),WORKDAY(A1194,E1194,Dias_Sem_Compensacao!$A$2:$A$500)),"")</f>
        <v>46297</v>
      </c>
      <c r="H1194" s="25">
        <v>0</v>
      </c>
      <c r="I1194" s="28">
        <v>46296</v>
      </c>
      <c r="J1194" t="s">
        <v>1616</v>
      </c>
      <c r="K1194" t="s">
        <v>1617</v>
      </c>
    </row>
    <row r="1195" spans="1:11" hidden="1">
      <c r="A1195" s="28">
        <v>46296</v>
      </c>
      <c r="B1195" t="s">
        <v>186</v>
      </c>
      <c r="C1195" t="s">
        <v>203</v>
      </c>
      <c r="D1195" t="s">
        <v>217</v>
      </c>
      <c r="E1195">
        <f>IF(LEFT(D1195,6)="CLIENT",IFERROR(VLOOKUP(C1195,Config_Carteiras!$A:$B,2,FALSE),1),"")</f>
        <v>1</v>
      </c>
      <c r="F1195" s="25">
        <v>890</v>
      </c>
      <c r="G1195" s="28">
        <f>IF(LEFT(D1195,6)="CLIENT",IF(E1195=0,WORKDAY(A1195-1,1,Dias_Sem_Compensacao!$A$2:$A$500),WORKDAY(A1195,E1195,Dias_Sem_Compensacao!$A$2:$A$500)),"")</f>
        <v>46297</v>
      </c>
      <c r="H1195" s="25">
        <v>0</v>
      </c>
      <c r="I1195" s="28">
        <v>46296</v>
      </c>
      <c r="J1195" t="s">
        <v>1618</v>
      </c>
      <c r="K1195" t="s">
        <v>1619</v>
      </c>
    </row>
    <row r="1196" spans="1:11" hidden="1">
      <c r="A1196" s="28">
        <v>46296</v>
      </c>
      <c r="B1196" t="s">
        <v>186</v>
      </c>
      <c r="C1196" t="s">
        <v>203</v>
      </c>
      <c r="D1196" t="s">
        <v>217</v>
      </c>
      <c r="E1196">
        <f>IF(LEFT(D1196,6)="CLIENT",IFERROR(VLOOKUP(C1196,Config_Carteiras!$A:$B,2,FALSE),1),"")</f>
        <v>1</v>
      </c>
      <c r="F1196" s="25">
        <v>3844</v>
      </c>
      <c r="G1196" s="28">
        <f>IF(LEFT(D1196,6)="CLIENT",IF(E1196=0,WORKDAY(A1196-1,1,Dias_Sem_Compensacao!$A$2:$A$500),WORKDAY(A1196,E1196,Dias_Sem_Compensacao!$A$2:$A$500)),"")</f>
        <v>46297</v>
      </c>
      <c r="H1196" s="25">
        <v>0</v>
      </c>
      <c r="I1196" s="28">
        <v>46296</v>
      </c>
      <c r="J1196" t="s">
        <v>1620</v>
      </c>
      <c r="K1196" t="s">
        <v>1621</v>
      </c>
    </row>
    <row r="1197" spans="1:11" hidden="1">
      <c r="A1197" s="28">
        <v>46296</v>
      </c>
      <c r="B1197" t="s">
        <v>186</v>
      </c>
      <c r="C1197" t="s">
        <v>203</v>
      </c>
      <c r="D1197" t="s">
        <v>217</v>
      </c>
      <c r="E1197">
        <f>IF(LEFT(D1197,6)="CLIENT",IFERROR(VLOOKUP(C1197,Config_Carteiras!$A:$B,2,FALSE),1),"")</f>
        <v>1</v>
      </c>
      <c r="F1197" s="25">
        <v>2261</v>
      </c>
      <c r="G1197" s="28">
        <f>IF(LEFT(D1197,6)="CLIENT",IF(E1197=0,WORKDAY(A1197-1,1,Dias_Sem_Compensacao!$A$2:$A$500),WORKDAY(A1197,E1197,Dias_Sem_Compensacao!$A$2:$A$500)),"")</f>
        <v>46297</v>
      </c>
      <c r="H1197" s="25">
        <v>0</v>
      </c>
      <c r="I1197" s="28">
        <v>46296</v>
      </c>
      <c r="J1197" t="s">
        <v>1072</v>
      </c>
      <c r="K1197" t="s">
        <v>1073</v>
      </c>
    </row>
    <row r="1198" spans="1:11" hidden="1">
      <c r="A1198" s="28">
        <v>46296</v>
      </c>
      <c r="B1198" t="s">
        <v>186</v>
      </c>
      <c r="C1198" t="s">
        <v>203</v>
      </c>
      <c r="D1198" t="s">
        <v>217</v>
      </c>
      <c r="E1198">
        <f>IF(LEFT(D1198,6)="CLIENT",IFERROR(VLOOKUP(C1198,Config_Carteiras!$A:$B,2,FALSE),1),"")</f>
        <v>1</v>
      </c>
      <c r="F1198" s="25">
        <v>713</v>
      </c>
      <c r="G1198" s="28">
        <f>IF(LEFT(D1198,6)="CLIENT",IF(E1198=0,WORKDAY(A1198-1,1,Dias_Sem_Compensacao!$A$2:$A$500),WORKDAY(A1198,E1198,Dias_Sem_Compensacao!$A$2:$A$500)),"")</f>
        <v>46297</v>
      </c>
      <c r="H1198" s="25">
        <v>0</v>
      </c>
      <c r="I1198" s="28">
        <v>46296</v>
      </c>
      <c r="J1198" t="s">
        <v>1622</v>
      </c>
      <c r="K1198" t="s">
        <v>1623</v>
      </c>
    </row>
    <row r="1199" spans="1:11" hidden="1">
      <c r="A1199" s="28">
        <v>46296</v>
      </c>
      <c r="B1199" t="s">
        <v>186</v>
      </c>
      <c r="C1199" t="s">
        <v>203</v>
      </c>
      <c r="D1199" t="s">
        <v>217</v>
      </c>
      <c r="E1199">
        <f>IF(LEFT(D1199,6)="CLIENT",IFERROR(VLOOKUP(C1199,Config_Carteiras!$A:$B,2,FALSE),1),"")</f>
        <v>1</v>
      </c>
      <c r="F1199" s="25">
        <v>593.83000000000004</v>
      </c>
      <c r="G1199" s="28">
        <f>IF(LEFT(D1199,6)="CLIENT",IF(E1199=0,WORKDAY(A1199-1,1,Dias_Sem_Compensacao!$A$2:$A$500),WORKDAY(A1199,E1199,Dias_Sem_Compensacao!$A$2:$A$500)),"")</f>
        <v>46297</v>
      </c>
      <c r="H1199" s="25">
        <v>0</v>
      </c>
      <c r="I1199" s="28">
        <v>46296</v>
      </c>
      <c r="J1199" t="s">
        <v>1074</v>
      </c>
      <c r="K1199" t="s">
        <v>1075</v>
      </c>
    </row>
    <row r="1200" spans="1:11" hidden="1">
      <c r="A1200" s="28">
        <v>46296</v>
      </c>
      <c r="B1200" t="s">
        <v>186</v>
      </c>
      <c r="C1200" t="s">
        <v>203</v>
      </c>
      <c r="D1200" t="s">
        <v>217</v>
      </c>
      <c r="E1200">
        <f>IF(LEFT(D1200,6)="CLIENT",IFERROR(VLOOKUP(C1200,Config_Carteiras!$A:$B,2,FALSE),1),"")</f>
        <v>1</v>
      </c>
      <c r="F1200" s="25">
        <v>855</v>
      </c>
      <c r="G1200" s="28">
        <f>IF(LEFT(D1200,6)="CLIENT",IF(E1200=0,WORKDAY(A1200-1,1,Dias_Sem_Compensacao!$A$2:$A$500),WORKDAY(A1200,E1200,Dias_Sem_Compensacao!$A$2:$A$500)),"")</f>
        <v>46297</v>
      </c>
      <c r="H1200" s="25">
        <v>0</v>
      </c>
      <c r="I1200" s="28">
        <v>46296</v>
      </c>
      <c r="J1200" t="s">
        <v>1624</v>
      </c>
      <c r="K1200" t="s">
        <v>1625</v>
      </c>
    </row>
    <row r="1201" spans="1:11" hidden="1">
      <c r="A1201" s="28">
        <v>46296</v>
      </c>
      <c r="B1201" t="s">
        <v>186</v>
      </c>
      <c r="C1201" t="s">
        <v>203</v>
      </c>
      <c r="D1201" t="s">
        <v>217</v>
      </c>
      <c r="E1201">
        <f>IF(LEFT(D1201,6)="CLIENT",IFERROR(VLOOKUP(C1201,Config_Carteiras!$A:$B,2,FALSE),1),"")</f>
        <v>1</v>
      </c>
      <c r="F1201" s="25">
        <v>1220.53</v>
      </c>
      <c r="G1201" s="28">
        <f>IF(LEFT(D1201,6)="CLIENT",IF(E1201=0,WORKDAY(A1201-1,1,Dias_Sem_Compensacao!$A$2:$A$500),WORKDAY(A1201,E1201,Dias_Sem_Compensacao!$A$2:$A$500)),"")</f>
        <v>46297</v>
      </c>
      <c r="H1201" s="25">
        <v>0</v>
      </c>
      <c r="I1201" s="28">
        <v>46296</v>
      </c>
      <c r="J1201" t="s">
        <v>1626</v>
      </c>
      <c r="K1201" t="s">
        <v>1627</v>
      </c>
    </row>
    <row r="1202" spans="1:11" hidden="1">
      <c r="A1202" s="28">
        <v>46296</v>
      </c>
      <c r="B1202" t="s">
        <v>186</v>
      </c>
      <c r="C1202" t="s">
        <v>203</v>
      </c>
      <c r="D1202" t="s">
        <v>217</v>
      </c>
      <c r="E1202">
        <f>IF(LEFT(D1202,6)="CLIENT",IFERROR(VLOOKUP(C1202,Config_Carteiras!$A:$B,2,FALSE),1),"")</f>
        <v>1</v>
      </c>
      <c r="F1202" s="25">
        <v>2232</v>
      </c>
      <c r="G1202" s="28">
        <f>IF(LEFT(D1202,6)="CLIENT",IF(E1202=0,WORKDAY(A1202-1,1,Dias_Sem_Compensacao!$A$2:$A$500),WORKDAY(A1202,E1202,Dias_Sem_Compensacao!$A$2:$A$500)),"")</f>
        <v>46297</v>
      </c>
      <c r="H1202" s="25">
        <v>0</v>
      </c>
      <c r="I1202" s="28">
        <v>46296</v>
      </c>
      <c r="J1202" t="s">
        <v>1416</v>
      </c>
      <c r="K1202" t="s">
        <v>1628</v>
      </c>
    </row>
    <row r="1203" spans="1:11" hidden="1">
      <c r="A1203" s="28">
        <v>46296</v>
      </c>
      <c r="B1203" t="s">
        <v>186</v>
      </c>
      <c r="C1203" t="s">
        <v>203</v>
      </c>
      <c r="D1203" t="s">
        <v>217</v>
      </c>
      <c r="E1203">
        <f>IF(LEFT(D1203,6)="CLIENT",IFERROR(VLOOKUP(C1203,Config_Carteiras!$A:$B,2,FALSE),1),"")</f>
        <v>1</v>
      </c>
      <c r="F1203" s="25">
        <v>500</v>
      </c>
      <c r="G1203" s="28">
        <f>IF(LEFT(D1203,6)="CLIENT",IF(E1203=0,WORKDAY(A1203-1,1,Dias_Sem_Compensacao!$A$2:$A$500),WORKDAY(A1203,E1203,Dias_Sem_Compensacao!$A$2:$A$500)),"")</f>
        <v>46297</v>
      </c>
      <c r="H1203" s="25">
        <v>0</v>
      </c>
      <c r="I1203" s="28">
        <v>46296</v>
      </c>
      <c r="J1203" t="s">
        <v>1629</v>
      </c>
      <c r="K1203" t="s">
        <v>1630</v>
      </c>
    </row>
    <row r="1204" spans="1:11" hidden="1">
      <c r="A1204" s="28">
        <v>46296</v>
      </c>
      <c r="B1204" t="s">
        <v>186</v>
      </c>
      <c r="C1204" t="s">
        <v>203</v>
      </c>
      <c r="D1204" t="s">
        <v>217</v>
      </c>
      <c r="E1204">
        <f>IF(LEFT(D1204,6)="CLIENT",IFERROR(VLOOKUP(C1204,Config_Carteiras!$A:$B,2,FALSE),1),"")</f>
        <v>1</v>
      </c>
      <c r="F1204" s="25">
        <v>700</v>
      </c>
      <c r="G1204" s="28">
        <f>IF(LEFT(D1204,6)="CLIENT",IF(E1204=0,WORKDAY(A1204-1,1,Dias_Sem_Compensacao!$A$2:$A$500),WORKDAY(A1204,E1204,Dias_Sem_Compensacao!$A$2:$A$500)),"")</f>
        <v>46297</v>
      </c>
      <c r="H1204" s="25">
        <v>0</v>
      </c>
      <c r="I1204" s="28">
        <v>46296</v>
      </c>
      <c r="J1204" t="s">
        <v>1631</v>
      </c>
      <c r="K1204" t="s">
        <v>1632</v>
      </c>
    </row>
    <row r="1205" spans="1:11" hidden="1">
      <c r="A1205" s="28">
        <v>46296</v>
      </c>
      <c r="B1205" t="s">
        <v>186</v>
      </c>
      <c r="C1205" t="s">
        <v>203</v>
      </c>
      <c r="D1205" t="s">
        <v>217</v>
      </c>
      <c r="E1205">
        <f>IF(LEFT(D1205,6)="CLIENT",IFERROR(VLOOKUP(C1205,Config_Carteiras!$A:$B,2,FALSE),1),"")</f>
        <v>1</v>
      </c>
      <c r="F1205" s="25">
        <v>780</v>
      </c>
      <c r="G1205" s="28">
        <f>IF(LEFT(D1205,6)="CLIENT",IF(E1205=0,WORKDAY(A1205-1,1,Dias_Sem_Compensacao!$A$2:$A$500),WORKDAY(A1205,E1205,Dias_Sem_Compensacao!$A$2:$A$500)),"")</f>
        <v>46297</v>
      </c>
      <c r="H1205" s="25">
        <v>0</v>
      </c>
      <c r="I1205" s="28">
        <v>46296</v>
      </c>
      <c r="J1205" t="s">
        <v>1633</v>
      </c>
      <c r="K1205" t="s">
        <v>1634</v>
      </c>
    </row>
    <row r="1206" spans="1:11" hidden="1">
      <c r="A1206" s="28">
        <v>46296</v>
      </c>
      <c r="B1206" t="s">
        <v>186</v>
      </c>
      <c r="C1206" t="s">
        <v>203</v>
      </c>
      <c r="D1206" t="s">
        <v>217</v>
      </c>
      <c r="E1206">
        <f>IF(LEFT(D1206,6)="CLIENT",IFERROR(VLOOKUP(C1206,Config_Carteiras!$A:$B,2,FALSE),1),"")</f>
        <v>1</v>
      </c>
      <c r="F1206" s="25">
        <v>670</v>
      </c>
      <c r="G1206" s="28">
        <f>IF(LEFT(D1206,6)="CLIENT",IF(E1206=0,WORKDAY(A1206-1,1,Dias_Sem_Compensacao!$A$2:$A$500),WORKDAY(A1206,E1206,Dias_Sem_Compensacao!$A$2:$A$500)),"")</f>
        <v>46297</v>
      </c>
      <c r="H1206" s="25">
        <v>0</v>
      </c>
      <c r="I1206" s="28">
        <v>46296</v>
      </c>
      <c r="J1206" t="s">
        <v>1635</v>
      </c>
      <c r="K1206" t="s">
        <v>1636</v>
      </c>
    </row>
    <row r="1207" spans="1:11" hidden="1">
      <c r="A1207" s="28">
        <v>46296</v>
      </c>
      <c r="B1207" t="s">
        <v>186</v>
      </c>
      <c r="C1207" t="s">
        <v>203</v>
      </c>
      <c r="D1207" t="s">
        <v>217</v>
      </c>
      <c r="E1207">
        <f>IF(LEFT(D1207,6)="CLIENT",IFERROR(VLOOKUP(C1207,Config_Carteiras!$A:$B,2,FALSE),1),"")</f>
        <v>1</v>
      </c>
      <c r="F1207" s="25">
        <v>465</v>
      </c>
      <c r="G1207" s="28">
        <f>IF(LEFT(D1207,6)="CLIENT",IF(E1207=0,WORKDAY(A1207-1,1,Dias_Sem_Compensacao!$A$2:$A$500),WORKDAY(A1207,E1207,Dias_Sem_Compensacao!$A$2:$A$500)),"")</f>
        <v>46297</v>
      </c>
      <c r="H1207" s="25">
        <v>0</v>
      </c>
      <c r="I1207" s="28">
        <v>46296</v>
      </c>
      <c r="J1207" t="s">
        <v>1076</v>
      </c>
      <c r="K1207" t="s">
        <v>1077</v>
      </c>
    </row>
    <row r="1208" spans="1:11" hidden="1">
      <c r="A1208" s="28">
        <v>46296</v>
      </c>
      <c r="B1208" t="s">
        <v>186</v>
      </c>
      <c r="C1208" t="s">
        <v>203</v>
      </c>
      <c r="D1208" t="s">
        <v>217</v>
      </c>
      <c r="E1208">
        <f>IF(LEFT(D1208,6)="CLIENT",IFERROR(VLOOKUP(C1208,Config_Carteiras!$A:$B,2,FALSE),1),"")</f>
        <v>1</v>
      </c>
      <c r="F1208" s="25">
        <v>3085.98</v>
      </c>
      <c r="G1208" s="28">
        <f>IF(LEFT(D1208,6)="CLIENT",IF(E1208=0,WORKDAY(A1208-1,1,Dias_Sem_Compensacao!$A$2:$A$500),WORKDAY(A1208,E1208,Dias_Sem_Compensacao!$A$2:$A$500)),"")</f>
        <v>46297</v>
      </c>
      <c r="H1208" s="25">
        <v>0</v>
      </c>
      <c r="I1208" s="28">
        <v>46296</v>
      </c>
      <c r="J1208" t="s">
        <v>1637</v>
      </c>
      <c r="K1208" t="s">
        <v>1638</v>
      </c>
    </row>
    <row r="1209" spans="1:11" hidden="1">
      <c r="A1209" s="28">
        <v>46296</v>
      </c>
      <c r="B1209" t="s">
        <v>186</v>
      </c>
      <c r="C1209" t="s">
        <v>203</v>
      </c>
      <c r="D1209" t="s">
        <v>217</v>
      </c>
      <c r="E1209">
        <f>IF(LEFT(D1209,6)="CLIENT",IFERROR(VLOOKUP(C1209,Config_Carteiras!$A:$B,2,FALSE),1),"")</f>
        <v>1</v>
      </c>
      <c r="F1209" s="25">
        <v>444.95</v>
      </c>
      <c r="G1209" s="28">
        <f>IF(LEFT(D1209,6)="CLIENT",IF(E1209=0,WORKDAY(A1209-1,1,Dias_Sem_Compensacao!$A$2:$A$500),WORKDAY(A1209,E1209,Dias_Sem_Compensacao!$A$2:$A$500)),"")</f>
        <v>46297</v>
      </c>
      <c r="H1209" s="25">
        <v>0</v>
      </c>
      <c r="I1209" s="28">
        <v>46296</v>
      </c>
      <c r="J1209" t="s">
        <v>1639</v>
      </c>
      <c r="K1209" t="s">
        <v>1640</v>
      </c>
    </row>
    <row r="1210" spans="1:11" hidden="1">
      <c r="A1210" s="28">
        <v>46296</v>
      </c>
      <c r="B1210" t="s">
        <v>186</v>
      </c>
      <c r="C1210" t="s">
        <v>203</v>
      </c>
      <c r="D1210" t="s">
        <v>217</v>
      </c>
      <c r="E1210">
        <f>IF(LEFT(D1210,6)="CLIENT",IFERROR(VLOOKUP(C1210,Config_Carteiras!$A:$B,2,FALSE),1),"")</f>
        <v>1</v>
      </c>
      <c r="F1210" s="25">
        <v>829.02</v>
      </c>
      <c r="G1210" s="28">
        <f>IF(LEFT(D1210,6)="CLIENT",IF(E1210=0,WORKDAY(A1210-1,1,Dias_Sem_Compensacao!$A$2:$A$500),WORKDAY(A1210,E1210,Dias_Sem_Compensacao!$A$2:$A$500)),"")</f>
        <v>46297</v>
      </c>
      <c r="H1210" s="25">
        <v>0</v>
      </c>
      <c r="I1210" s="28">
        <v>46296</v>
      </c>
      <c r="J1210" t="s">
        <v>1641</v>
      </c>
      <c r="K1210" t="s">
        <v>1642</v>
      </c>
    </row>
    <row r="1211" spans="1:11" hidden="1">
      <c r="A1211" s="28">
        <v>46296</v>
      </c>
      <c r="B1211" t="s">
        <v>186</v>
      </c>
      <c r="C1211" t="s">
        <v>203</v>
      </c>
      <c r="D1211" t="s">
        <v>217</v>
      </c>
      <c r="E1211">
        <f>IF(LEFT(D1211,6)="CLIENT",IFERROR(VLOOKUP(C1211,Config_Carteiras!$A:$B,2,FALSE),1),"")</f>
        <v>1</v>
      </c>
      <c r="F1211" s="25">
        <v>629.75</v>
      </c>
      <c r="G1211" s="28">
        <f>IF(LEFT(D1211,6)="CLIENT",IF(E1211=0,WORKDAY(A1211-1,1,Dias_Sem_Compensacao!$A$2:$A$500),WORKDAY(A1211,E1211,Dias_Sem_Compensacao!$A$2:$A$500)),"")</f>
        <v>46297</v>
      </c>
      <c r="H1211" s="25">
        <v>0</v>
      </c>
      <c r="I1211" s="28">
        <v>46296</v>
      </c>
      <c r="J1211" t="s">
        <v>475</v>
      </c>
      <c r="K1211" t="s">
        <v>1078</v>
      </c>
    </row>
    <row r="1212" spans="1:11" hidden="1">
      <c r="A1212" s="28">
        <v>46296</v>
      </c>
      <c r="B1212" t="s">
        <v>186</v>
      </c>
      <c r="C1212" t="s">
        <v>203</v>
      </c>
      <c r="D1212" t="s">
        <v>217</v>
      </c>
      <c r="E1212">
        <f>IF(LEFT(D1212,6)="CLIENT",IFERROR(VLOOKUP(C1212,Config_Carteiras!$A:$B,2,FALSE),1),"")</f>
        <v>1</v>
      </c>
      <c r="F1212" s="25">
        <v>2166</v>
      </c>
      <c r="G1212" s="28">
        <f>IF(LEFT(D1212,6)="CLIENT",IF(E1212=0,WORKDAY(A1212-1,1,Dias_Sem_Compensacao!$A$2:$A$500),WORKDAY(A1212,E1212,Dias_Sem_Compensacao!$A$2:$A$500)),"")</f>
        <v>46297</v>
      </c>
      <c r="H1212" s="25">
        <v>0</v>
      </c>
      <c r="I1212" s="28">
        <v>46296</v>
      </c>
      <c r="J1212" t="s">
        <v>1643</v>
      </c>
      <c r="K1212" t="s">
        <v>1644</v>
      </c>
    </row>
    <row r="1213" spans="1:11" hidden="1">
      <c r="A1213" s="28">
        <v>46296</v>
      </c>
      <c r="B1213" t="s">
        <v>186</v>
      </c>
      <c r="C1213" t="s">
        <v>203</v>
      </c>
      <c r="D1213" t="s">
        <v>217</v>
      </c>
      <c r="E1213">
        <f>IF(LEFT(D1213,6)="CLIENT",IFERROR(VLOOKUP(C1213,Config_Carteiras!$A:$B,2,FALSE),1),"")</f>
        <v>1</v>
      </c>
      <c r="F1213" s="25">
        <v>719</v>
      </c>
      <c r="G1213" s="28">
        <f>IF(LEFT(D1213,6)="CLIENT",IF(E1213=0,WORKDAY(A1213-1,1,Dias_Sem_Compensacao!$A$2:$A$500),WORKDAY(A1213,E1213,Dias_Sem_Compensacao!$A$2:$A$500)),"")</f>
        <v>46297</v>
      </c>
      <c r="H1213" s="25">
        <v>0</v>
      </c>
      <c r="I1213" s="28">
        <v>46296</v>
      </c>
      <c r="J1213" t="s">
        <v>1645</v>
      </c>
      <c r="K1213" t="s">
        <v>1646</v>
      </c>
    </row>
    <row r="1214" spans="1:11" hidden="1">
      <c r="A1214" s="28">
        <v>46297</v>
      </c>
      <c r="B1214" t="s">
        <v>186</v>
      </c>
      <c r="C1214" t="s">
        <v>203</v>
      </c>
      <c r="D1214" t="s">
        <v>217</v>
      </c>
      <c r="E1214">
        <f>IF(LEFT(D1214,6)="CLIENT",IFERROR(VLOOKUP(C1214,Config_Carteiras!$A:$B,2,FALSE),1),"")</f>
        <v>1</v>
      </c>
      <c r="F1214" s="25">
        <v>1343</v>
      </c>
      <c r="G1214" s="28">
        <f>IF(LEFT(D1214,6)="CLIENT",IF(E1214=0,WORKDAY(A1214-1,1,Dias_Sem_Compensacao!$A$2:$A$500),WORKDAY(A1214,E1214,Dias_Sem_Compensacao!$A$2:$A$500)),"")</f>
        <v>46300</v>
      </c>
      <c r="H1214" s="25">
        <v>0</v>
      </c>
      <c r="I1214" s="28">
        <v>46297</v>
      </c>
      <c r="J1214" t="s">
        <v>1647</v>
      </c>
      <c r="K1214" t="s">
        <v>1648</v>
      </c>
    </row>
    <row r="1215" spans="1:11" hidden="1">
      <c r="A1215" s="28">
        <v>46297</v>
      </c>
      <c r="B1215" t="s">
        <v>186</v>
      </c>
      <c r="C1215" t="s">
        <v>203</v>
      </c>
      <c r="D1215" t="s">
        <v>217</v>
      </c>
      <c r="E1215">
        <f>IF(LEFT(D1215,6)="CLIENT",IFERROR(VLOOKUP(C1215,Config_Carteiras!$A:$B,2,FALSE),1),"")</f>
        <v>1</v>
      </c>
      <c r="F1215" s="25">
        <v>592</v>
      </c>
      <c r="G1215" s="28">
        <f>IF(LEFT(D1215,6)="CLIENT",IF(E1215=0,WORKDAY(A1215-1,1,Dias_Sem_Compensacao!$A$2:$A$500),WORKDAY(A1215,E1215,Dias_Sem_Compensacao!$A$2:$A$500)),"")</f>
        <v>46300</v>
      </c>
      <c r="H1215" s="25">
        <v>0</v>
      </c>
      <c r="I1215" s="28">
        <v>46297</v>
      </c>
      <c r="J1215" t="s">
        <v>1649</v>
      </c>
      <c r="K1215" t="s">
        <v>1650</v>
      </c>
    </row>
    <row r="1216" spans="1:11" hidden="1">
      <c r="A1216" s="28">
        <v>46297</v>
      </c>
      <c r="B1216" t="s">
        <v>186</v>
      </c>
      <c r="C1216" t="s">
        <v>203</v>
      </c>
      <c r="D1216" t="s">
        <v>217</v>
      </c>
      <c r="E1216">
        <f>IF(LEFT(D1216,6)="CLIENT",IFERROR(VLOOKUP(C1216,Config_Carteiras!$A:$B,2,FALSE),1),"")</f>
        <v>1</v>
      </c>
      <c r="F1216" s="25">
        <v>1641.21</v>
      </c>
      <c r="G1216" s="28">
        <f>IF(LEFT(D1216,6)="CLIENT",IF(E1216=0,WORKDAY(A1216-1,1,Dias_Sem_Compensacao!$A$2:$A$500),WORKDAY(A1216,E1216,Dias_Sem_Compensacao!$A$2:$A$500)),"")</f>
        <v>46300</v>
      </c>
      <c r="H1216" s="25">
        <v>0</v>
      </c>
      <c r="I1216" s="28">
        <v>46297</v>
      </c>
      <c r="J1216" t="s">
        <v>1430</v>
      </c>
      <c r="K1216" t="s">
        <v>1651</v>
      </c>
    </row>
    <row r="1217" spans="1:11" hidden="1">
      <c r="A1217" s="28">
        <v>46297</v>
      </c>
      <c r="B1217" t="s">
        <v>186</v>
      </c>
      <c r="C1217" t="s">
        <v>203</v>
      </c>
      <c r="D1217" t="s">
        <v>217</v>
      </c>
      <c r="E1217">
        <f>IF(LEFT(D1217,6)="CLIENT",IFERROR(VLOOKUP(C1217,Config_Carteiras!$A:$B,2,FALSE),1),"")</f>
        <v>1</v>
      </c>
      <c r="F1217" s="25">
        <v>1476.31</v>
      </c>
      <c r="G1217" s="28">
        <f>IF(LEFT(D1217,6)="CLIENT",IF(E1217=0,WORKDAY(A1217-1,1,Dias_Sem_Compensacao!$A$2:$A$500),WORKDAY(A1217,E1217,Dias_Sem_Compensacao!$A$2:$A$500)),"")</f>
        <v>46300</v>
      </c>
      <c r="H1217" s="25">
        <v>0</v>
      </c>
      <c r="I1217" s="28">
        <v>46297</v>
      </c>
      <c r="J1217" t="s">
        <v>1652</v>
      </c>
      <c r="K1217" t="s">
        <v>1653</v>
      </c>
    </row>
    <row r="1218" spans="1:11" hidden="1">
      <c r="A1218" s="28">
        <v>46297</v>
      </c>
      <c r="B1218" t="s">
        <v>186</v>
      </c>
      <c r="C1218" t="s">
        <v>203</v>
      </c>
      <c r="D1218" t="s">
        <v>217</v>
      </c>
      <c r="E1218">
        <f>IF(LEFT(D1218,6)="CLIENT",IFERROR(VLOOKUP(C1218,Config_Carteiras!$A:$B,2,FALSE),1),"")</f>
        <v>1</v>
      </c>
      <c r="F1218" s="25">
        <v>1352</v>
      </c>
      <c r="G1218" s="28">
        <f>IF(LEFT(D1218,6)="CLIENT",IF(E1218=0,WORKDAY(A1218-1,1,Dias_Sem_Compensacao!$A$2:$A$500),WORKDAY(A1218,E1218,Dias_Sem_Compensacao!$A$2:$A$500)),"")</f>
        <v>46300</v>
      </c>
      <c r="H1218" s="25">
        <v>0</v>
      </c>
      <c r="I1218" s="28">
        <v>46297</v>
      </c>
      <c r="J1218" t="s">
        <v>1654</v>
      </c>
      <c r="K1218" t="s">
        <v>1655</v>
      </c>
    </row>
    <row r="1219" spans="1:11" hidden="1">
      <c r="A1219" s="28">
        <v>46297</v>
      </c>
      <c r="B1219" t="s">
        <v>186</v>
      </c>
      <c r="C1219" t="s">
        <v>203</v>
      </c>
      <c r="D1219" t="s">
        <v>217</v>
      </c>
      <c r="E1219">
        <f>IF(LEFT(D1219,6)="CLIENT",IFERROR(VLOOKUP(C1219,Config_Carteiras!$A:$B,2,FALSE),1),"")</f>
        <v>1</v>
      </c>
      <c r="F1219" s="25">
        <v>558.5</v>
      </c>
      <c r="G1219" s="28">
        <f>IF(LEFT(D1219,6)="CLIENT",IF(E1219=0,WORKDAY(A1219-1,1,Dias_Sem_Compensacao!$A$2:$A$500),WORKDAY(A1219,E1219,Dias_Sem_Compensacao!$A$2:$A$500)),"")</f>
        <v>46300</v>
      </c>
      <c r="H1219" s="25">
        <v>0</v>
      </c>
      <c r="I1219" s="28">
        <v>46297</v>
      </c>
      <c r="J1219" t="s">
        <v>1656</v>
      </c>
      <c r="K1219" t="s">
        <v>1657</v>
      </c>
    </row>
    <row r="1220" spans="1:11" hidden="1">
      <c r="A1220" s="28">
        <v>46297</v>
      </c>
      <c r="B1220" t="s">
        <v>186</v>
      </c>
      <c r="C1220" t="s">
        <v>203</v>
      </c>
      <c r="D1220" t="s">
        <v>217</v>
      </c>
      <c r="E1220">
        <f>IF(LEFT(D1220,6)="CLIENT",IFERROR(VLOOKUP(C1220,Config_Carteiras!$A:$B,2,FALSE),1),"")</f>
        <v>1</v>
      </c>
      <c r="F1220" s="25">
        <v>665</v>
      </c>
      <c r="G1220" s="28">
        <f>IF(LEFT(D1220,6)="CLIENT",IF(E1220=0,WORKDAY(A1220-1,1,Dias_Sem_Compensacao!$A$2:$A$500),WORKDAY(A1220,E1220,Dias_Sem_Compensacao!$A$2:$A$500)),"")</f>
        <v>46300</v>
      </c>
      <c r="H1220" s="25">
        <v>0</v>
      </c>
      <c r="I1220" s="28">
        <v>46297</v>
      </c>
      <c r="J1220" t="s">
        <v>1658</v>
      </c>
      <c r="K1220" t="s">
        <v>1659</v>
      </c>
    </row>
    <row r="1221" spans="1:11" hidden="1">
      <c r="A1221" s="28">
        <v>46297</v>
      </c>
      <c r="B1221" t="s">
        <v>186</v>
      </c>
      <c r="C1221" t="s">
        <v>203</v>
      </c>
      <c r="D1221" t="s">
        <v>217</v>
      </c>
      <c r="E1221">
        <f>IF(LEFT(D1221,6)="CLIENT",IFERROR(VLOOKUP(C1221,Config_Carteiras!$A:$B,2,FALSE),1),"")</f>
        <v>1</v>
      </c>
      <c r="F1221" s="25">
        <v>4522.3500000000004</v>
      </c>
      <c r="G1221" s="28">
        <f>IF(LEFT(D1221,6)="CLIENT",IF(E1221=0,WORKDAY(A1221-1,1,Dias_Sem_Compensacao!$A$2:$A$500),WORKDAY(A1221,E1221,Dias_Sem_Compensacao!$A$2:$A$500)),"")</f>
        <v>46300</v>
      </c>
      <c r="H1221" s="25">
        <v>0</v>
      </c>
      <c r="I1221" s="28">
        <v>46297</v>
      </c>
      <c r="J1221" t="s">
        <v>1660</v>
      </c>
      <c r="K1221" t="s">
        <v>1661</v>
      </c>
    </row>
    <row r="1222" spans="1:11" hidden="1">
      <c r="A1222" s="28">
        <v>46297</v>
      </c>
      <c r="B1222" t="s">
        <v>186</v>
      </c>
      <c r="C1222" t="s">
        <v>203</v>
      </c>
      <c r="D1222" t="s">
        <v>217</v>
      </c>
      <c r="E1222">
        <f>IF(LEFT(D1222,6)="CLIENT",IFERROR(VLOOKUP(C1222,Config_Carteiras!$A:$B,2,FALSE),1),"")</f>
        <v>1</v>
      </c>
      <c r="F1222" s="25">
        <v>1066.79</v>
      </c>
      <c r="G1222" s="28">
        <f>IF(LEFT(D1222,6)="CLIENT",IF(E1222=0,WORKDAY(A1222-1,1,Dias_Sem_Compensacao!$A$2:$A$500),WORKDAY(A1222,E1222,Dias_Sem_Compensacao!$A$2:$A$500)),"")</f>
        <v>46300</v>
      </c>
      <c r="H1222" s="25">
        <v>0</v>
      </c>
      <c r="I1222" s="28">
        <v>46297</v>
      </c>
      <c r="J1222" t="s">
        <v>1662</v>
      </c>
      <c r="K1222" t="s">
        <v>1663</v>
      </c>
    </row>
    <row r="1223" spans="1:11" hidden="1">
      <c r="A1223" s="28">
        <v>46297</v>
      </c>
      <c r="B1223" t="s">
        <v>186</v>
      </c>
      <c r="C1223" t="s">
        <v>203</v>
      </c>
      <c r="D1223" t="s">
        <v>217</v>
      </c>
      <c r="E1223">
        <f>IF(LEFT(D1223,6)="CLIENT",IFERROR(VLOOKUP(C1223,Config_Carteiras!$A:$B,2,FALSE),1),"")</f>
        <v>1</v>
      </c>
      <c r="F1223" s="25">
        <v>1718</v>
      </c>
      <c r="G1223" s="28">
        <f>IF(LEFT(D1223,6)="CLIENT",IF(E1223=0,WORKDAY(A1223-1,1,Dias_Sem_Compensacao!$A$2:$A$500),WORKDAY(A1223,E1223,Dias_Sem_Compensacao!$A$2:$A$500)),"")</f>
        <v>46300</v>
      </c>
      <c r="H1223" s="25">
        <v>0</v>
      </c>
      <c r="I1223" s="28">
        <v>46297</v>
      </c>
      <c r="J1223" t="s">
        <v>1664</v>
      </c>
      <c r="K1223" t="s">
        <v>1665</v>
      </c>
    </row>
    <row r="1224" spans="1:11" hidden="1">
      <c r="A1224" s="28">
        <v>46297</v>
      </c>
      <c r="B1224" t="s">
        <v>186</v>
      </c>
      <c r="C1224" t="s">
        <v>203</v>
      </c>
      <c r="D1224" t="s">
        <v>217</v>
      </c>
      <c r="E1224">
        <f>IF(LEFT(D1224,6)="CLIENT",IFERROR(VLOOKUP(C1224,Config_Carteiras!$A:$B,2,FALSE),1),"")</f>
        <v>1</v>
      </c>
      <c r="F1224" s="25">
        <v>4006.2</v>
      </c>
      <c r="G1224" s="28">
        <f>IF(LEFT(D1224,6)="CLIENT",IF(E1224=0,WORKDAY(A1224-1,1,Dias_Sem_Compensacao!$A$2:$A$500),WORKDAY(A1224,E1224,Dias_Sem_Compensacao!$A$2:$A$500)),"")</f>
        <v>46300</v>
      </c>
      <c r="H1224" s="25">
        <v>0</v>
      </c>
      <c r="I1224" s="28">
        <v>46297</v>
      </c>
      <c r="J1224" t="s">
        <v>1666</v>
      </c>
      <c r="K1224" t="s">
        <v>1667</v>
      </c>
    </row>
    <row r="1225" spans="1:11" hidden="1">
      <c r="A1225" s="28">
        <v>46297</v>
      </c>
      <c r="B1225" t="s">
        <v>186</v>
      </c>
      <c r="C1225" t="s">
        <v>203</v>
      </c>
      <c r="D1225" t="s">
        <v>217</v>
      </c>
      <c r="E1225">
        <f>IF(LEFT(D1225,6)="CLIENT",IFERROR(VLOOKUP(C1225,Config_Carteiras!$A:$B,2,FALSE),1),"")</f>
        <v>1</v>
      </c>
      <c r="F1225" s="25">
        <v>801.15</v>
      </c>
      <c r="G1225" s="28">
        <f>IF(LEFT(D1225,6)="CLIENT",IF(E1225=0,WORKDAY(A1225-1,1,Dias_Sem_Compensacao!$A$2:$A$500),WORKDAY(A1225,E1225,Dias_Sem_Compensacao!$A$2:$A$500)),"")</f>
        <v>46300</v>
      </c>
      <c r="H1225" s="25">
        <v>0</v>
      </c>
      <c r="I1225" s="28">
        <v>46297</v>
      </c>
      <c r="J1225" t="s">
        <v>1668</v>
      </c>
      <c r="K1225" t="s">
        <v>1669</v>
      </c>
    </row>
    <row r="1226" spans="1:11" hidden="1">
      <c r="A1226" s="28">
        <v>46297</v>
      </c>
      <c r="B1226" t="s">
        <v>186</v>
      </c>
      <c r="C1226" t="s">
        <v>203</v>
      </c>
      <c r="D1226" t="s">
        <v>217</v>
      </c>
      <c r="E1226">
        <f>IF(LEFT(D1226,6)="CLIENT",IFERROR(VLOOKUP(C1226,Config_Carteiras!$A:$B,2,FALSE),1),"")</f>
        <v>1</v>
      </c>
      <c r="F1226" s="25">
        <v>1721</v>
      </c>
      <c r="G1226" s="28">
        <f>IF(LEFT(D1226,6)="CLIENT",IF(E1226=0,WORKDAY(A1226-1,1,Dias_Sem_Compensacao!$A$2:$A$500),WORKDAY(A1226,E1226,Dias_Sem_Compensacao!$A$2:$A$500)),"")</f>
        <v>46300</v>
      </c>
      <c r="H1226" s="25">
        <v>0</v>
      </c>
      <c r="I1226" s="28">
        <v>46297</v>
      </c>
      <c r="J1226" t="s">
        <v>1670</v>
      </c>
      <c r="K1226" t="s">
        <v>1671</v>
      </c>
    </row>
    <row r="1227" spans="1:11" hidden="1">
      <c r="A1227" s="28">
        <v>46297</v>
      </c>
      <c r="B1227" t="s">
        <v>186</v>
      </c>
      <c r="C1227" t="s">
        <v>203</v>
      </c>
      <c r="D1227" t="s">
        <v>217</v>
      </c>
      <c r="E1227">
        <f>IF(LEFT(D1227,6)="CLIENT",IFERROR(VLOOKUP(C1227,Config_Carteiras!$A:$B,2,FALSE),1),"")</f>
        <v>1</v>
      </c>
      <c r="F1227" s="25">
        <v>2320</v>
      </c>
      <c r="G1227" s="28">
        <f>IF(LEFT(D1227,6)="CLIENT",IF(E1227=0,WORKDAY(A1227-1,1,Dias_Sem_Compensacao!$A$2:$A$500),WORKDAY(A1227,E1227,Dias_Sem_Compensacao!$A$2:$A$500)),"")</f>
        <v>46300</v>
      </c>
      <c r="H1227" s="25">
        <v>0</v>
      </c>
      <c r="I1227" s="28">
        <v>46297</v>
      </c>
      <c r="J1227" t="s">
        <v>1672</v>
      </c>
      <c r="K1227" t="s">
        <v>1673</v>
      </c>
    </row>
    <row r="1228" spans="1:11" hidden="1">
      <c r="A1228" s="28">
        <v>46297</v>
      </c>
      <c r="B1228" t="s">
        <v>186</v>
      </c>
      <c r="C1228" t="s">
        <v>203</v>
      </c>
      <c r="D1228" t="s">
        <v>217</v>
      </c>
      <c r="E1228">
        <f>IF(LEFT(D1228,6)="CLIENT",IFERROR(VLOOKUP(C1228,Config_Carteiras!$A:$B,2,FALSE),1),"")</f>
        <v>1</v>
      </c>
      <c r="F1228" s="25">
        <v>5124</v>
      </c>
      <c r="G1228" s="28">
        <f>IF(LEFT(D1228,6)="CLIENT",IF(E1228=0,WORKDAY(A1228-1,1,Dias_Sem_Compensacao!$A$2:$A$500),WORKDAY(A1228,E1228,Dias_Sem_Compensacao!$A$2:$A$500)),"")</f>
        <v>46300</v>
      </c>
      <c r="H1228" s="25">
        <v>0</v>
      </c>
      <c r="I1228" s="28">
        <v>46297</v>
      </c>
      <c r="J1228" t="s">
        <v>1302</v>
      </c>
      <c r="K1228" t="s">
        <v>1674</v>
      </c>
    </row>
    <row r="1229" spans="1:11" hidden="1">
      <c r="A1229" s="28">
        <v>46297</v>
      </c>
      <c r="B1229" t="s">
        <v>186</v>
      </c>
      <c r="C1229" t="s">
        <v>203</v>
      </c>
      <c r="D1229" t="s">
        <v>217</v>
      </c>
      <c r="E1229">
        <f>IF(LEFT(D1229,6)="CLIENT",IFERROR(VLOOKUP(C1229,Config_Carteiras!$A:$B,2,FALSE),1),"")</f>
        <v>1</v>
      </c>
      <c r="F1229" s="25">
        <v>25512</v>
      </c>
      <c r="G1229" s="28">
        <f>IF(LEFT(D1229,6)="CLIENT",IF(E1229=0,WORKDAY(A1229-1,1,Dias_Sem_Compensacao!$A$2:$A$500),WORKDAY(A1229,E1229,Dias_Sem_Compensacao!$A$2:$A$500)),"")</f>
        <v>46300</v>
      </c>
      <c r="H1229" s="25">
        <v>0</v>
      </c>
      <c r="I1229" s="28">
        <v>46297</v>
      </c>
      <c r="J1229" t="s">
        <v>1138</v>
      </c>
      <c r="K1229" t="s">
        <v>1675</v>
      </c>
    </row>
    <row r="1230" spans="1:11" hidden="1">
      <c r="A1230" s="28">
        <v>46297</v>
      </c>
      <c r="B1230" t="s">
        <v>186</v>
      </c>
      <c r="C1230" t="s">
        <v>203</v>
      </c>
      <c r="D1230" t="s">
        <v>217</v>
      </c>
      <c r="E1230">
        <f>IF(LEFT(D1230,6)="CLIENT",IFERROR(VLOOKUP(C1230,Config_Carteiras!$A:$B,2,FALSE),1),"")</f>
        <v>1</v>
      </c>
      <c r="F1230" s="25">
        <v>680.84</v>
      </c>
      <c r="G1230" s="28">
        <f>IF(LEFT(D1230,6)="CLIENT",IF(E1230=0,WORKDAY(A1230-1,1,Dias_Sem_Compensacao!$A$2:$A$500),WORKDAY(A1230,E1230,Dias_Sem_Compensacao!$A$2:$A$500)),"")</f>
        <v>46300</v>
      </c>
      <c r="H1230" s="25">
        <v>0</v>
      </c>
      <c r="I1230" s="28">
        <v>46297</v>
      </c>
      <c r="J1230" t="s">
        <v>1676</v>
      </c>
      <c r="K1230" t="s">
        <v>1677</v>
      </c>
    </row>
    <row r="1231" spans="1:11" hidden="1">
      <c r="A1231" s="28">
        <v>46297</v>
      </c>
      <c r="B1231" t="s">
        <v>186</v>
      </c>
      <c r="C1231" t="s">
        <v>203</v>
      </c>
      <c r="D1231" t="s">
        <v>217</v>
      </c>
      <c r="E1231">
        <f>IF(LEFT(D1231,6)="CLIENT",IFERROR(VLOOKUP(C1231,Config_Carteiras!$A:$B,2,FALSE),1),"")</f>
        <v>1</v>
      </c>
      <c r="F1231" s="25">
        <v>803.4</v>
      </c>
      <c r="G1231" s="28">
        <f>IF(LEFT(D1231,6)="CLIENT",IF(E1231=0,WORKDAY(A1231-1,1,Dias_Sem_Compensacao!$A$2:$A$500),WORKDAY(A1231,E1231,Dias_Sem_Compensacao!$A$2:$A$500)),"")</f>
        <v>46300</v>
      </c>
      <c r="H1231" s="25">
        <v>0</v>
      </c>
      <c r="I1231" s="28">
        <v>46297</v>
      </c>
      <c r="J1231" t="s">
        <v>1678</v>
      </c>
      <c r="K1231" t="s">
        <v>1679</v>
      </c>
    </row>
    <row r="1232" spans="1:11" hidden="1">
      <c r="A1232" s="28">
        <v>46297</v>
      </c>
      <c r="B1232" t="s">
        <v>186</v>
      </c>
      <c r="C1232" t="s">
        <v>203</v>
      </c>
      <c r="D1232" t="s">
        <v>217</v>
      </c>
      <c r="E1232">
        <f>IF(LEFT(D1232,6)="CLIENT",IFERROR(VLOOKUP(C1232,Config_Carteiras!$A:$B,2,FALSE),1),"")</f>
        <v>1</v>
      </c>
      <c r="F1232" s="25">
        <v>677</v>
      </c>
      <c r="G1232" s="28">
        <f>IF(LEFT(D1232,6)="CLIENT",IF(E1232=0,WORKDAY(A1232-1,1,Dias_Sem_Compensacao!$A$2:$A$500),WORKDAY(A1232,E1232,Dias_Sem_Compensacao!$A$2:$A$500)),"")</f>
        <v>46300</v>
      </c>
      <c r="H1232" s="25">
        <v>0</v>
      </c>
      <c r="I1232" s="28">
        <v>46297</v>
      </c>
      <c r="J1232" t="s">
        <v>269</v>
      </c>
      <c r="K1232" t="s">
        <v>1680</v>
      </c>
    </row>
    <row r="1233" spans="1:11" hidden="1">
      <c r="A1233" s="28">
        <v>46297</v>
      </c>
      <c r="B1233" t="s">
        <v>186</v>
      </c>
      <c r="C1233" t="s">
        <v>203</v>
      </c>
      <c r="D1233" t="s">
        <v>217</v>
      </c>
      <c r="E1233">
        <f>IF(LEFT(D1233,6)="CLIENT",IFERROR(VLOOKUP(C1233,Config_Carteiras!$A:$B,2,FALSE),1),"")</f>
        <v>1</v>
      </c>
      <c r="F1233" s="25">
        <v>3165.15</v>
      </c>
      <c r="G1233" s="28">
        <f>IF(LEFT(D1233,6)="CLIENT",IF(E1233=0,WORKDAY(A1233-1,1,Dias_Sem_Compensacao!$A$2:$A$500),WORKDAY(A1233,E1233,Dias_Sem_Compensacao!$A$2:$A$500)),"")</f>
        <v>46300</v>
      </c>
      <c r="H1233" s="25">
        <v>0</v>
      </c>
      <c r="I1233" s="28">
        <v>46297</v>
      </c>
      <c r="J1233" t="s">
        <v>1681</v>
      </c>
      <c r="K1233" t="s">
        <v>1682</v>
      </c>
    </row>
    <row r="1234" spans="1:11" hidden="1">
      <c r="A1234" s="28">
        <v>46297</v>
      </c>
      <c r="B1234" t="s">
        <v>186</v>
      </c>
      <c r="C1234" t="s">
        <v>203</v>
      </c>
      <c r="D1234" t="s">
        <v>217</v>
      </c>
      <c r="E1234">
        <f>IF(LEFT(D1234,6)="CLIENT",IFERROR(VLOOKUP(C1234,Config_Carteiras!$A:$B,2,FALSE),1),"")</f>
        <v>1</v>
      </c>
      <c r="F1234" s="25">
        <v>22083.52</v>
      </c>
      <c r="G1234" s="28">
        <f>IF(LEFT(D1234,6)="CLIENT",IF(E1234=0,WORKDAY(A1234-1,1,Dias_Sem_Compensacao!$A$2:$A$500),WORKDAY(A1234,E1234,Dias_Sem_Compensacao!$A$2:$A$500)),"")</f>
        <v>46300</v>
      </c>
      <c r="H1234" s="25">
        <v>0</v>
      </c>
      <c r="I1234" s="28">
        <v>46297</v>
      </c>
      <c r="J1234" t="s">
        <v>1683</v>
      </c>
      <c r="K1234" t="s">
        <v>1684</v>
      </c>
    </row>
    <row r="1235" spans="1:11" hidden="1">
      <c r="A1235" s="28">
        <v>46297</v>
      </c>
      <c r="B1235" t="s">
        <v>186</v>
      </c>
      <c r="C1235" t="s">
        <v>203</v>
      </c>
      <c r="D1235" t="s">
        <v>217</v>
      </c>
      <c r="E1235">
        <f>IF(LEFT(D1235,6)="CLIENT",IFERROR(VLOOKUP(C1235,Config_Carteiras!$A:$B,2,FALSE),1),"")</f>
        <v>1</v>
      </c>
      <c r="F1235" s="25">
        <v>3781.84</v>
      </c>
      <c r="G1235" s="28">
        <f>IF(LEFT(D1235,6)="CLIENT",IF(E1235=0,WORKDAY(A1235-1,1,Dias_Sem_Compensacao!$A$2:$A$500),WORKDAY(A1235,E1235,Dias_Sem_Compensacao!$A$2:$A$500)),"")</f>
        <v>46300</v>
      </c>
      <c r="H1235" s="25">
        <v>0</v>
      </c>
      <c r="I1235" s="28">
        <v>46297</v>
      </c>
      <c r="J1235" t="s">
        <v>1685</v>
      </c>
      <c r="K1235" t="s">
        <v>1686</v>
      </c>
    </row>
    <row r="1236" spans="1:11" hidden="1">
      <c r="A1236" s="28">
        <v>46297</v>
      </c>
      <c r="B1236" t="s">
        <v>186</v>
      </c>
      <c r="C1236" t="s">
        <v>203</v>
      </c>
      <c r="D1236" t="s">
        <v>217</v>
      </c>
      <c r="E1236">
        <f>IF(LEFT(D1236,6)="CLIENT",IFERROR(VLOOKUP(C1236,Config_Carteiras!$A:$B,2,FALSE),1),"")</f>
        <v>1</v>
      </c>
      <c r="F1236" s="25">
        <v>617</v>
      </c>
      <c r="G1236" s="28">
        <f>IF(LEFT(D1236,6)="CLIENT",IF(E1236=0,WORKDAY(A1236-1,1,Dias_Sem_Compensacao!$A$2:$A$500),WORKDAY(A1236,E1236,Dias_Sem_Compensacao!$A$2:$A$500)),"")</f>
        <v>46300</v>
      </c>
      <c r="H1236" s="25">
        <v>0</v>
      </c>
      <c r="I1236" s="28">
        <v>46297</v>
      </c>
      <c r="J1236" t="s">
        <v>1687</v>
      </c>
      <c r="K1236" t="s">
        <v>1688</v>
      </c>
    </row>
    <row r="1237" spans="1:11" hidden="1">
      <c r="A1237" s="28">
        <v>46297</v>
      </c>
      <c r="B1237" t="s">
        <v>186</v>
      </c>
      <c r="C1237" t="s">
        <v>203</v>
      </c>
      <c r="D1237" t="s">
        <v>217</v>
      </c>
      <c r="E1237">
        <f>IF(LEFT(D1237,6)="CLIENT",IFERROR(VLOOKUP(C1237,Config_Carteiras!$A:$B,2,FALSE),1),"")</f>
        <v>1</v>
      </c>
      <c r="F1237" s="25">
        <v>6633</v>
      </c>
      <c r="G1237" s="28">
        <f>IF(LEFT(D1237,6)="CLIENT",IF(E1237=0,WORKDAY(A1237-1,1,Dias_Sem_Compensacao!$A$2:$A$500),WORKDAY(A1237,E1237,Dias_Sem_Compensacao!$A$2:$A$500)),"")</f>
        <v>46300</v>
      </c>
      <c r="H1237" s="25">
        <v>0</v>
      </c>
      <c r="I1237" s="28">
        <v>46297</v>
      </c>
      <c r="J1237" t="s">
        <v>1689</v>
      </c>
      <c r="K1237" t="s">
        <v>1690</v>
      </c>
    </row>
    <row r="1238" spans="1:11" hidden="1">
      <c r="A1238" s="28">
        <v>46297</v>
      </c>
      <c r="B1238" t="s">
        <v>186</v>
      </c>
      <c r="C1238" t="s">
        <v>203</v>
      </c>
      <c r="D1238" t="s">
        <v>217</v>
      </c>
      <c r="E1238">
        <f>IF(LEFT(D1238,6)="CLIENT",IFERROR(VLOOKUP(C1238,Config_Carteiras!$A:$B,2,FALSE),1),"")</f>
        <v>1</v>
      </c>
      <c r="F1238" s="25">
        <v>11196</v>
      </c>
      <c r="G1238" s="28">
        <f>IF(LEFT(D1238,6)="CLIENT",IF(E1238=0,WORKDAY(A1238-1,1,Dias_Sem_Compensacao!$A$2:$A$500),WORKDAY(A1238,E1238,Dias_Sem_Compensacao!$A$2:$A$500)),"")</f>
        <v>46300</v>
      </c>
      <c r="H1238" s="25">
        <v>0</v>
      </c>
      <c r="I1238" s="28">
        <v>46297</v>
      </c>
      <c r="J1238" t="s">
        <v>1162</v>
      </c>
      <c r="K1238" t="s">
        <v>1691</v>
      </c>
    </row>
    <row r="1239" spans="1:11" hidden="1">
      <c r="A1239" s="28">
        <v>46297</v>
      </c>
      <c r="B1239" t="s">
        <v>186</v>
      </c>
      <c r="C1239" t="s">
        <v>203</v>
      </c>
      <c r="D1239" t="s">
        <v>217</v>
      </c>
      <c r="E1239">
        <f>IF(LEFT(D1239,6)="CLIENT",IFERROR(VLOOKUP(C1239,Config_Carteiras!$A:$B,2,FALSE),1),"")</f>
        <v>1</v>
      </c>
      <c r="F1239" s="25">
        <v>864</v>
      </c>
      <c r="G1239" s="28">
        <f>IF(LEFT(D1239,6)="CLIENT",IF(E1239=0,WORKDAY(A1239-1,1,Dias_Sem_Compensacao!$A$2:$A$500),WORKDAY(A1239,E1239,Dias_Sem_Compensacao!$A$2:$A$500)),"")</f>
        <v>46300</v>
      </c>
      <c r="H1239" s="25">
        <v>0</v>
      </c>
      <c r="I1239" s="28">
        <v>46297</v>
      </c>
      <c r="J1239" t="s">
        <v>1692</v>
      </c>
      <c r="K1239" t="s">
        <v>1693</v>
      </c>
    </row>
    <row r="1240" spans="1:11" hidden="1">
      <c r="A1240" s="28">
        <v>46297</v>
      </c>
      <c r="B1240" t="s">
        <v>186</v>
      </c>
      <c r="C1240" t="s">
        <v>203</v>
      </c>
      <c r="D1240" t="s">
        <v>217</v>
      </c>
      <c r="E1240">
        <f>IF(LEFT(D1240,6)="CLIENT",IFERROR(VLOOKUP(C1240,Config_Carteiras!$A:$B,2,FALSE),1),"")</f>
        <v>1</v>
      </c>
      <c r="F1240" s="25">
        <v>1528</v>
      </c>
      <c r="G1240" s="28">
        <f>IF(LEFT(D1240,6)="CLIENT",IF(E1240=0,WORKDAY(A1240-1,1,Dias_Sem_Compensacao!$A$2:$A$500),WORKDAY(A1240,E1240,Dias_Sem_Compensacao!$A$2:$A$500)),"")</f>
        <v>46300</v>
      </c>
      <c r="H1240" s="25">
        <v>0</v>
      </c>
      <c r="I1240" s="28">
        <v>46297</v>
      </c>
      <c r="J1240" t="s">
        <v>1694</v>
      </c>
      <c r="K1240" t="s">
        <v>1695</v>
      </c>
    </row>
    <row r="1241" spans="1:11" hidden="1">
      <c r="A1241" s="28">
        <v>46297</v>
      </c>
      <c r="B1241" t="s">
        <v>186</v>
      </c>
      <c r="C1241" t="s">
        <v>203</v>
      </c>
      <c r="D1241" t="s">
        <v>217</v>
      </c>
      <c r="E1241">
        <f>IF(LEFT(D1241,6)="CLIENT",IFERROR(VLOOKUP(C1241,Config_Carteiras!$A:$B,2,FALSE),1),"")</f>
        <v>1</v>
      </c>
      <c r="F1241" s="25">
        <v>2740</v>
      </c>
      <c r="G1241" s="28">
        <f>IF(LEFT(D1241,6)="CLIENT",IF(E1241=0,WORKDAY(A1241-1,1,Dias_Sem_Compensacao!$A$2:$A$500),WORKDAY(A1241,E1241,Dias_Sem_Compensacao!$A$2:$A$500)),"")</f>
        <v>46300</v>
      </c>
      <c r="H1241" s="25">
        <v>0</v>
      </c>
      <c r="I1241" s="28">
        <v>46297</v>
      </c>
      <c r="J1241" t="s">
        <v>1696</v>
      </c>
      <c r="K1241" t="s">
        <v>1697</v>
      </c>
    </row>
    <row r="1242" spans="1:11" hidden="1">
      <c r="A1242" s="28">
        <v>46297</v>
      </c>
      <c r="B1242" t="s">
        <v>186</v>
      </c>
      <c r="C1242" t="s">
        <v>203</v>
      </c>
      <c r="D1242" t="s">
        <v>217</v>
      </c>
      <c r="E1242">
        <f>IF(LEFT(D1242,6)="CLIENT",IFERROR(VLOOKUP(C1242,Config_Carteiras!$A:$B,2,FALSE),1),"")</f>
        <v>1</v>
      </c>
      <c r="F1242" s="25">
        <v>1651</v>
      </c>
      <c r="G1242" s="28">
        <f>IF(LEFT(D1242,6)="CLIENT",IF(E1242=0,WORKDAY(A1242-1,1,Dias_Sem_Compensacao!$A$2:$A$500),WORKDAY(A1242,E1242,Dias_Sem_Compensacao!$A$2:$A$500)),"")</f>
        <v>46300</v>
      </c>
      <c r="H1242" s="25">
        <v>0</v>
      </c>
      <c r="I1242" s="28">
        <v>46297</v>
      </c>
      <c r="J1242" t="s">
        <v>1344</v>
      </c>
      <c r="K1242" t="s">
        <v>1698</v>
      </c>
    </row>
    <row r="1243" spans="1:11" hidden="1">
      <c r="A1243" s="28">
        <v>46297</v>
      </c>
      <c r="B1243" t="s">
        <v>186</v>
      </c>
      <c r="C1243" t="s">
        <v>203</v>
      </c>
      <c r="D1243" t="s">
        <v>217</v>
      </c>
      <c r="E1243">
        <f>IF(LEFT(D1243,6)="CLIENT",IFERROR(VLOOKUP(C1243,Config_Carteiras!$A:$B,2,FALSE),1),"")</f>
        <v>1</v>
      </c>
      <c r="F1243" s="25">
        <v>738.85</v>
      </c>
      <c r="G1243" s="28">
        <f>IF(LEFT(D1243,6)="CLIENT",IF(E1243=0,WORKDAY(A1243-1,1,Dias_Sem_Compensacao!$A$2:$A$500),WORKDAY(A1243,E1243,Dias_Sem_Compensacao!$A$2:$A$500)),"")</f>
        <v>46300</v>
      </c>
      <c r="H1243" s="25">
        <v>0</v>
      </c>
      <c r="I1243" s="28">
        <v>46297</v>
      </c>
      <c r="J1243" t="s">
        <v>1699</v>
      </c>
      <c r="K1243" t="s">
        <v>1700</v>
      </c>
    </row>
    <row r="1244" spans="1:11" hidden="1">
      <c r="A1244" s="28">
        <v>46297</v>
      </c>
      <c r="B1244" t="s">
        <v>186</v>
      </c>
      <c r="C1244" t="s">
        <v>203</v>
      </c>
      <c r="D1244" t="s">
        <v>217</v>
      </c>
      <c r="E1244">
        <f>IF(LEFT(D1244,6)="CLIENT",IFERROR(VLOOKUP(C1244,Config_Carteiras!$A:$B,2,FALSE),1),"")</f>
        <v>1</v>
      </c>
      <c r="F1244" s="25">
        <v>5594</v>
      </c>
      <c r="G1244" s="28">
        <f>IF(LEFT(D1244,6)="CLIENT",IF(E1244=0,WORKDAY(A1244-1,1,Dias_Sem_Compensacao!$A$2:$A$500),WORKDAY(A1244,E1244,Dias_Sem_Compensacao!$A$2:$A$500)),"")</f>
        <v>46300</v>
      </c>
      <c r="H1244" s="25">
        <v>0</v>
      </c>
      <c r="I1244" s="28">
        <v>46297</v>
      </c>
      <c r="J1244" t="s">
        <v>1701</v>
      </c>
      <c r="K1244" t="s">
        <v>1702</v>
      </c>
    </row>
    <row r="1245" spans="1:11" hidden="1">
      <c r="A1245" s="28">
        <v>46297</v>
      </c>
      <c r="B1245" t="s">
        <v>186</v>
      </c>
      <c r="C1245" t="s">
        <v>203</v>
      </c>
      <c r="D1245" t="s">
        <v>217</v>
      </c>
      <c r="E1245">
        <f>IF(LEFT(D1245,6)="CLIENT",IFERROR(VLOOKUP(C1245,Config_Carteiras!$A:$B,2,FALSE),1),"")</f>
        <v>1</v>
      </c>
      <c r="F1245" s="25">
        <v>1201</v>
      </c>
      <c r="G1245" s="28">
        <f>IF(LEFT(D1245,6)="CLIENT",IF(E1245=0,WORKDAY(A1245-1,1,Dias_Sem_Compensacao!$A$2:$A$500),WORKDAY(A1245,E1245,Dias_Sem_Compensacao!$A$2:$A$500)),"")</f>
        <v>46300</v>
      </c>
      <c r="H1245" s="25">
        <v>0</v>
      </c>
      <c r="I1245" s="28">
        <v>46297</v>
      </c>
      <c r="J1245" t="s">
        <v>1703</v>
      </c>
      <c r="K1245" t="s">
        <v>1704</v>
      </c>
    </row>
    <row r="1246" spans="1:11" hidden="1">
      <c r="A1246" s="28">
        <v>46297</v>
      </c>
      <c r="B1246" t="s">
        <v>186</v>
      </c>
      <c r="C1246" t="s">
        <v>203</v>
      </c>
      <c r="D1246" t="s">
        <v>217</v>
      </c>
      <c r="E1246">
        <f>IF(LEFT(D1246,6)="CLIENT",IFERROR(VLOOKUP(C1246,Config_Carteiras!$A:$B,2,FALSE),1),"")</f>
        <v>1</v>
      </c>
      <c r="F1246" s="25">
        <v>1601</v>
      </c>
      <c r="G1246" s="28">
        <f>IF(LEFT(D1246,6)="CLIENT",IF(E1246=0,WORKDAY(A1246-1,1,Dias_Sem_Compensacao!$A$2:$A$500),WORKDAY(A1246,E1246,Dias_Sem_Compensacao!$A$2:$A$500)),"")</f>
        <v>46300</v>
      </c>
      <c r="H1246" s="25">
        <v>0</v>
      </c>
      <c r="I1246" s="28">
        <v>46297</v>
      </c>
      <c r="J1246" t="s">
        <v>1705</v>
      </c>
      <c r="K1246" t="s">
        <v>1706</v>
      </c>
    </row>
    <row r="1247" spans="1:11" hidden="1">
      <c r="A1247" s="28">
        <v>46297</v>
      </c>
      <c r="B1247" t="s">
        <v>186</v>
      </c>
      <c r="C1247" t="s">
        <v>203</v>
      </c>
      <c r="D1247" t="s">
        <v>217</v>
      </c>
      <c r="E1247">
        <f>IF(LEFT(D1247,6)="CLIENT",IFERROR(VLOOKUP(C1247,Config_Carteiras!$A:$B,2,FALSE),1),"")</f>
        <v>1</v>
      </c>
      <c r="F1247" s="25">
        <v>7150</v>
      </c>
      <c r="G1247" s="28">
        <f>IF(LEFT(D1247,6)="CLIENT",IF(E1247=0,WORKDAY(A1247-1,1,Dias_Sem_Compensacao!$A$2:$A$500),WORKDAY(A1247,E1247,Dias_Sem_Compensacao!$A$2:$A$500)),"")</f>
        <v>46300</v>
      </c>
      <c r="H1247" s="25">
        <v>0</v>
      </c>
      <c r="I1247" s="28">
        <v>46297</v>
      </c>
      <c r="J1247" t="s">
        <v>1707</v>
      </c>
      <c r="K1247" t="s">
        <v>1708</v>
      </c>
    </row>
    <row r="1248" spans="1:11" hidden="1">
      <c r="A1248" s="28">
        <v>46297</v>
      </c>
      <c r="B1248" t="s">
        <v>186</v>
      </c>
      <c r="C1248" t="s">
        <v>203</v>
      </c>
      <c r="D1248" t="s">
        <v>217</v>
      </c>
      <c r="E1248">
        <f>IF(LEFT(D1248,6)="CLIENT",IFERROR(VLOOKUP(C1248,Config_Carteiras!$A:$B,2,FALSE),1),"")</f>
        <v>1</v>
      </c>
      <c r="F1248" s="25">
        <v>921</v>
      </c>
      <c r="G1248" s="28">
        <f>IF(LEFT(D1248,6)="CLIENT",IF(E1248=0,WORKDAY(A1248-1,1,Dias_Sem_Compensacao!$A$2:$A$500),WORKDAY(A1248,E1248,Dias_Sem_Compensacao!$A$2:$A$500)),"")</f>
        <v>46300</v>
      </c>
      <c r="H1248" s="25">
        <v>0</v>
      </c>
      <c r="I1248" s="28">
        <v>46297</v>
      </c>
      <c r="J1248" t="s">
        <v>1709</v>
      </c>
      <c r="K1248" t="s">
        <v>1710</v>
      </c>
    </row>
    <row r="1249" spans="1:11" hidden="1">
      <c r="A1249" s="28">
        <v>46297</v>
      </c>
      <c r="B1249" t="s">
        <v>186</v>
      </c>
      <c r="C1249" t="s">
        <v>203</v>
      </c>
      <c r="D1249" t="s">
        <v>217</v>
      </c>
      <c r="E1249">
        <f>IF(LEFT(D1249,6)="CLIENT",IFERROR(VLOOKUP(C1249,Config_Carteiras!$A:$B,2,FALSE),1),"")</f>
        <v>1</v>
      </c>
      <c r="F1249" s="25">
        <v>1853</v>
      </c>
      <c r="G1249" s="28">
        <f>IF(LEFT(D1249,6)="CLIENT",IF(E1249=0,WORKDAY(A1249-1,1,Dias_Sem_Compensacao!$A$2:$A$500),WORKDAY(A1249,E1249,Dias_Sem_Compensacao!$A$2:$A$500)),"")</f>
        <v>46300</v>
      </c>
      <c r="H1249" s="25">
        <v>0</v>
      </c>
      <c r="I1249" s="28">
        <v>46297</v>
      </c>
      <c r="J1249" t="s">
        <v>1711</v>
      </c>
      <c r="K1249" t="s">
        <v>1712</v>
      </c>
    </row>
    <row r="1250" spans="1:11" hidden="1">
      <c r="A1250" s="28">
        <v>46297</v>
      </c>
      <c r="B1250" t="s">
        <v>186</v>
      </c>
      <c r="C1250" t="s">
        <v>203</v>
      </c>
      <c r="D1250" t="s">
        <v>217</v>
      </c>
      <c r="E1250">
        <f>IF(LEFT(D1250,6)="CLIENT",IFERROR(VLOOKUP(C1250,Config_Carteiras!$A:$B,2,FALSE),1),"")</f>
        <v>1</v>
      </c>
      <c r="F1250" s="25">
        <v>769.68</v>
      </c>
      <c r="G1250" s="28">
        <f>IF(LEFT(D1250,6)="CLIENT",IF(E1250=0,WORKDAY(A1250-1,1,Dias_Sem_Compensacao!$A$2:$A$500),WORKDAY(A1250,E1250,Dias_Sem_Compensacao!$A$2:$A$500)),"")</f>
        <v>46300</v>
      </c>
      <c r="H1250" s="25">
        <v>0</v>
      </c>
      <c r="I1250" s="28">
        <v>46297</v>
      </c>
      <c r="J1250" t="s">
        <v>1713</v>
      </c>
      <c r="K1250" t="s">
        <v>1714</v>
      </c>
    </row>
    <row r="1251" spans="1:11" hidden="1">
      <c r="A1251" s="28">
        <v>46297</v>
      </c>
      <c r="B1251" t="s">
        <v>186</v>
      </c>
      <c r="C1251" t="s">
        <v>203</v>
      </c>
      <c r="D1251" t="s">
        <v>217</v>
      </c>
      <c r="E1251">
        <f>IF(LEFT(D1251,6)="CLIENT",IFERROR(VLOOKUP(C1251,Config_Carteiras!$A:$B,2,FALSE),1),"")</f>
        <v>1</v>
      </c>
      <c r="F1251" s="25">
        <v>732</v>
      </c>
      <c r="G1251" s="28">
        <f>IF(LEFT(D1251,6)="CLIENT",IF(E1251=0,WORKDAY(A1251-1,1,Dias_Sem_Compensacao!$A$2:$A$500),WORKDAY(A1251,E1251,Dias_Sem_Compensacao!$A$2:$A$500)),"")</f>
        <v>46300</v>
      </c>
      <c r="H1251" s="25">
        <v>0</v>
      </c>
      <c r="I1251" s="28">
        <v>46297</v>
      </c>
      <c r="J1251" t="s">
        <v>1715</v>
      </c>
      <c r="K1251" t="s">
        <v>1716</v>
      </c>
    </row>
    <row r="1252" spans="1:11" hidden="1">
      <c r="A1252" s="28">
        <v>46297</v>
      </c>
      <c r="B1252" t="s">
        <v>186</v>
      </c>
      <c r="C1252" t="s">
        <v>203</v>
      </c>
      <c r="D1252" t="s">
        <v>217</v>
      </c>
      <c r="E1252">
        <f>IF(LEFT(D1252,6)="CLIENT",IFERROR(VLOOKUP(C1252,Config_Carteiras!$A:$B,2,FALSE),1),"")</f>
        <v>1</v>
      </c>
      <c r="F1252" s="25">
        <v>426</v>
      </c>
      <c r="G1252" s="28">
        <f>IF(LEFT(D1252,6)="CLIENT",IF(E1252=0,WORKDAY(A1252-1,1,Dias_Sem_Compensacao!$A$2:$A$500),WORKDAY(A1252,E1252,Dias_Sem_Compensacao!$A$2:$A$500)),"")</f>
        <v>46300</v>
      </c>
      <c r="H1252" s="25">
        <v>0</v>
      </c>
      <c r="I1252" s="28">
        <v>46297</v>
      </c>
      <c r="J1252" t="s">
        <v>1717</v>
      </c>
      <c r="K1252" t="s">
        <v>1718</v>
      </c>
    </row>
    <row r="1253" spans="1:11" hidden="1">
      <c r="A1253" s="28">
        <v>46297</v>
      </c>
      <c r="B1253" t="s">
        <v>186</v>
      </c>
      <c r="C1253" t="s">
        <v>203</v>
      </c>
      <c r="D1253" t="s">
        <v>217</v>
      </c>
      <c r="E1253">
        <f>IF(LEFT(D1253,6)="CLIENT",IFERROR(VLOOKUP(C1253,Config_Carteiras!$A:$B,2,FALSE),1),"")</f>
        <v>1</v>
      </c>
      <c r="F1253" s="25">
        <v>680.48</v>
      </c>
      <c r="G1253" s="28">
        <f>IF(LEFT(D1253,6)="CLIENT",IF(E1253=0,WORKDAY(A1253-1,1,Dias_Sem_Compensacao!$A$2:$A$500),WORKDAY(A1253,E1253,Dias_Sem_Compensacao!$A$2:$A$500)),"")</f>
        <v>46300</v>
      </c>
      <c r="H1253" s="25">
        <v>0</v>
      </c>
      <c r="I1253" s="28">
        <v>46297</v>
      </c>
      <c r="J1253" t="s">
        <v>1083</v>
      </c>
      <c r="K1253" t="s">
        <v>1084</v>
      </c>
    </row>
    <row r="1254" spans="1:11" hidden="1">
      <c r="A1254" s="28">
        <v>46297</v>
      </c>
      <c r="B1254" t="s">
        <v>186</v>
      </c>
      <c r="C1254" t="s">
        <v>203</v>
      </c>
      <c r="D1254" t="s">
        <v>217</v>
      </c>
      <c r="E1254">
        <f>IF(LEFT(D1254,6)="CLIENT",IFERROR(VLOOKUP(C1254,Config_Carteiras!$A:$B,2,FALSE),1),"")</f>
        <v>1</v>
      </c>
      <c r="F1254" s="25">
        <v>663</v>
      </c>
      <c r="G1254" s="28">
        <f>IF(LEFT(D1254,6)="CLIENT",IF(E1254=0,WORKDAY(A1254-1,1,Dias_Sem_Compensacao!$A$2:$A$500),WORKDAY(A1254,E1254,Dias_Sem_Compensacao!$A$2:$A$500)),"")</f>
        <v>46300</v>
      </c>
      <c r="H1254" s="25">
        <v>0</v>
      </c>
      <c r="I1254" s="28">
        <v>46297</v>
      </c>
      <c r="J1254" t="s">
        <v>1719</v>
      </c>
      <c r="K1254" t="s">
        <v>1720</v>
      </c>
    </row>
    <row r="1255" spans="1:11" hidden="1">
      <c r="A1255" s="28">
        <v>46297</v>
      </c>
      <c r="B1255" t="s">
        <v>186</v>
      </c>
      <c r="C1255" t="s">
        <v>203</v>
      </c>
      <c r="D1255" t="s">
        <v>217</v>
      </c>
      <c r="E1255">
        <f>IF(LEFT(D1255,6)="CLIENT",IFERROR(VLOOKUP(C1255,Config_Carteiras!$A:$B,2,FALSE),1),"")</f>
        <v>1</v>
      </c>
      <c r="F1255" s="25">
        <v>854</v>
      </c>
      <c r="G1255" s="28">
        <f>IF(LEFT(D1255,6)="CLIENT",IF(E1255=0,WORKDAY(A1255-1,1,Dias_Sem_Compensacao!$A$2:$A$500),WORKDAY(A1255,E1255,Dias_Sem_Compensacao!$A$2:$A$500)),"")</f>
        <v>46300</v>
      </c>
      <c r="H1255" s="25">
        <v>0</v>
      </c>
      <c r="I1255" s="28">
        <v>46297</v>
      </c>
      <c r="J1255" t="s">
        <v>1721</v>
      </c>
      <c r="K1255" t="s">
        <v>1722</v>
      </c>
    </row>
    <row r="1256" spans="1:11" hidden="1">
      <c r="A1256" s="28">
        <v>46297</v>
      </c>
      <c r="B1256" t="s">
        <v>186</v>
      </c>
      <c r="C1256" t="s">
        <v>203</v>
      </c>
      <c r="D1256" t="s">
        <v>217</v>
      </c>
      <c r="E1256">
        <f>IF(LEFT(D1256,6)="CLIENT",IFERROR(VLOOKUP(C1256,Config_Carteiras!$A:$B,2,FALSE),1),"")</f>
        <v>1</v>
      </c>
      <c r="F1256" s="25">
        <v>1633.62</v>
      </c>
      <c r="G1256" s="28">
        <f>IF(LEFT(D1256,6)="CLIENT",IF(E1256=0,WORKDAY(A1256-1,1,Dias_Sem_Compensacao!$A$2:$A$500),WORKDAY(A1256,E1256,Dias_Sem_Compensacao!$A$2:$A$500)),"")</f>
        <v>46300</v>
      </c>
      <c r="H1256" s="25">
        <v>0</v>
      </c>
      <c r="I1256" s="28">
        <v>46297</v>
      </c>
      <c r="J1256" t="s">
        <v>1723</v>
      </c>
      <c r="K1256" t="s">
        <v>1724</v>
      </c>
    </row>
    <row r="1257" spans="1:11" hidden="1">
      <c r="A1257" s="28">
        <v>46297</v>
      </c>
      <c r="B1257" t="s">
        <v>186</v>
      </c>
      <c r="C1257" t="s">
        <v>203</v>
      </c>
      <c r="D1257" t="s">
        <v>217</v>
      </c>
      <c r="E1257">
        <f>IF(LEFT(D1257,6)="CLIENT",IFERROR(VLOOKUP(C1257,Config_Carteiras!$A:$B,2,FALSE),1),"")</f>
        <v>1</v>
      </c>
      <c r="F1257" s="25">
        <v>1754.71</v>
      </c>
      <c r="G1257" s="28">
        <f>IF(LEFT(D1257,6)="CLIENT",IF(E1257=0,WORKDAY(A1257-1,1,Dias_Sem_Compensacao!$A$2:$A$500),WORKDAY(A1257,E1257,Dias_Sem_Compensacao!$A$2:$A$500)),"")</f>
        <v>46300</v>
      </c>
      <c r="H1257" s="25">
        <v>0</v>
      </c>
      <c r="I1257" s="28">
        <v>46297</v>
      </c>
      <c r="J1257" t="s">
        <v>1725</v>
      </c>
      <c r="K1257" t="s">
        <v>1726</v>
      </c>
    </row>
    <row r="1258" spans="1:11" hidden="1">
      <c r="A1258" s="28">
        <v>46297</v>
      </c>
      <c r="B1258" t="s">
        <v>186</v>
      </c>
      <c r="C1258" t="s">
        <v>203</v>
      </c>
      <c r="D1258" t="s">
        <v>217</v>
      </c>
      <c r="E1258">
        <f>IF(LEFT(D1258,6)="CLIENT",IFERROR(VLOOKUP(C1258,Config_Carteiras!$A:$B,2,FALSE),1),"")</f>
        <v>1</v>
      </c>
      <c r="F1258" s="25">
        <v>1308.08</v>
      </c>
      <c r="G1258" s="28">
        <f>IF(LEFT(D1258,6)="CLIENT",IF(E1258=0,WORKDAY(A1258-1,1,Dias_Sem_Compensacao!$A$2:$A$500),WORKDAY(A1258,E1258,Dias_Sem_Compensacao!$A$2:$A$500)),"")</f>
        <v>46300</v>
      </c>
      <c r="H1258" s="25">
        <v>0</v>
      </c>
      <c r="I1258" s="28">
        <v>46297</v>
      </c>
      <c r="J1258" t="s">
        <v>1727</v>
      </c>
      <c r="K1258" t="s">
        <v>1728</v>
      </c>
    </row>
    <row r="1259" spans="1:11" hidden="1">
      <c r="A1259" s="28">
        <v>46297</v>
      </c>
      <c r="B1259" t="s">
        <v>186</v>
      </c>
      <c r="C1259" t="s">
        <v>203</v>
      </c>
      <c r="D1259" t="s">
        <v>217</v>
      </c>
      <c r="E1259">
        <f>IF(LEFT(D1259,6)="CLIENT",IFERROR(VLOOKUP(C1259,Config_Carteiras!$A:$B,2,FALSE),1),"")</f>
        <v>1</v>
      </c>
      <c r="F1259" s="25">
        <v>530.16</v>
      </c>
      <c r="G1259" s="28">
        <f>IF(LEFT(D1259,6)="CLIENT",IF(E1259=0,WORKDAY(A1259-1,1,Dias_Sem_Compensacao!$A$2:$A$500),WORKDAY(A1259,E1259,Dias_Sem_Compensacao!$A$2:$A$500)),"")</f>
        <v>46300</v>
      </c>
      <c r="H1259" s="25">
        <v>0</v>
      </c>
      <c r="I1259" s="28">
        <v>46297</v>
      </c>
      <c r="J1259" t="s">
        <v>1729</v>
      </c>
      <c r="K1259" t="s">
        <v>1730</v>
      </c>
    </row>
    <row r="1260" spans="1:11" hidden="1">
      <c r="A1260" s="28">
        <v>46297</v>
      </c>
      <c r="B1260" t="s">
        <v>186</v>
      </c>
      <c r="C1260" t="s">
        <v>203</v>
      </c>
      <c r="D1260" t="s">
        <v>217</v>
      </c>
      <c r="E1260">
        <f>IF(LEFT(D1260,6)="CLIENT",IFERROR(VLOOKUP(C1260,Config_Carteiras!$A:$B,2,FALSE),1),"")</f>
        <v>1</v>
      </c>
      <c r="F1260" s="25">
        <v>1489</v>
      </c>
      <c r="G1260" s="28">
        <f>IF(LEFT(D1260,6)="CLIENT",IF(E1260=0,WORKDAY(A1260-1,1,Dias_Sem_Compensacao!$A$2:$A$500),WORKDAY(A1260,E1260,Dias_Sem_Compensacao!$A$2:$A$500)),"")</f>
        <v>46300</v>
      </c>
      <c r="H1260" s="25">
        <v>0</v>
      </c>
      <c r="I1260" s="28">
        <v>46297</v>
      </c>
      <c r="J1260" t="s">
        <v>1034</v>
      </c>
      <c r="K1260" t="s">
        <v>1731</v>
      </c>
    </row>
    <row r="1261" spans="1:11" hidden="1">
      <c r="A1261" s="28">
        <v>46297</v>
      </c>
      <c r="B1261" t="s">
        <v>186</v>
      </c>
      <c r="C1261" t="s">
        <v>203</v>
      </c>
      <c r="D1261" t="s">
        <v>217</v>
      </c>
      <c r="E1261">
        <f>IF(LEFT(D1261,6)="CLIENT",IFERROR(VLOOKUP(C1261,Config_Carteiras!$A:$B,2,FALSE),1),"")</f>
        <v>1</v>
      </c>
      <c r="F1261" s="25">
        <v>4294</v>
      </c>
      <c r="G1261" s="28">
        <f>IF(LEFT(D1261,6)="CLIENT",IF(E1261=0,WORKDAY(A1261-1,1,Dias_Sem_Compensacao!$A$2:$A$500),WORKDAY(A1261,E1261,Dias_Sem_Compensacao!$A$2:$A$500)),"")</f>
        <v>46300</v>
      </c>
      <c r="H1261" s="25">
        <v>0</v>
      </c>
      <c r="I1261" s="28">
        <v>46297</v>
      </c>
      <c r="J1261" t="s">
        <v>1732</v>
      </c>
      <c r="K1261" t="s">
        <v>1733</v>
      </c>
    </row>
    <row r="1262" spans="1:11" hidden="1">
      <c r="A1262" s="28">
        <v>46297</v>
      </c>
      <c r="B1262" t="s">
        <v>186</v>
      </c>
      <c r="C1262" t="s">
        <v>203</v>
      </c>
      <c r="D1262" t="s">
        <v>217</v>
      </c>
      <c r="E1262">
        <f>IF(LEFT(D1262,6)="CLIENT",IFERROR(VLOOKUP(C1262,Config_Carteiras!$A:$B,2,FALSE),1),"")</f>
        <v>1</v>
      </c>
      <c r="F1262" s="25">
        <v>559</v>
      </c>
      <c r="G1262" s="28">
        <f>IF(LEFT(D1262,6)="CLIENT",IF(E1262=0,WORKDAY(A1262-1,1,Dias_Sem_Compensacao!$A$2:$A$500),WORKDAY(A1262,E1262,Dias_Sem_Compensacao!$A$2:$A$500)),"")</f>
        <v>46300</v>
      </c>
      <c r="H1262" s="25">
        <v>0</v>
      </c>
      <c r="I1262" s="28">
        <v>46297</v>
      </c>
      <c r="J1262" t="s">
        <v>1085</v>
      </c>
      <c r="K1262" t="s">
        <v>1086</v>
      </c>
    </row>
    <row r="1263" spans="1:11" hidden="1">
      <c r="A1263" s="28">
        <v>46297</v>
      </c>
      <c r="B1263" t="s">
        <v>186</v>
      </c>
      <c r="C1263" t="s">
        <v>203</v>
      </c>
      <c r="D1263" t="s">
        <v>217</v>
      </c>
      <c r="E1263">
        <f>IF(LEFT(D1263,6)="CLIENT",IFERROR(VLOOKUP(C1263,Config_Carteiras!$A:$B,2,FALSE),1),"")</f>
        <v>1</v>
      </c>
      <c r="F1263" s="25">
        <v>710.76</v>
      </c>
      <c r="G1263" s="28">
        <f>IF(LEFT(D1263,6)="CLIENT",IF(E1263=0,WORKDAY(A1263-1,1,Dias_Sem_Compensacao!$A$2:$A$500),WORKDAY(A1263,E1263,Dias_Sem_Compensacao!$A$2:$A$500)),"")</f>
        <v>46300</v>
      </c>
      <c r="H1263" s="25">
        <v>0</v>
      </c>
      <c r="I1263" s="28">
        <v>46297</v>
      </c>
      <c r="J1263" t="s">
        <v>1734</v>
      </c>
      <c r="K1263" t="s">
        <v>1735</v>
      </c>
    </row>
    <row r="1264" spans="1:11" hidden="1">
      <c r="A1264" s="28">
        <v>46297</v>
      </c>
      <c r="B1264" t="s">
        <v>186</v>
      </c>
      <c r="C1264" t="s">
        <v>203</v>
      </c>
      <c r="D1264" t="s">
        <v>217</v>
      </c>
      <c r="E1264">
        <f>IF(LEFT(D1264,6)="CLIENT",IFERROR(VLOOKUP(C1264,Config_Carteiras!$A:$B,2,FALSE),1),"")</f>
        <v>1</v>
      </c>
      <c r="F1264" s="25">
        <v>576.77</v>
      </c>
      <c r="G1264" s="28">
        <f>IF(LEFT(D1264,6)="CLIENT",IF(E1264=0,WORKDAY(A1264-1,1,Dias_Sem_Compensacao!$A$2:$A$500),WORKDAY(A1264,E1264,Dias_Sem_Compensacao!$A$2:$A$500)),"")</f>
        <v>46300</v>
      </c>
      <c r="H1264" s="25">
        <v>0</v>
      </c>
      <c r="I1264" s="28">
        <v>46297</v>
      </c>
      <c r="J1264" t="s">
        <v>1736</v>
      </c>
      <c r="K1264" t="s">
        <v>1737</v>
      </c>
    </row>
    <row r="1265" spans="1:11" hidden="1">
      <c r="A1265" s="28">
        <v>46297</v>
      </c>
      <c r="B1265" t="s">
        <v>186</v>
      </c>
      <c r="C1265" t="s">
        <v>203</v>
      </c>
      <c r="D1265" t="s">
        <v>217</v>
      </c>
      <c r="E1265">
        <f>IF(LEFT(D1265,6)="CLIENT",IFERROR(VLOOKUP(C1265,Config_Carteiras!$A:$B,2,FALSE),1),"")</f>
        <v>1</v>
      </c>
      <c r="F1265" s="25">
        <v>3454.05</v>
      </c>
      <c r="G1265" s="28">
        <f>IF(LEFT(D1265,6)="CLIENT",IF(E1265=0,WORKDAY(A1265-1,1,Dias_Sem_Compensacao!$A$2:$A$500),WORKDAY(A1265,E1265,Dias_Sem_Compensacao!$A$2:$A$500)),"")</f>
        <v>46300</v>
      </c>
      <c r="H1265" s="25">
        <v>0</v>
      </c>
      <c r="I1265" s="28">
        <v>46297</v>
      </c>
      <c r="J1265" t="s">
        <v>1738</v>
      </c>
      <c r="K1265" t="s">
        <v>1739</v>
      </c>
    </row>
    <row r="1266" spans="1:11" hidden="1">
      <c r="A1266" s="28">
        <v>46297</v>
      </c>
      <c r="B1266" t="s">
        <v>186</v>
      </c>
      <c r="C1266" t="s">
        <v>203</v>
      </c>
      <c r="D1266" t="s">
        <v>217</v>
      </c>
      <c r="E1266">
        <f>IF(LEFT(D1266,6)="CLIENT",IFERROR(VLOOKUP(C1266,Config_Carteiras!$A:$B,2,FALSE),1),"")</f>
        <v>1</v>
      </c>
      <c r="F1266" s="25">
        <v>710</v>
      </c>
      <c r="G1266" s="28">
        <f>IF(LEFT(D1266,6)="CLIENT",IF(E1266=0,WORKDAY(A1266-1,1,Dias_Sem_Compensacao!$A$2:$A$500),WORKDAY(A1266,E1266,Dias_Sem_Compensacao!$A$2:$A$500)),"")</f>
        <v>46300</v>
      </c>
      <c r="H1266" s="25">
        <v>0</v>
      </c>
      <c r="I1266" s="28">
        <v>46297</v>
      </c>
      <c r="J1266" t="s">
        <v>1740</v>
      </c>
      <c r="K1266" t="s">
        <v>1741</v>
      </c>
    </row>
    <row r="1267" spans="1:11" hidden="1">
      <c r="A1267" s="28">
        <v>46297</v>
      </c>
      <c r="B1267" t="s">
        <v>186</v>
      </c>
      <c r="C1267" t="s">
        <v>203</v>
      </c>
      <c r="D1267" t="s">
        <v>217</v>
      </c>
      <c r="E1267">
        <f>IF(LEFT(D1267,6)="CLIENT",IFERROR(VLOOKUP(C1267,Config_Carteiras!$A:$B,2,FALSE),1),"")</f>
        <v>1</v>
      </c>
      <c r="F1267" s="25">
        <v>3341.88</v>
      </c>
      <c r="G1267" s="28">
        <f>IF(LEFT(D1267,6)="CLIENT",IF(E1267=0,WORKDAY(A1267-1,1,Dias_Sem_Compensacao!$A$2:$A$500),WORKDAY(A1267,E1267,Dias_Sem_Compensacao!$A$2:$A$500)),"")</f>
        <v>46300</v>
      </c>
      <c r="H1267" s="25">
        <v>0</v>
      </c>
      <c r="I1267" s="28">
        <v>46297</v>
      </c>
      <c r="J1267" t="s">
        <v>1030</v>
      </c>
      <c r="K1267" t="s">
        <v>1031</v>
      </c>
    </row>
    <row r="1268" spans="1:11" hidden="1">
      <c r="A1268" s="28">
        <v>46297</v>
      </c>
      <c r="B1268" t="s">
        <v>186</v>
      </c>
      <c r="C1268" t="s">
        <v>203</v>
      </c>
      <c r="D1268" t="s">
        <v>217</v>
      </c>
      <c r="E1268">
        <f>IF(LEFT(D1268,6)="CLIENT",IFERROR(VLOOKUP(C1268,Config_Carteiras!$A:$B,2,FALSE),1),"")</f>
        <v>1</v>
      </c>
      <c r="F1268" s="25">
        <v>839</v>
      </c>
      <c r="G1268" s="28">
        <f>IF(LEFT(D1268,6)="CLIENT",IF(E1268=0,WORKDAY(A1268-1,1,Dias_Sem_Compensacao!$A$2:$A$500),WORKDAY(A1268,E1268,Dias_Sem_Compensacao!$A$2:$A$500)),"")</f>
        <v>46300</v>
      </c>
      <c r="H1268" s="25">
        <v>0</v>
      </c>
      <c r="I1268" s="28">
        <v>46297</v>
      </c>
      <c r="J1268" t="s">
        <v>1742</v>
      </c>
      <c r="K1268" t="s">
        <v>1743</v>
      </c>
    </row>
    <row r="1269" spans="1:11" hidden="1">
      <c r="A1269" s="28">
        <v>46297</v>
      </c>
      <c r="B1269" t="s">
        <v>186</v>
      </c>
      <c r="C1269" t="s">
        <v>203</v>
      </c>
      <c r="D1269" t="s">
        <v>217</v>
      </c>
      <c r="E1269">
        <f>IF(LEFT(D1269,6)="CLIENT",IFERROR(VLOOKUP(C1269,Config_Carteiras!$A:$B,2,FALSE),1),"")</f>
        <v>1</v>
      </c>
      <c r="F1269" s="25">
        <v>1340.51</v>
      </c>
      <c r="G1269" s="28">
        <f>IF(LEFT(D1269,6)="CLIENT",IF(E1269=0,WORKDAY(A1269-1,1,Dias_Sem_Compensacao!$A$2:$A$500),WORKDAY(A1269,E1269,Dias_Sem_Compensacao!$A$2:$A$500)),"")</f>
        <v>46300</v>
      </c>
      <c r="H1269" s="25">
        <v>0</v>
      </c>
      <c r="I1269" s="28">
        <v>46297</v>
      </c>
      <c r="J1269" t="s">
        <v>1744</v>
      </c>
      <c r="K1269" t="s">
        <v>1745</v>
      </c>
    </row>
    <row r="1270" spans="1:11" hidden="1">
      <c r="A1270" s="28">
        <v>46297</v>
      </c>
      <c r="B1270" t="s">
        <v>186</v>
      </c>
      <c r="C1270" t="s">
        <v>203</v>
      </c>
      <c r="D1270" t="s">
        <v>217</v>
      </c>
      <c r="E1270">
        <f>IF(LEFT(D1270,6)="CLIENT",IFERROR(VLOOKUP(C1270,Config_Carteiras!$A:$B,2,FALSE),1),"")</f>
        <v>1</v>
      </c>
      <c r="F1270" s="25">
        <v>1458</v>
      </c>
      <c r="G1270" s="28">
        <f>IF(LEFT(D1270,6)="CLIENT",IF(E1270=0,WORKDAY(A1270-1,1,Dias_Sem_Compensacao!$A$2:$A$500),WORKDAY(A1270,E1270,Dias_Sem_Compensacao!$A$2:$A$500)),"")</f>
        <v>46300</v>
      </c>
      <c r="H1270" s="25">
        <v>0</v>
      </c>
      <c r="I1270" s="28">
        <v>46297</v>
      </c>
      <c r="J1270" t="s">
        <v>1746</v>
      </c>
      <c r="K1270" t="s">
        <v>1747</v>
      </c>
    </row>
    <row r="1271" spans="1:11" hidden="1">
      <c r="A1271" s="28">
        <v>46297</v>
      </c>
      <c r="B1271" t="s">
        <v>186</v>
      </c>
      <c r="C1271" t="s">
        <v>203</v>
      </c>
      <c r="D1271" t="s">
        <v>217</v>
      </c>
      <c r="E1271">
        <f>IF(LEFT(D1271,6)="CLIENT",IFERROR(VLOOKUP(C1271,Config_Carteiras!$A:$B,2,FALSE),1),"")</f>
        <v>1</v>
      </c>
      <c r="F1271" s="25">
        <v>1797</v>
      </c>
      <c r="G1271" s="28">
        <f>IF(LEFT(D1271,6)="CLIENT",IF(E1271=0,WORKDAY(A1271-1,1,Dias_Sem_Compensacao!$A$2:$A$500),WORKDAY(A1271,E1271,Dias_Sem_Compensacao!$A$2:$A$500)),"")</f>
        <v>46300</v>
      </c>
      <c r="H1271" s="25">
        <v>0</v>
      </c>
      <c r="I1271" s="28">
        <v>46297</v>
      </c>
      <c r="J1271" t="s">
        <v>1748</v>
      </c>
      <c r="K1271" t="s">
        <v>1749</v>
      </c>
    </row>
    <row r="1272" spans="1:11" hidden="1">
      <c r="A1272" s="28">
        <v>46297</v>
      </c>
      <c r="B1272" t="s">
        <v>186</v>
      </c>
      <c r="C1272" t="s">
        <v>203</v>
      </c>
      <c r="D1272" t="s">
        <v>217</v>
      </c>
      <c r="E1272">
        <f>IF(LEFT(D1272,6)="CLIENT",IFERROR(VLOOKUP(C1272,Config_Carteiras!$A:$B,2,FALSE),1),"")</f>
        <v>1</v>
      </c>
      <c r="F1272" s="25">
        <v>350</v>
      </c>
      <c r="G1272" s="28">
        <f>IF(LEFT(D1272,6)="CLIENT",IF(E1272=0,WORKDAY(A1272-1,1,Dias_Sem_Compensacao!$A$2:$A$500),WORKDAY(A1272,E1272,Dias_Sem_Compensacao!$A$2:$A$500)),"")</f>
        <v>46300</v>
      </c>
      <c r="H1272" s="25">
        <v>0</v>
      </c>
      <c r="I1272" s="28">
        <v>46297</v>
      </c>
      <c r="J1272" t="s">
        <v>1750</v>
      </c>
      <c r="K1272" t="s">
        <v>1751</v>
      </c>
    </row>
    <row r="1273" spans="1:11" hidden="1">
      <c r="A1273" s="28">
        <v>46297</v>
      </c>
      <c r="B1273" t="s">
        <v>186</v>
      </c>
      <c r="C1273" t="s">
        <v>203</v>
      </c>
      <c r="D1273" t="s">
        <v>217</v>
      </c>
      <c r="E1273">
        <f>IF(LEFT(D1273,6)="CLIENT",IFERROR(VLOOKUP(C1273,Config_Carteiras!$A:$B,2,FALSE),1),"")</f>
        <v>1</v>
      </c>
      <c r="F1273" s="25">
        <v>1022</v>
      </c>
      <c r="G1273" s="28">
        <f>IF(LEFT(D1273,6)="CLIENT",IF(E1273=0,WORKDAY(A1273-1,1,Dias_Sem_Compensacao!$A$2:$A$500),WORKDAY(A1273,E1273,Dias_Sem_Compensacao!$A$2:$A$500)),"")</f>
        <v>46300</v>
      </c>
      <c r="H1273" s="25">
        <v>0</v>
      </c>
      <c r="I1273" s="28">
        <v>46297</v>
      </c>
      <c r="J1273" t="s">
        <v>1752</v>
      </c>
      <c r="K1273" t="s">
        <v>1753</v>
      </c>
    </row>
    <row r="1274" spans="1:11" hidden="1">
      <c r="A1274" s="28">
        <v>46297</v>
      </c>
      <c r="B1274" t="s">
        <v>186</v>
      </c>
      <c r="C1274" t="s">
        <v>203</v>
      </c>
      <c r="D1274" t="s">
        <v>217</v>
      </c>
      <c r="E1274">
        <f>IF(LEFT(D1274,6)="CLIENT",IFERROR(VLOOKUP(C1274,Config_Carteiras!$A:$B,2,FALSE),1),"")</f>
        <v>1</v>
      </c>
      <c r="F1274" s="25">
        <v>550.29</v>
      </c>
      <c r="G1274" s="28">
        <f>IF(LEFT(D1274,6)="CLIENT",IF(E1274=0,WORKDAY(A1274-1,1,Dias_Sem_Compensacao!$A$2:$A$500),WORKDAY(A1274,E1274,Dias_Sem_Compensacao!$A$2:$A$500)),"")</f>
        <v>46300</v>
      </c>
      <c r="H1274" s="25">
        <v>0</v>
      </c>
      <c r="I1274" s="28">
        <v>46297</v>
      </c>
      <c r="J1274" t="s">
        <v>1754</v>
      </c>
      <c r="K1274" t="s">
        <v>1755</v>
      </c>
    </row>
    <row r="1275" spans="1:11" hidden="1">
      <c r="A1275" s="28">
        <v>46297</v>
      </c>
      <c r="B1275" t="s">
        <v>186</v>
      </c>
      <c r="C1275" t="s">
        <v>203</v>
      </c>
      <c r="D1275" t="s">
        <v>217</v>
      </c>
      <c r="E1275">
        <f>IF(LEFT(D1275,6)="CLIENT",IFERROR(VLOOKUP(C1275,Config_Carteiras!$A:$B,2,FALSE),1),"")</f>
        <v>1</v>
      </c>
      <c r="F1275" s="25">
        <v>681.54</v>
      </c>
      <c r="G1275" s="28">
        <f>IF(LEFT(D1275,6)="CLIENT",IF(E1275=0,WORKDAY(A1275-1,1,Dias_Sem_Compensacao!$A$2:$A$500),WORKDAY(A1275,E1275,Dias_Sem_Compensacao!$A$2:$A$500)),"")</f>
        <v>46300</v>
      </c>
      <c r="H1275" s="25">
        <v>0</v>
      </c>
      <c r="I1275" s="28">
        <v>46297</v>
      </c>
      <c r="J1275" t="s">
        <v>1756</v>
      </c>
      <c r="K1275" t="s">
        <v>1757</v>
      </c>
    </row>
    <row r="1276" spans="1:11" hidden="1">
      <c r="A1276" s="28">
        <v>46297</v>
      </c>
      <c r="B1276" t="s">
        <v>186</v>
      </c>
      <c r="C1276" t="s">
        <v>203</v>
      </c>
      <c r="D1276" t="s">
        <v>217</v>
      </c>
      <c r="E1276">
        <f>IF(LEFT(D1276,6)="CLIENT",IFERROR(VLOOKUP(C1276,Config_Carteiras!$A:$B,2,FALSE),1),"")</f>
        <v>1</v>
      </c>
      <c r="F1276" s="25">
        <v>468.85</v>
      </c>
      <c r="G1276" s="28">
        <f>IF(LEFT(D1276,6)="CLIENT",IF(E1276=0,WORKDAY(A1276-1,1,Dias_Sem_Compensacao!$A$2:$A$500),WORKDAY(A1276,E1276,Dias_Sem_Compensacao!$A$2:$A$500)),"")</f>
        <v>46300</v>
      </c>
      <c r="H1276" s="25">
        <v>0</v>
      </c>
      <c r="I1276" s="28">
        <v>46297</v>
      </c>
      <c r="J1276" t="s">
        <v>1758</v>
      </c>
      <c r="K1276" t="s">
        <v>1759</v>
      </c>
    </row>
    <row r="1277" spans="1:11" hidden="1">
      <c r="A1277" s="28">
        <v>46297</v>
      </c>
      <c r="B1277" t="s">
        <v>186</v>
      </c>
      <c r="C1277" t="s">
        <v>203</v>
      </c>
      <c r="D1277" t="s">
        <v>217</v>
      </c>
      <c r="E1277">
        <f>IF(LEFT(D1277,6)="CLIENT",IFERROR(VLOOKUP(C1277,Config_Carteiras!$A:$B,2,FALSE),1),"")</f>
        <v>1</v>
      </c>
      <c r="F1277" s="25">
        <v>3175</v>
      </c>
      <c r="G1277" s="28">
        <f>IF(LEFT(D1277,6)="CLIENT",IF(E1277=0,WORKDAY(A1277-1,1,Dias_Sem_Compensacao!$A$2:$A$500),WORKDAY(A1277,E1277,Dias_Sem_Compensacao!$A$2:$A$500)),"")</f>
        <v>46300</v>
      </c>
      <c r="H1277" s="25">
        <v>0</v>
      </c>
      <c r="I1277" s="28">
        <v>46297</v>
      </c>
      <c r="J1277" t="s">
        <v>1760</v>
      </c>
      <c r="K1277" t="s">
        <v>1761</v>
      </c>
    </row>
    <row r="1278" spans="1:11" hidden="1">
      <c r="A1278" s="28">
        <v>46297</v>
      </c>
      <c r="B1278" t="s">
        <v>186</v>
      </c>
      <c r="C1278" t="s">
        <v>203</v>
      </c>
      <c r="D1278" t="s">
        <v>217</v>
      </c>
      <c r="E1278">
        <f>IF(LEFT(D1278,6)="CLIENT",IFERROR(VLOOKUP(C1278,Config_Carteiras!$A:$B,2,FALSE),1),"")</f>
        <v>1</v>
      </c>
      <c r="F1278" s="25">
        <v>1686.69</v>
      </c>
      <c r="G1278" s="28">
        <f>IF(LEFT(D1278,6)="CLIENT",IF(E1278=0,WORKDAY(A1278-1,1,Dias_Sem_Compensacao!$A$2:$A$500),WORKDAY(A1278,E1278,Dias_Sem_Compensacao!$A$2:$A$500)),"")</f>
        <v>46300</v>
      </c>
      <c r="H1278" s="25">
        <v>0</v>
      </c>
      <c r="I1278" s="28">
        <v>46297</v>
      </c>
      <c r="J1278" t="s">
        <v>1762</v>
      </c>
      <c r="K1278" t="s">
        <v>1763</v>
      </c>
    </row>
    <row r="1279" spans="1:11" hidden="1">
      <c r="A1279" s="28">
        <v>46297</v>
      </c>
      <c r="B1279" t="s">
        <v>186</v>
      </c>
      <c r="C1279" t="s">
        <v>203</v>
      </c>
      <c r="D1279" t="s">
        <v>217</v>
      </c>
      <c r="E1279">
        <f>IF(LEFT(D1279,6)="CLIENT",IFERROR(VLOOKUP(C1279,Config_Carteiras!$A:$B,2,FALSE),1),"")</f>
        <v>1</v>
      </c>
      <c r="F1279" s="25">
        <v>868.09</v>
      </c>
      <c r="G1279" s="28">
        <f>IF(LEFT(D1279,6)="CLIENT",IF(E1279=0,WORKDAY(A1279-1,1,Dias_Sem_Compensacao!$A$2:$A$500),WORKDAY(A1279,E1279,Dias_Sem_Compensacao!$A$2:$A$500)),"")</f>
        <v>46300</v>
      </c>
      <c r="H1279" s="25">
        <v>0</v>
      </c>
      <c r="I1279" s="28">
        <v>46297</v>
      </c>
      <c r="J1279" t="s">
        <v>1764</v>
      </c>
      <c r="K1279" t="s">
        <v>1765</v>
      </c>
    </row>
    <row r="1280" spans="1:11" hidden="1">
      <c r="A1280" s="28">
        <v>46297</v>
      </c>
      <c r="B1280" t="s">
        <v>186</v>
      </c>
      <c r="C1280" t="s">
        <v>203</v>
      </c>
      <c r="D1280" t="s">
        <v>217</v>
      </c>
      <c r="E1280">
        <f>IF(LEFT(D1280,6)="CLIENT",IFERROR(VLOOKUP(C1280,Config_Carteiras!$A:$B,2,FALSE),1),"")</f>
        <v>1</v>
      </c>
      <c r="F1280" s="25">
        <v>1549</v>
      </c>
      <c r="G1280" s="28">
        <f>IF(LEFT(D1280,6)="CLIENT",IF(E1280=0,WORKDAY(A1280-1,1,Dias_Sem_Compensacao!$A$2:$A$500),WORKDAY(A1280,E1280,Dias_Sem_Compensacao!$A$2:$A$500)),"")</f>
        <v>46300</v>
      </c>
      <c r="H1280" s="25">
        <v>0</v>
      </c>
      <c r="I1280" s="28">
        <v>46297</v>
      </c>
      <c r="J1280" t="s">
        <v>1766</v>
      </c>
      <c r="K1280" t="s">
        <v>1767</v>
      </c>
    </row>
    <row r="1281" spans="1:11" hidden="1">
      <c r="A1281" s="28">
        <v>46297</v>
      </c>
      <c r="B1281" t="s">
        <v>186</v>
      </c>
      <c r="C1281" t="s">
        <v>203</v>
      </c>
      <c r="D1281" t="s">
        <v>217</v>
      </c>
      <c r="E1281">
        <f>IF(LEFT(D1281,6)="CLIENT",IFERROR(VLOOKUP(C1281,Config_Carteiras!$A:$B,2,FALSE),1),"")</f>
        <v>1</v>
      </c>
      <c r="F1281" s="25">
        <v>1802</v>
      </c>
      <c r="G1281" s="28">
        <f>IF(LEFT(D1281,6)="CLIENT",IF(E1281=0,WORKDAY(A1281-1,1,Dias_Sem_Compensacao!$A$2:$A$500),WORKDAY(A1281,E1281,Dias_Sem_Compensacao!$A$2:$A$500)),"")</f>
        <v>46300</v>
      </c>
      <c r="H1281" s="25">
        <v>0</v>
      </c>
      <c r="I1281" s="28">
        <v>46297</v>
      </c>
      <c r="J1281" t="s">
        <v>1768</v>
      </c>
      <c r="K1281" t="s">
        <v>1769</v>
      </c>
    </row>
    <row r="1282" spans="1:11" hidden="1">
      <c r="A1282" s="28">
        <v>46297</v>
      </c>
      <c r="B1282" t="s">
        <v>186</v>
      </c>
      <c r="C1282" t="s">
        <v>203</v>
      </c>
      <c r="D1282" t="s">
        <v>217</v>
      </c>
      <c r="E1282">
        <f>IF(LEFT(D1282,6)="CLIENT",IFERROR(VLOOKUP(C1282,Config_Carteiras!$A:$B,2,FALSE),1),"")</f>
        <v>1</v>
      </c>
      <c r="F1282" s="25">
        <v>5012</v>
      </c>
      <c r="G1282" s="28">
        <f>IF(LEFT(D1282,6)="CLIENT",IF(E1282=0,WORKDAY(A1282-1,1,Dias_Sem_Compensacao!$A$2:$A$500),WORKDAY(A1282,E1282,Dias_Sem_Compensacao!$A$2:$A$500)),"")</f>
        <v>46300</v>
      </c>
      <c r="H1282" s="25">
        <v>0</v>
      </c>
      <c r="I1282" s="28">
        <v>46297</v>
      </c>
      <c r="J1282" t="s">
        <v>1770</v>
      </c>
      <c r="K1282" t="s">
        <v>1771</v>
      </c>
    </row>
    <row r="1283" spans="1:11" hidden="1">
      <c r="A1283" s="28">
        <v>46297</v>
      </c>
      <c r="B1283" t="s">
        <v>186</v>
      </c>
      <c r="C1283" t="s">
        <v>203</v>
      </c>
      <c r="D1283" t="s">
        <v>217</v>
      </c>
      <c r="E1283">
        <f>IF(LEFT(D1283,6)="CLIENT",IFERROR(VLOOKUP(C1283,Config_Carteiras!$A:$B,2,FALSE),1),"")</f>
        <v>1</v>
      </c>
      <c r="F1283" s="25">
        <v>1750</v>
      </c>
      <c r="G1283" s="28">
        <f>IF(LEFT(D1283,6)="CLIENT",IF(E1283=0,WORKDAY(A1283-1,1,Dias_Sem_Compensacao!$A$2:$A$500),WORKDAY(A1283,E1283,Dias_Sem_Compensacao!$A$2:$A$500)),"")</f>
        <v>46300</v>
      </c>
      <c r="H1283" s="25">
        <v>0</v>
      </c>
      <c r="I1283" s="28">
        <v>46297</v>
      </c>
      <c r="J1283" t="s">
        <v>1772</v>
      </c>
      <c r="K1283" t="s">
        <v>1773</v>
      </c>
    </row>
    <row r="1284" spans="1:11" hidden="1">
      <c r="A1284" s="28">
        <v>46297</v>
      </c>
      <c r="B1284" t="s">
        <v>186</v>
      </c>
      <c r="C1284" t="s">
        <v>203</v>
      </c>
      <c r="D1284" t="s">
        <v>217</v>
      </c>
      <c r="E1284">
        <f>IF(LEFT(D1284,6)="CLIENT",IFERROR(VLOOKUP(C1284,Config_Carteiras!$A:$B,2,FALSE),1),"")</f>
        <v>1</v>
      </c>
      <c r="F1284" s="25">
        <v>2432</v>
      </c>
      <c r="G1284" s="28">
        <f>IF(LEFT(D1284,6)="CLIENT",IF(E1284=0,WORKDAY(A1284-1,1,Dias_Sem_Compensacao!$A$2:$A$500),WORKDAY(A1284,E1284,Dias_Sem_Compensacao!$A$2:$A$500)),"")</f>
        <v>46300</v>
      </c>
      <c r="H1284" s="25">
        <v>0</v>
      </c>
      <c r="I1284" s="28">
        <v>46297</v>
      </c>
      <c r="J1284" t="s">
        <v>1774</v>
      </c>
      <c r="K1284" t="s">
        <v>1775</v>
      </c>
    </row>
    <row r="1285" spans="1:11" hidden="1">
      <c r="A1285" s="28">
        <v>46297</v>
      </c>
      <c r="B1285" t="s">
        <v>186</v>
      </c>
      <c r="C1285" t="s">
        <v>203</v>
      </c>
      <c r="D1285" t="s">
        <v>217</v>
      </c>
      <c r="E1285">
        <f>IF(LEFT(D1285,6)="CLIENT",IFERROR(VLOOKUP(C1285,Config_Carteiras!$A:$B,2,FALSE),1),"")</f>
        <v>1</v>
      </c>
      <c r="F1285" s="25">
        <v>17391</v>
      </c>
      <c r="G1285" s="28">
        <f>IF(LEFT(D1285,6)="CLIENT",IF(E1285=0,WORKDAY(A1285-1,1,Dias_Sem_Compensacao!$A$2:$A$500),WORKDAY(A1285,E1285,Dias_Sem_Compensacao!$A$2:$A$500)),"")</f>
        <v>46300</v>
      </c>
      <c r="H1285" s="25">
        <v>0</v>
      </c>
      <c r="I1285" s="28">
        <v>46297</v>
      </c>
      <c r="J1285" t="s">
        <v>1776</v>
      </c>
      <c r="K1285" t="s">
        <v>1777</v>
      </c>
    </row>
    <row r="1286" spans="1:11" hidden="1">
      <c r="A1286" s="28">
        <v>46297</v>
      </c>
      <c r="B1286" t="s">
        <v>186</v>
      </c>
      <c r="C1286" t="s">
        <v>203</v>
      </c>
      <c r="D1286" t="s">
        <v>217</v>
      </c>
      <c r="E1286">
        <f>IF(LEFT(D1286,6)="CLIENT",IFERROR(VLOOKUP(C1286,Config_Carteiras!$A:$B,2,FALSE),1),"")</f>
        <v>1</v>
      </c>
      <c r="F1286" s="25">
        <v>1597.51</v>
      </c>
      <c r="G1286" s="28">
        <f>IF(LEFT(D1286,6)="CLIENT",IF(E1286=0,WORKDAY(A1286-1,1,Dias_Sem_Compensacao!$A$2:$A$500),WORKDAY(A1286,E1286,Dias_Sem_Compensacao!$A$2:$A$500)),"")</f>
        <v>46300</v>
      </c>
      <c r="H1286" s="25">
        <v>0</v>
      </c>
      <c r="I1286" s="28">
        <v>46297</v>
      </c>
      <c r="J1286" t="s">
        <v>1095</v>
      </c>
      <c r="K1286" t="s">
        <v>1096</v>
      </c>
    </row>
    <row r="1287" spans="1:11" hidden="1">
      <c r="A1287" s="28">
        <v>46297</v>
      </c>
      <c r="B1287" t="s">
        <v>186</v>
      </c>
      <c r="C1287" t="s">
        <v>203</v>
      </c>
      <c r="D1287" t="s">
        <v>217</v>
      </c>
      <c r="E1287">
        <f>IF(LEFT(D1287,6)="CLIENT",IFERROR(VLOOKUP(C1287,Config_Carteiras!$A:$B,2,FALSE),1),"")</f>
        <v>1</v>
      </c>
      <c r="F1287" s="25">
        <v>1709</v>
      </c>
      <c r="G1287" s="28">
        <f>IF(LEFT(D1287,6)="CLIENT",IF(E1287=0,WORKDAY(A1287-1,1,Dias_Sem_Compensacao!$A$2:$A$500),WORKDAY(A1287,E1287,Dias_Sem_Compensacao!$A$2:$A$500)),"")</f>
        <v>46300</v>
      </c>
      <c r="H1287" s="25">
        <v>0</v>
      </c>
      <c r="I1287" s="28">
        <v>46297</v>
      </c>
      <c r="J1287" t="s">
        <v>1778</v>
      </c>
      <c r="K1287" t="s">
        <v>1779</v>
      </c>
    </row>
    <row r="1288" spans="1:11" hidden="1">
      <c r="A1288" s="28">
        <v>46297</v>
      </c>
      <c r="B1288" t="s">
        <v>186</v>
      </c>
      <c r="C1288" t="s">
        <v>203</v>
      </c>
      <c r="D1288" t="s">
        <v>217</v>
      </c>
      <c r="E1288">
        <f>IF(LEFT(D1288,6)="CLIENT",IFERROR(VLOOKUP(C1288,Config_Carteiras!$A:$B,2,FALSE),1),"")</f>
        <v>1</v>
      </c>
      <c r="F1288" s="25">
        <v>298</v>
      </c>
      <c r="G1288" s="28">
        <f>IF(LEFT(D1288,6)="CLIENT",IF(E1288=0,WORKDAY(A1288-1,1,Dias_Sem_Compensacao!$A$2:$A$500),WORKDAY(A1288,E1288,Dias_Sem_Compensacao!$A$2:$A$500)),"")</f>
        <v>46300</v>
      </c>
      <c r="H1288" s="25">
        <v>0</v>
      </c>
      <c r="I1288" s="28">
        <v>46297</v>
      </c>
      <c r="J1288" t="s">
        <v>984</v>
      </c>
      <c r="K1288" t="s">
        <v>1780</v>
      </c>
    </row>
    <row r="1289" spans="1:11" hidden="1">
      <c r="A1289" s="28">
        <v>46297</v>
      </c>
      <c r="B1289" t="s">
        <v>186</v>
      </c>
      <c r="C1289" t="s">
        <v>203</v>
      </c>
      <c r="D1289" t="s">
        <v>217</v>
      </c>
      <c r="E1289">
        <f>IF(LEFT(D1289,6)="CLIENT",IFERROR(VLOOKUP(C1289,Config_Carteiras!$A:$B,2,FALSE),1),"")</f>
        <v>1</v>
      </c>
      <c r="F1289" s="25">
        <v>813</v>
      </c>
      <c r="G1289" s="28">
        <f>IF(LEFT(D1289,6)="CLIENT",IF(E1289=0,WORKDAY(A1289-1,1,Dias_Sem_Compensacao!$A$2:$A$500),WORKDAY(A1289,E1289,Dias_Sem_Compensacao!$A$2:$A$500)),"")</f>
        <v>46300</v>
      </c>
      <c r="H1289" s="25">
        <v>0</v>
      </c>
      <c r="I1289" s="28">
        <v>46297</v>
      </c>
      <c r="J1289" t="s">
        <v>1781</v>
      </c>
      <c r="K1289" t="s">
        <v>1782</v>
      </c>
    </row>
    <row r="1290" spans="1:11" hidden="1">
      <c r="A1290" s="28">
        <v>46297</v>
      </c>
      <c r="B1290" t="s">
        <v>186</v>
      </c>
      <c r="C1290" t="s">
        <v>203</v>
      </c>
      <c r="D1290" t="s">
        <v>217</v>
      </c>
      <c r="E1290">
        <f>IF(LEFT(D1290,6)="CLIENT",IFERROR(VLOOKUP(C1290,Config_Carteiras!$A:$B,2,FALSE),1),"")</f>
        <v>1</v>
      </c>
      <c r="F1290" s="25">
        <v>923</v>
      </c>
      <c r="G1290" s="28">
        <f>IF(LEFT(D1290,6)="CLIENT",IF(E1290=0,WORKDAY(A1290-1,1,Dias_Sem_Compensacao!$A$2:$A$500),WORKDAY(A1290,E1290,Dias_Sem_Compensacao!$A$2:$A$500)),"")</f>
        <v>46300</v>
      </c>
      <c r="H1290" s="25">
        <v>0</v>
      </c>
      <c r="I1290" s="28">
        <v>46297</v>
      </c>
      <c r="J1290" t="s">
        <v>1783</v>
      </c>
      <c r="K1290" t="s">
        <v>1784</v>
      </c>
    </row>
    <row r="1291" spans="1:11" hidden="1">
      <c r="A1291" s="28">
        <v>46297</v>
      </c>
      <c r="B1291" t="s">
        <v>186</v>
      </c>
      <c r="C1291" t="s">
        <v>203</v>
      </c>
      <c r="D1291" t="s">
        <v>217</v>
      </c>
      <c r="E1291">
        <f>IF(LEFT(D1291,6)="CLIENT",IFERROR(VLOOKUP(C1291,Config_Carteiras!$A:$B,2,FALSE),1),"")</f>
        <v>1</v>
      </c>
      <c r="F1291" s="25">
        <v>6780</v>
      </c>
      <c r="G1291" s="28">
        <f>IF(LEFT(D1291,6)="CLIENT",IF(E1291=0,WORKDAY(A1291-1,1,Dias_Sem_Compensacao!$A$2:$A$500),WORKDAY(A1291,E1291,Dias_Sem_Compensacao!$A$2:$A$500)),"")</f>
        <v>46300</v>
      </c>
      <c r="H1291" s="25">
        <v>0</v>
      </c>
      <c r="I1291" s="28">
        <v>46297</v>
      </c>
      <c r="J1291" t="s">
        <v>1785</v>
      </c>
      <c r="K1291" t="s">
        <v>1786</v>
      </c>
    </row>
    <row r="1292" spans="1:11" hidden="1">
      <c r="A1292" s="28">
        <v>46297</v>
      </c>
      <c r="B1292" t="s">
        <v>186</v>
      </c>
      <c r="C1292" t="s">
        <v>203</v>
      </c>
      <c r="D1292" t="s">
        <v>217</v>
      </c>
      <c r="E1292">
        <f>IF(LEFT(D1292,6)="CLIENT",IFERROR(VLOOKUP(C1292,Config_Carteiras!$A:$B,2,FALSE),1),"")</f>
        <v>1</v>
      </c>
      <c r="F1292" s="25">
        <v>2702</v>
      </c>
      <c r="G1292" s="28">
        <f>IF(LEFT(D1292,6)="CLIENT",IF(E1292=0,WORKDAY(A1292-1,1,Dias_Sem_Compensacao!$A$2:$A$500),WORKDAY(A1292,E1292,Dias_Sem_Compensacao!$A$2:$A$500)),"")</f>
        <v>46300</v>
      </c>
      <c r="H1292" s="25">
        <v>0</v>
      </c>
      <c r="I1292" s="28">
        <v>46297</v>
      </c>
      <c r="J1292" t="s">
        <v>1032</v>
      </c>
      <c r="K1292" t="s">
        <v>1033</v>
      </c>
    </row>
    <row r="1293" spans="1:11" hidden="1">
      <c r="A1293" s="28">
        <v>46297</v>
      </c>
      <c r="B1293" t="s">
        <v>186</v>
      </c>
      <c r="C1293" t="s">
        <v>203</v>
      </c>
      <c r="D1293" t="s">
        <v>217</v>
      </c>
      <c r="E1293">
        <f>IF(LEFT(D1293,6)="CLIENT",IFERROR(VLOOKUP(C1293,Config_Carteiras!$A:$B,2,FALSE),1),"")</f>
        <v>1</v>
      </c>
      <c r="F1293" s="25">
        <v>2622.01</v>
      </c>
      <c r="G1293" s="28">
        <f>IF(LEFT(D1293,6)="CLIENT",IF(E1293=0,WORKDAY(A1293-1,1,Dias_Sem_Compensacao!$A$2:$A$500),WORKDAY(A1293,E1293,Dias_Sem_Compensacao!$A$2:$A$500)),"")</f>
        <v>46300</v>
      </c>
      <c r="H1293" s="25">
        <v>0</v>
      </c>
      <c r="I1293" s="28">
        <v>46297</v>
      </c>
      <c r="J1293" t="s">
        <v>1787</v>
      </c>
      <c r="K1293" t="s">
        <v>1788</v>
      </c>
    </row>
    <row r="1294" spans="1:11" hidden="1">
      <c r="A1294" s="28">
        <v>46297</v>
      </c>
      <c r="B1294" t="s">
        <v>186</v>
      </c>
      <c r="C1294" t="s">
        <v>203</v>
      </c>
      <c r="D1294" t="s">
        <v>217</v>
      </c>
      <c r="E1294">
        <f>IF(LEFT(D1294,6)="CLIENT",IFERROR(VLOOKUP(C1294,Config_Carteiras!$A:$B,2,FALSE),1),"")</f>
        <v>1</v>
      </c>
      <c r="F1294" s="25">
        <v>1392</v>
      </c>
      <c r="G1294" s="28">
        <f>IF(LEFT(D1294,6)="CLIENT",IF(E1294=0,WORKDAY(A1294-1,1,Dias_Sem_Compensacao!$A$2:$A$500),WORKDAY(A1294,E1294,Dias_Sem_Compensacao!$A$2:$A$500)),"")</f>
        <v>46300</v>
      </c>
      <c r="H1294" s="25">
        <v>0</v>
      </c>
      <c r="I1294" s="28">
        <v>46297</v>
      </c>
      <c r="J1294" t="s">
        <v>1789</v>
      </c>
      <c r="K1294" t="s">
        <v>1790</v>
      </c>
    </row>
    <row r="1295" spans="1:11" hidden="1">
      <c r="A1295" s="28">
        <v>46297</v>
      </c>
      <c r="B1295" t="s">
        <v>186</v>
      </c>
      <c r="C1295" t="s">
        <v>203</v>
      </c>
      <c r="D1295" t="s">
        <v>217</v>
      </c>
      <c r="E1295">
        <f>IF(LEFT(D1295,6)="CLIENT",IFERROR(VLOOKUP(C1295,Config_Carteiras!$A:$B,2,FALSE),1),"")</f>
        <v>1</v>
      </c>
      <c r="F1295" s="25">
        <v>528.64</v>
      </c>
      <c r="G1295" s="28">
        <f>IF(LEFT(D1295,6)="CLIENT",IF(E1295=0,WORKDAY(A1295-1,1,Dias_Sem_Compensacao!$A$2:$A$500),WORKDAY(A1295,E1295,Dias_Sem_Compensacao!$A$2:$A$500)),"")</f>
        <v>46300</v>
      </c>
      <c r="H1295" s="25">
        <v>0</v>
      </c>
      <c r="I1295" s="28">
        <v>46297</v>
      </c>
      <c r="J1295" t="s">
        <v>1099</v>
      </c>
      <c r="K1295" t="s">
        <v>1100</v>
      </c>
    </row>
    <row r="1296" spans="1:11" hidden="1">
      <c r="A1296" s="28">
        <v>46297</v>
      </c>
      <c r="B1296" t="s">
        <v>186</v>
      </c>
      <c r="C1296" t="s">
        <v>203</v>
      </c>
      <c r="D1296" t="s">
        <v>217</v>
      </c>
      <c r="E1296">
        <f>IF(LEFT(D1296,6)="CLIENT",IFERROR(VLOOKUP(C1296,Config_Carteiras!$A:$B,2,FALSE),1),"")</f>
        <v>1</v>
      </c>
      <c r="F1296" s="25">
        <v>1314</v>
      </c>
      <c r="G1296" s="28">
        <f>IF(LEFT(D1296,6)="CLIENT",IF(E1296=0,WORKDAY(A1296-1,1,Dias_Sem_Compensacao!$A$2:$A$500),WORKDAY(A1296,E1296,Dias_Sem_Compensacao!$A$2:$A$500)),"")</f>
        <v>46300</v>
      </c>
      <c r="H1296" s="25">
        <v>0</v>
      </c>
      <c r="I1296" s="28">
        <v>46297</v>
      </c>
      <c r="J1296" t="s">
        <v>1791</v>
      </c>
      <c r="K1296" t="s">
        <v>1792</v>
      </c>
    </row>
    <row r="1297" spans="1:11" hidden="1">
      <c r="A1297" s="28">
        <v>46297</v>
      </c>
      <c r="B1297" t="s">
        <v>186</v>
      </c>
      <c r="C1297" t="s">
        <v>203</v>
      </c>
      <c r="D1297" t="s">
        <v>217</v>
      </c>
      <c r="E1297">
        <f>IF(LEFT(D1297,6)="CLIENT",IFERROR(VLOOKUP(C1297,Config_Carteiras!$A:$B,2,FALSE),1),"")</f>
        <v>1</v>
      </c>
      <c r="F1297" s="25">
        <v>810</v>
      </c>
      <c r="G1297" s="28">
        <f>IF(LEFT(D1297,6)="CLIENT",IF(E1297=0,WORKDAY(A1297-1,1,Dias_Sem_Compensacao!$A$2:$A$500),WORKDAY(A1297,E1297,Dias_Sem_Compensacao!$A$2:$A$500)),"")</f>
        <v>46300</v>
      </c>
      <c r="H1297" s="25">
        <v>0</v>
      </c>
      <c r="I1297" s="28">
        <v>46297</v>
      </c>
      <c r="J1297" t="s">
        <v>1793</v>
      </c>
      <c r="K1297" t="s">
        <v>1794</v>
      </c>
    </row>
    <row r="1298" spans="1:11" hidden="1">
      <c r="A1298" s="28">
        <v>46300</v>
      </c>
      <c r="B1298" t="s">
        <v>186</v>
      </c>
      <c r="C1298" t="s">
        <v>203</v>
      </c>
      <c r="D1298" t="s">
        <v>217</v>
      </c>
      <c r="E1298">
        <f>IF(LEFT(D1298,6)="CLIENT",IFERROR(VLOOKUP(C1298,Config_Carteiras!$A:$B,2,FALSE),1),"")</f>
        <v>1</v>
      </c>
      <c r="F1298" s="25">
        <v>480</v>
      </c>
      <c r="G1298" s="28">
        <f>IF(LEFT(D1298,6)="CLIENT",IF(E1298=0,WORKDAY(A1298-1,1,Dias_Sem_Compensacao!$A$2:$A$500),WORKDAY(A1298,E1298,Dias_Sem_Compensacao!$A$2:$A$500)),"")</f>
        <v>46301</v>
      </c>
      <c r="H1298" s="25">
        <v>0</v>
      </c>
      <c r="I1298" s="28">
        <v>46300</v>
      </c>
      <c r="J1298" t="s">
        <v>539</v>
      </c>
      <c r="K1298" t="s">
        <v>1795</v>
      </c>
    </row>
    <row r="1299" spans="1:11" hidden="1">
      <c r="A1299" s="28">
        <v>46300</v>
      </c>
      <c r="B1299" t="s">
        <v>186</v>
      </c>
      <c r="C1299" t="s">
        <v>203</v>
      </c>
      <c r="D1299" t="s">
        <v>217</v>
      </c>
      <c r="E1299">
        <f>IF(LEFT(D1299,6)="CLIENT",IFERROR(VLOOKUP(C1299,Config_Carteiras!$A:$B,2,FALSE),1),"")</f>
        <v>1</v>
      </c>
      <c r="F1299" s="25">
        <v>1461</v>
      </c>
      <c r="G1299" s="28">
        <f>IF(LEFT(D1299,6)="CLIENT",IF(E1299=0,WORKDAY(A1299-1,1,Dias_Sem_Compensacao!$A$2:$A$500),WORKDAY(A1299,E1299,Dias_Sem_Compensacao!$A$2:$A$500)),"")</f>
        <v>46301</v>
      </c>
      <c r="H1299" s="25">
        <v>0</v>
      </c>
      <c r="I1299" s="28">
        <v>46300</v>
      </c>
      <c r="J1299" t="s">
        <v>1101</v>
      </c>
      <c r="K1299" t="s">
        <v>1102</v>
      </c>
    </row>
    <row r="1300" spans="1:11" hidden="1">
      <c r="A1300" s="28">
        <v>46300</v>
      </c>
      <c r="B1300" t="s">
        <v>186</v>
      </c>
      <c r="C1300" t="s">
        <v>203</v>
      </c>
      <c r="D1300" t="s">
        <v>217</v>
      </c>
      <c r="E1300">
        <f>IF(LEFT(D1300,6)="CLIENT",IFERROR(VLOOKUP(C1300,Config_Carteiras!$A:$B,2,FALSE),1),"")</f>
        <v>1</v>
      </c>
      <c r="F1300" s="25">
        <v>1364.29</v>
      </c>
      <c r="G1300" s="28">
        <f>IF(LEFT(D1300,6)="CLIENT",IF(E1300=0,WORKDAY(A1300-1,1,Dias_Sem_Compensacao!$A$2:$A$500),WORKDAY(A1300,E1300,Dias_Sem_Compensacao!$A$2:$A$500)),"")</f>
        <v>46301</v>
      </c>
      <c r="H1300" s="25">
        <v>0</v>
      </c>
      <c r="I1300" s="28">
        <v>46300</v>
      </c>
      <c r="J1300" t="s">
        <v>1796</v>
      </c>
      <c r="K1300" t="s">
        <v>1797</v>
      </c>
    </row>
    <row r="1301" spans="1:11" hidden="1">
      <c r="A1301" s="28">
        <v>46300</v>
      </c>
      <c r="B1301" t="s">
        <v>186</v>
      </c>
      <c r="C1301" t="s">
        <v>203</v>
      </c>
      <c r="D1301" t="s">
        <v>217</v>
      </c>
      <c r="E1301">
        <f>IF(LEFT(D1301,6)="CLIENT",IFERROR(VLOOKUP(C1301,Config_Carteiras!$A:$B,2,FALSE),1),"")</f>
        <v>1</v>
      </c>
      <c r="F1301" s="25">
        <v>950</v>
      </c>
      <c r="G1301" s="28">
        <f>IF(LEFT(D1301,6)="CLIENT",IF(E1301=0,WORKDAY(A1301-1,1,Dias_Sem_Compensacao!$A$2:$A$500),WORKDAY(A1301,E1301,Dias_Sem_Compensacao!$A$2:$A$500)),"")</f>
        <v>46301</v>
      </c>
      <c r="H1301" s="25">
        <v>0</v>
      </c>
      <c r="I1301" s="28">
        <v>46300</v>
      </c>
      <c r="J1301" t="s">
        <v>1457</v>
      </c>
      <c r="K1301" t="s">
        <v>1798</v>
      </c>
    </row>
    <row r="1302" spans="1:11" hidden="1">
      <c r="A1302" s="28">
        <v>46300</v>
      </c>
      <c r="B1302" t="s">
        <v>186</v>
      </c>
      <c r="C1302" t="s">
        <v>203</v>
      </c>
      <c r="D1302" t="s">
        <v>217</v>
      </c>
      <c r="E1302">
        <f>IF(LEFT(D1302,6)="CLIENT",IFERROR(VLOOKUP(C1302,Config_Carteiras!$A:$B,2,FALSE),1),"")</f>
        <v>1</v>
      </c>
      <c r="F1302" s="25">
        <v>2430.8000000000002</v>
      </c>
      <c r="G1302" s="28">
        <f>IF(LEFT(D1302,6)="CLIENT",IF(E1302=0,WORKDAY(A1302-1,1,Dias_Sem_Compensacao!$A$2:$A$500),WORKDAY(A1302,E1302,Dias_Sem_Compensacao!$A$2:$A$500)),"")</f>
        <v>46301</v>
      </c>
      <c r="H1302" s="25">
        <v>0</v>
      </c>
      <c r="I1302" s="28">
        <v>46300</v>
      </c>
      <c r="J1302" t="s">
        <v>1799</v>
      </c>
      <c r="K1302" t="s">
        <v>1800</v>
      </c>
    </row>
    <row r="1303" spans="1:11" hidden="1">
      <c r="A1303" s="28">
        <v>46300</v>
      </c>
      <c r="B1303" t="s">
        <v>186</v>
      </c>
      <c r="C1303" t="s">
        <v>203</v>
      </c>
      <c r="D1303" t="s">
        <v>217</v>
      </c>
      <c r="E1303">
        <f>IF(LEFT(D1303,6)="CLIENT",IFERROR(VLOOKUP(C1303,Config_Carteiras!$A:$B,2,FALSE),1),"")</f>
        <v>1</v>
      </c>
      <c r="F1303" s="25">
        <v>467</v>
      </c>
      <c r="G1303" s="28">
        <f>IF(LEFT(D1303,6)="CLIENT",IF(E1303=0,WORKDAY(A1303-1,1,Dias_Sem_Compensacao!$A$2:$A$500),WORKDAY(A1303,E1303,Dias_Sem_Compensacao!$A$2:$A$500)),"")</f>
        <v>46301</v>
      </c>
      <c r="H1303" s="25">
        <v>0</v>
      </c>
      <c r="I1303" s="28">
        <v>46300</v>
      </c>
      <c r="J1303" t="s">
        <v>1801</v>
      </c>
      <c r="K1303" t="s">
        <v>1802</v>
      </c>
    </row>
    <row r="1304" spans="1:11" hidden="1">
      <c r="A1304" s="28">
        <v>46300</v>
      </c>
      <c r="B1304" t="s">
        <v>186</v>
      </c>
      <c r="C1304" t="s">
        <v>203</v>
      </c>
      <c r="D1304" t="s">
        <v>217</v>
      </c>
      <c r="E1304">
        <f>IF(LEFT(D1304,6)="CLIENT",IFERROR(VLOOKUP(C1304,Config_Carteiras!$A:$B,2,FALSE),1),"")</f>
        <v>1</v>
      </c>
      <c r="F1304" s="25">
        <v>982.68</v>
      </c>
      <c r="G1304" s="28">
        <f>IF(LEFT(D1304,6)="CLIENT",IF(E1304=0,WORKDAY(A1304-1,1,Dias_Sem_Compensacao!$A$2:$A$500),WORKDAY(A1304,E1304,Dias_Sem_Compensacao!$A$2:$A$500)),"")</f>
        <v>46301</v>
      </c>
      <c r="H1304" s="25">
        <v>0</v>
      </c>
      <c r="I1304" s="28">
        <v>46300</v>
      </c>
      <c r="J1304" t="s">
        <v>1803</v>
      </c>
      <c r="K1304" t="s">
        <v>1804</v>
      </c>
    </row>
    <row r="1305" spans="1:11" hidden="1">
      <c r="A1305" s="28">
        <v>46300</v>
      </c>
      <c r="B1305" t="s">
        <v>186</v>
      </c>
      <c r="C1305" t="s">
        <v>203</v>
      </c>
      <c r="D1305" t="s">
        <v>217</v>
      </c>
      <c r="E1305">
        <f>IF(LEFT(D1305,6)="CLIENT",IFERROR(VLOOKUP(C1305,Config_Carteiras!$A:$B,2,FALSE),1),"")</f>
        <v>1</v>
      </c>
      <c r="F1305" s="25">
        <v>1354</v>
      </c>
      <c r="G1305" s="28">
        <f>IF(LEFT(D1305,6)="CLIENT",IF(E1305=0,WORKDAY(A1305-1,1,Dias_Sem_Compensacao!$A$2:$A$500),WORKDAY(A1305,E1305,Dias_Sem_Compensacao!$A$2:$A$500)),"")</f>
        <v>46301</v>
      </c>
      <c r="H1305" s="25">
        <v>0</v>
      </c>
      <c r="I1305" s="28">
        <v>46300</v>
      </c>
      <c r="J1305" t="s">
        <v>1805</v>
      </c>
      <c r="K1305" t="s">
        <v>1806</v>
      </c>
    </row>
    <row r="1306" spans="1:11" hidden="1">
      <c r="A1306" s="28">
        <v>46300</v>
      </c>
      <c r="B1306" t="s">
        <v>186</v>
      </c>
      <c r="C1306" t="s">
        <v>203</v>
      </c>
      <c r="D1306" t="s">
        <v>217</v>
      </c>
      <c r="E1306">
        <f>IF(LEFT(D1306,6)="CLIENT",IFERROR(VLOOKUP(C1306,Config_Carteiras!$A:$B,2,FALSE),1),"")</f>
        <v>1</v>
      </c>
      <c r="F1306" s="25">
        <v>1000</v>
      </c>
      <c r="G1306" s="28">
        <f>IF(LEFT(D1306,6)="CLIENT",IF(E1306=0,WORKDAY(A1306-1,1,Dias_Sem_Compensacao!$A$2:$A$500),WORKDAY(A1306,E1306,Dias_Sem_Compensacao!$A$2:$A$500)),"")</f>
        <v>46301</v>
      </c>
      <c r="H1306" s="25">
        <v>0</v>
      </c>
      <c r="I1306" s="28">
        <v>46300</v>
      </c>
      <c r="J1306" t="s">
        <v>1807</v>
      </c>
      <c r="K1306" t="s">
        <v>1808</v>
      </c>
    </row>
    <row r="1307" spans="1:11" hidden="1">
      <c r="A1307" s="28">
        <v>46300</v>
      </c>
      <c r="B1307" t="s">
        <v>186</v>
      </c>
      <c r="C1307" t="s">
        <v>203</v>
      </c>
      <c r="D1307" t="s">
        <v>217</v>
      </c>
      <c r="E1307">
        <f>IF(LEFT(D1307,6)="CLIENT",IFERROR(VLOOKUP(C1307,Config_Carteiras!$A:$B,2,FALSE),1),"")</f>
        <v>1</v>
      </c>
      <c r="F1307" s="25">
        <v>1417</v>
      </c>
      <c r="G1307" s="28">
        <f>IF(LEFT(D1307,6)="CLIENT",IF(E1307=0,WORKDAY(A1307-1,1,Dias_Sem_Compensacao!$A$2:$A$500),WORKDAY(A1307,E1307,Dias_Sem_Compensacao!$A$2:$A$500)),"")</f>
        <v>46301</v>
      </c>
      <c r="H1307" s="25">
        <v>0</v>
      </c>
      <c r="I1307" s="28">
        <v>46300</v>
      </c>
      <c r="J1307" t="s">
        <v>1809</v>
      </c>
      <c r="K1307" t="s">
        <v>1810</v>
      </c>
    </row>
    <row r="1308" spans="1:11" hidden="1">
      <c r="A1308" s="28">
        <v>46300</v>
      </c>
      <c r="B1308" t="s">
        <v>186</v>
      </c>
      <c r="C1308" t="s">
        <v>203</v>
      </c>
      <c r="D1308" t="s">
        <v>217</v>
      </c>
      <c r="E1308">
        <f>IF(LEFT(D1308,6)="CLIENT",IFERROR(VLOOKUP(C1308,Config_Carteiras!$A:$B,2,FALSE),1),"")</f>
        <v>1</v>
      </c>
      <c r="F1308" s="25">
        <v>737.5</v>
      </c>
      <c r="G1308" s="28">
        <f>IF(LEFT(D1308,6)="CLIENT",IF(E1308=0,WORKDAY(A1308-1,1,Dias_Sem_Compensacao!$A$2:$A$500),WORKDAY(A1308,E1308,Dias_Sem_Compensacao!$A$2:$A$500)),"")</f>
        <v>46301</v>
      </c>
      <c r="H1308" s="25">
        <v>0</v>
      </c>
      <c r="I1308" s="28">
        <v>46300</v>
      </c>
      <c r="J1308" t="s">
        <v>1811</v>
      </c>
      <c r="K1308" t="s">
        <v>1812</v>
      </c>
    </row>
    <row r="1309" spans="1:11" hidden="1">
      <c r="A1309" s="28">
        <v>46300</v>
      </c>
      <c r="B1309" t="s">
        <v>186</v>
      </c>
      <c r="C1309" t="s">
        <v>203</v>
      </c>
      <c r="D1309" t="s">
        <v>217</v>
      </c>
      <c r="E1309">
        <f>IF(LEFT(D1309,6)="CLIENT",IFERROR(VLOOKUP(C1309,Config_Carteiras!$A:$B,2,FALSE),1),"")</f>
        <v>1</v>
      </c>
      <c r="F1309" s="25">
        <v>888</v>
      </c>
      <c r="G1309" s="28">
        <f>IF(LEFT(D1309,6)="CLIENT",IF(E1309=0,WORKDAY(A1309-1,1,Dias_Sem_Compensacao!$A$2:$A$500),WORKDAY(A1309,E1309,Dias_Sem_Compensacao!$A$2:$A$500)),"")</f>
        <v>46301</v>
      </c>
      <c r="H1309" s="25">
        <v>0</v>
      </c>
      <c r="I1309" s="28">
        <v>46300</v>
      </c>
      <c r="J1309" t="s">
        <v>1813</v>
      </c>
      <c r="K1309" t="s">
        <v>1814</v>
      </c>
    </row>
    <row r="1310" spans="1:11" hidden="1">
      <c r="A1310" s="28">
        <v>46300</v>
      </c>
      <c r="B1310" t="s">
        <v>186</v>
      </c>
      <c r="C1310" t="s">
        <v>203</v>
      </c>
      <c r="D1310" t="s">
        <v>217</v>
      </c>
      <c r="E1310">
        <f>IF(LEFT(D1310,6)="CLIENT",IFERROR(VLOOKUP(C1310,Config_Carteiras!$A:$B,2,FALSE),1),"")</f>
        <v>1</v>
      </c>
      <c r="F1310" s="25">
        <v>8732</v>
      </c>
      <c r="G1310" s="28">
        <f>IF(LEFT(D1310,6)="CLIENT",IF(E1310=0,WORKDAY(A1310-1,1,Dias_Sem_Compensacao!$A$2:$A$500),WORKDAY(A1310,E1310,Dias_Sem_Compensacao!$A$2:$A$500)),"")</f>
        <v>46301</v>
      </c>
      <c r="H1310" s="25">
        <v>0</v>
      </c>
      <c r="I1310" s="28">
        <v>46300</v>
      </c>
      <c r="J1310" t="s">
        <v>1815</v>
      </c>
      <c r="K1310" t="s">
        <v>1816</v>
      </c>
    </row>
    <row r="1311" spans="1:11" hidden="1">
      <c r="A1311" s="28">
        <v>46300</v>
      </c>
      <c r="B1311" t="s">
        <v>186</v>
      </c>
      <c r="C1311" t="s">
        <v>203</v>
      </c>
      <c r="D1311" t="s">
        <v>217</v>
      </c>
      <c r="E1311">
        <f>IF(LEFT(D1311,6)="CLIENT",IFERROR(VLOOKUP(C1311,Config_Carteiras!$A:$B,2,FALSE),1),"")</f>
        <v>1</v>
      </c>
      <c r="F1311" s="25">
        <v>882.17</v>
      </c>
      <c r="G1311" s="28">
        <f>IF(LEFT(D1311,6)="CLIENT",IF(E1311=0,WORKDAY(A1311-1,1,Dias_Sem_Compensacao!$A$2:$A$500),WORKDAY(A1311,E1311,Dias_Sem_Compensacao!$A$2:$A$500)),"")</f>
        <v>46301</v>
      </c>
      <c r="H1311" s="25">
        <v>0</v>
      </c>
      <c r="I1311" s="28">
        <v>46300</v>
      </c>
      <c r="J1311" t="s">
        <v>1817</v>
      </c>
      <c r="K1311" t="s">
        <v>1818</v>
      </c>
    </row>
    <row r="1312" spans="1:11" hidden="1">
      <c r="A1312" s="28">
        <v>46300</v>
      </c>
      <c r="B1312" t="s">
        <v>186</v>
      </c>
      <c r="C1312" t="s">
        <v>203</v>
      </c>
      <c r="D1312" t="s">
        <v>217</v>
      </c>
      <c r="E1312">
        <f>IF(LEFT(D1312,6)="CLIENT",IFERROR(VLOOKUP(C1312,Config_Carteiras!$A:$B,2,FALSE),1),"")</f>
        <v>1</v>
      </c>
      <c r="F1312" s="25">
        <v>964.23</v>
      </c>
      <c r="G1312" s="28">
        <f>IF(LEFT(D1312,6)="CLIENT",IF(E1312=0,WORKDAY(A1312-1,1,Dias_Sem_Compensacao!$A$2:$A$500),WORKDAY(A1312,E1312,Dias_Sem_Compensacao!$A$2:$A$500)),"")</f>
        <v>46301</v>
      </c>
      <c r="H1312" s="25">
        <v>0</v>
      </c>
      <c r="I1312" s="28">
        <v>46300</v>
      </c>
      <c r="J1312" t="s">
        <v>1105</v>
      </c>
      <c r="K1312" t="s">
        <v>1106</v>
      </c>
    </row>
    <row r="1313" spans="1:11" hidden="1">
      <c r="A1313" s="28">
        <v>46300</v>
      </c>
      <c r="B1313" t="s">
        <v>186</v>
      </c>
      <c r="C1313" t="s">
        <v>203</v>
      </c>
      <c r="D1313" t="s">
        <v>217</v>
      </c>
      <c r="E1313">
        <f>IF(LEFT(D1313,6)="CLIENT",IFERROR(VLOOKUP(C1313,Config_Carteiras!$A:$B,2,FALSE),1),"")</f>
        <v>1</v>
      </c>
      <c r="F1313" s="25">
        <v>17793</v>
      </c>
      <c r="G1313" s="28">
        <f>IF(LEFT(D1313,6)="CLIENT",IF(E1313=0,WORKDAY(A1313-1,1,Dias_Sem_Compensacao!$A$2:$A$500),WORKDAY(A1313,E1313,Dias_Sem_Compensacao!$A$2:$A$500)),"")</f>
        <v>46301</v>
      </c>
      <c r="H1313" s="25">
        <v>0</v>
      </c>
      <c r="I1313" s="28">
        <v>46300</v>
      </c>
      <c r="J1313" t="s">
        <v>1162</v>
      </c>
      <c r="K1313" t="s">
        <v>1819</v>
      </c>
    </row>
    <row r="1314" spans="1:11" hidden="1">
      <c r="A1314" s="28">
        <v>46300</v>
      </c>
      <c r="B1314" t="s">
        <v>186</v>
      </c>
      <c r="C1314" t="s">
        <v>203</v>
      </c>
      <c r="D1314" t="s">
        <v>217</v>
      </c>
      <c r="E1314">
        <f>IF(LEFT(D1314,6)="CLIENT",IFERROR(VLOOKUP(C1314,Config_Carteiras!$A:$B,2,FALSE),1),"")</f>
        <v>1</v>
      </c>
      <c r="F1314" s="25">
        <v>1044.9000000000001</v>
      </c>
      <c r="G1314" s="28">
        <f>IF(LEFT(D1314,6)="CLIENT",IF(E1314=0,WORKDAY(A1314-1,1,Dias_Sem_Compensacao!$A$2:$A$500),WORKDAY(A1314,E1314,Dias_Sem_Compensacao!$A$2:$A$500)),"")</f>
        <v>46301</v>
      </c>
      <c r="H1314" s="25">
        <v>0</v>
      </c>
      <c r="I1314" s="28">
        <v>46300</v>
      </c>
      <c r="J1314" t="s">
        <v>1820</v>
      </c>
      <c r="K1314" t="s">
        <v>1821</v>
      </c>
    </row>
    <row r="1315" spans="1:11" hidden="1">
      <c r="A1315" s="28">
        <v>46300</v>
      </c>
      <c r="B1315" t="s">
        <v>186</v>
      </c>
      <c r="C1315" t="s">
        <v>203</v>
      </c>
      <c r="D1315" t="s">
        <v>217</v>
      </c>
      <c r="E1315">
        <f>IF(LEFT(D1315,6)="CLIENT",IFERROR(VLOOKUP(C1315,Config_Carteiras!$A:$B,2,FALSE),1),"")</f>
        <v>1</v>
      </c>
      <c r="F1315" s="25">
        <v>1549</v>
      </c>
      <c r="G1315" s="28">
        <f>IF(LEFT(D1315,6)="CLIENT",IF(E1315=0,WORKDAY(A1315-1,1,Dias_Sem_Compensacao!$A$2:$A$500),WORKDAY(A1315,E1315,Dias_Sem_Compensacao!$A$2:$A$500)),"")</f>
        <v>46301</v>
      </c>
      <c r="H1315" s="25">
        <v>0</v>
      </c>
      <c r="I1315" s="28">
        <v>46300</v>
      </c>
      <c r="J1315" t="s">
        <v>1822</v>
      </c>
      <c r="K1315" t="s">
        <v>1823</v>
      </c>
    </row>
    <row r="1316" spans="1:11" hidden="1">
      <c r="A1316" s="28">
        <v>46300</v>
      </c>
      <c r="B1316" t="s">
        <v>186</v>
      </c>
      <c r="C1316" t="s">
        <v>203</v>
      </c>
      <c r="D1316" t="s">
        <v>217</v>
      </c>
      <c r="E1316">
        <f>IF(LEFT(D1316,6)="CLIENT",IFERROR(VLOOKUP(C1316,Config_Carteiras!$A:$B,2,FALSE),1),"")</f>
        <v>1</v>
      </c>
      <c r="F1316" s="25">
        <v>562</v>
      </c>
      <c r="G1316" s="28">
        <f>IF(LEFT(D1316,6)="CLIENT",IF(E1316=0,WORKDAY(A1316-1,1,Dias_Sem_Compensacao!$A$2:$A$500),WORKDAY(A1316,E1316,Dias_Sem_Compensacao!$A$2:$A$500)),"")</f>
        <v>46301</v>
      </c>
      <c r="H1316" s="25">
        <v>0</v>
      </c>
      <c r="I1316" s="28">
        <v>46300</v>
      </c>
      <c r="J1316" t="s">
        <v>1824</v>
      </c>
      <c r="K1316" t="s">
        <v>1825</v>
      </c>
    </row>
    <row r="1317" spans="1:11" hidden="1">
      <c r="A1317" s="28">
        <v>46300</v>
      </c>
      <c r="B1317" t="s">
        <v>186</v>
      </c>
      <c r="C1317" t="s">
        <v>203</v>
      </c>
      <c r="D1317" t="s">
        <v>217</v>
      </c>
      <c r="E1317">
        <f>IF(LEFT(D1317,6)="CLIENT",IFERROR(VLOOKUP(C1317,Config_Carteiras!$A:$B,2,FALSE),1),"")</f>
        <v>1</v>
      </c>
      <c r="F1317" s="25">
        <v>1000</v>
      </c>
      <c r="G1317" s="28">
        <f>IF(LEFT(D1317,6)="CLIENT",IF(E1317=0,WORKDAY(A1317-1,1,Dias_Sem_Compensacao!$A$2:$A$500),WORKDAY(A1317,E1317,Dias_Sem_Compensacao!$A$2:$A$500)),"")</f>
        <v>46301</v>
      </c>
      <c r="H1317" s="25">
        <v>0</v>
      </c>
      <c r="I1317" s="28">
        <v>46300</v>
      </c>
      <c r="J1317" t="s">
        <v>243</v>
      </c>
      <c r="K1317" t="s">
        <v>1826</v>
      </c>
    </row>
    <row r="1318" spans="1:11" hidden="1">
      <c r="A1318" s="28">
        <v>46300</v>
      </c>
      <c r="B1318" t="s">
        <v>186</v>
      </c>
      <c r="C1318" t="s">
        <v>203</v>
      </c>
      <c r="D1318" t="s">
        <v>217</v>
      </c>
      <c r="E1318">
        <f>IF(LEFT(D1318,6)="CLIENT",IFERROR(VLOOKUP(C1318,Config_Carteiras!$A:$B,2,FALSE),1),"")</f>
        <v>1</v>
      </c>
      <c r="F1318" s="25">
        <v>1079</v>
      </c>
      <c r="G1318" s="28">
        <f>IF(LEFT(D1318,6)="CLIENT",IF(E1318=0,WORKDAY(A1318-1,1,Dias_Sem_Compensacao!$A$2:$A$500),WORKDAY(A1318,E1318,Dias_Sem_Compensacao!$A$2:$A$500)),"")</f>
        <v>46301</v>
      </c>
      <c r="H1318" s="25">
        <v>0</v>
      </c>
      <c r="I1318" s="28">
        <v>46300</v>
      </c>
      <c r="J1318" t="s">
        <v>1703</v>
      </c>
      <c r="K1318" t="s">
        <v>1827</v>
      </c>
    </row>
    <row r="1319" spans="1:11" hidden="1">
      <c r="A1319" s="28">
        <v>46300</v>
      </c>
      <c r="B1319" t="s">
        <v>186</v>
      </c>
      <c r="C1319" t="s">
        <v>203</v>
      </c>
      <c r="D1319" t="s">
        <v>217</v>
      </c>
      <c r="E1319">
        <f>IF(LEFT(D1319,6)="CLIENT",IFERROR(VLOOKUP(C1319,Config_Carteiras!$A:$B,2,FALSE),1),"")</f>
        <v>1</v>
      </c>
      <c r="F1319" s="25">
        <v>1213</v>
      </c>
      <c r="G1319" s="28">
        <f>IF(LEFT(D1319,6)="CLIENT",IF(E1319=0,WORKDAY(A1319-1,1,Dias_Sem_Compensacao!$A$2:$A$500),WORKDAY(A1319,E1319,Dias_Sem_Compensacao!$A$2:$A$500)),"")</f>
        <v>46301</v>
      </c>
      <c r="H1319" s="25">
        <v>0</v>
      </c>
      <c r="I1319" s="28">
        <v>46300</v>
      </c>
      <c r="K1319" t="s">
        <v>1828</v>
      </c>
    </row>
    <row r="1320" spans="1:11" hidden="1">
      <c r="A1320" s="28">
        <v>46300</v>
      </c>
      <c r="B1320" t="s">
        <v>186</v>
      </c>
      <c r="C1320" t="s">
        <v>203</v>
      </c>
      <c r="D1320" t="s">
        <v>217</v>
      </c>
      <c r="E1320">
        <f>IF(LEFT(D1320,6)="CLIENT",IFERROR(VLOOKUP(C1320,Config_Carteiras!$A:$B,2,FALSE),1),"")</f>
        <v>1</v>
      </c>
      <c r="F1320" s="25">
        <v>799.25</v>
      </c>
      <c r="G1320" s="28">
        <f>IF(LEFT(D1320,6)="CLIENT",IF(E1320=0,WORKDAY(A1320-1,1,Dias_Sem_Compensacao!$A$2:$A$500),WORKDAY(A1320,E1320,Dias_Sem_Compensacao!$A$2:$A$500)),"")</f>
        <v>46301</v>
      </c>
      <c r="H1320" s="25">
        <v>0</v>
      </c>
      <c r="I1320" s="28">
        <v>46300</v>
      </c>
      <c r="J1320" t="s">
        <v>1829</v>
      </c>
      <c r="K1320" t="s">
        <v>1830</v>
      </c>
    </row>
    <row r="1321" spans="1:11" hidden="1">
      <c r="A1321" s="28">
        <v>46300</v>
      </c>
      <c r="B1321" t="s">
        <v>186</v>
      </c>
      <c r="C1321" t="s">
        <v>203</v>
      </c>
      <c r="D1321" t="s">
        <v>217</v>
      </c>
      <c r="E1321">
        <f>IF(LEFT(D1321,6)="CLIENT",IFERROR(VLOOKUP(C1321,Config_Carteiras!$A:$B,2,FALSE),1),"")</f>
        <v>1</v>
      </c>
      <c r="F1321" s="25">
        <v>842.18</v>
      </c>
      <c r="G1321" s="28">
        <f>IF(LEFT(D1321,6)="CLIENT",IF(E1321=0,WORKDAY(A1321-1,1,Dias_Sem_Compensacao!$A$2:$A$500),WORKDAY(A1321,E1321,Dias_Sem_Compensacao!$A$2:$A$500)),"")</f>
        <v>46301</v>
      </c>
      <c r="H1321" s="25">
        <v>0</v>
      </c>
      <c r="I1321" s="28">
        <v>46300</v>
      </c>
      <c r="J1321" t="s">
        <v>1831</v>
      </c>
      <c r="K1321" t="s">
        <v>1832</v>
      </c>
    </row>
    <row r="1322" spans="1:11" hidden="1">
      <c r="A1322" s="28">
        <v>46300</v>
      </c>
      <c r="B1322" t="s">
        <v>186</v>
      </c>
      <c r="C1322" t="s">
        <v>203</v>
      </c>
      <c r="D1322" t="s">
        <v>217</v>
      </c>
      <c r="E1322">
        <f>IF(LEFT(D1322,6)="CLIENT",IFERROR(VLOOKUP(C1322,Config_Carteiras!$A:$B,2,FALSE),1),"")</f>
        <v>1</v>
      </c>
      <c r="F1322" s="25">
        <v>442</v>
      </c>
      <c r="G1322" s="28">
        <f>IF(LEFT(D1322,6)="CLIENT",IF(E1322=0,WORKDAY(A1322-1,1,Dias_Sem_Compensacao!$A$2:$A$500),WORKDAY(A1322,E1322,Dias_Sem_Compensacao!$A$2:$A$500)),"")</f>
        <v>46301</v>
      </c>
      <c r="H1322" s="25">
        <v>0</v>
      </c>
      <c r="I1322" s="28">
        <v>46300</v>
      </c>
      <c r="J1322" t="s">
        <v>1833</v>
      </c>
      <c r="K1322" t="s">
        <v>1834</v>
      </c>
    </row>
    <row r="1323" spans="1:11" hidden="1">
      <c r="A1323" s="28">
        <v>46300</v>
      </c>
      <c r="B1323" t="s">
        <v>186</v>
      </c>
      <c r="C1323" t="s">
        <v>203</v>
      </c>
      <c r="D1323" t="s">
        <v>217</v>
      </c>
      <c r="E1323">
        <f>IF(LEFT(D1323,6)="CLIENT",IFERROR(VLOOKUP(C1323,Config_Carteiras!$A:$B,2,FALSE),1),"")</f>
        <v>1</v>
      </c>
      <c r="F1323" s="25">
        <v>3843</v>
      </c>
      <c r="G1323" s="28">
        <f>IF(LEFT(D1323,6)="CLIENT",IF(E1323=0,WORKDAY(A1323-1,1,Dias_Sem_Compensacao!$A$2:$A$500),WORKDAY(A1323,E1323,Dias_Sem_Compensacao!$A$2:$A$500)),"")</f>
        <v>46301</v>
      </c>
      <c r="H1323" s="25">
        <v>0</v>
      </c>
      <c r="I1323" s="28">
        <v>46300</v>
      </c>
      <c r="J1323" t="s">
        <v>1835</v>
      </c>
      <c r="K1323" t="s">
        <v>1836</v>
      </c>
    </row>
    <row r="1324" spans="1:11" hidden="1">
      <c r="A1324" s="28">
        <v>46300</v>
      </c>
      <c r="B1324" t="s">
        <v>186</v>
      </c>
      <c r="C1324" t="s">
        <v>203</v>
      </c>
      <c r="D1324" t="s">
        <v>217</v>
      </c>
      <c r="E1324">
        <f>IF(LEFT(D1324,6)="CLIENT",IFERROR(VLOOKUP(C1324,Config_Carteiras!$A:$B,2,FALSE),1),"")</f>
        <v>1</v>
      </c>
      <c r="F1324" s="25">
        <v>3169</v>
      </c>
      <c r="G1324" s="28">
        <f>IF(LEFT(D1324,6)="CLIENT",IF(E1324=0,WORKDAY(A1324-1,1,Dias_Sem_Compensacao!$A$2:$A$500),WORKDAY(A1324,E1324,Dias_Sem_Compensacao!$A$2:$A$500)),"")</f>
        <v>46301</v>
      </c>
      <c r="H1324" s="25">
        <v>0</v>
      </c>
      <c r="I1324" s="28">
        <v>46300</v>
      </c>
      <c r="J1324" t="s">
        <v>1837</v>
      </c>
      <c r="K1324" t="s">
        <v>1838</v>
      </c>
    </row>
    <row r="1325" spans="1:11" hidden="1">
      <c r="A1325" s="28">
        <v>46300</v>
      </c>
      <c r="B1325" t="s">
        <v>186</v>
      </c>
      <c r="C1325" t="s">
        <v>203</v>
      </c>
      <c r="D1325" t="s">
        <v>217</v>
      </c>
      <c r="E1325">
        <f>IF(LEFT(D1325,6)="CLIENT",IFERROR(VLOOKUP(C1325,Config_Carteiras!$A:$B,2,FALSE),1),"")</f>
        <v>1</v>
      </c>
      <c r="F1325" s="25">
        <v>601.25</v>
      </c>
      <c r="G1325" s="28">
        <f>IF(LEFT(D1325,6)="CLIENT",IF(E1325=0,WORKDAY(A1325-1,1,Dias_Sem_Compensacao!$A$2:$A$500),WORKDAY(A1325,E1325,Dias_Sem_Compensacao!$A$2:$A$500)),"")</f>
        <v>46301</v>
      </c>
      <c r="H1325" s="25">
        <v>0</v>
      </c>
      <c r="I1325" s="28">
        <v>46300</v>
      </c>
      <c r="J1325" t="s">
        <v>1839</v>
      </c>
      <c r="K1325" t="s">
        <v>1840</v>
      </c>
    </row>
    <row r="1326" spans="1:11" hidden="1">
      <c r="A1326" s="28">
        <v>46300</v>
      </c>
      <c r="B1326" t="s">
        <v>186</v>
      </c>
      <c r="C1326" t="s">
        <v>203</v>
      </c>
      <c r="D1326" t="s">
        <v>217</v>
      </c>
      <c r="E1326">
        <f>IF(LEFT(D1326,6)="CLIENT",IFERROR(VLOOKUP(C1326,Config_Carteiras!$A:$B,2,FALSE),1),"")</f>
        <v>1</v>
      </c>
      <c r="F1326" s="25">
        <v>632.37</v>
      </c>
      <c r="G1326" s="28">
        <f>IF(LEFT(D1326,6)="CLIENT",IF(E1326=0,WORKDAY(A1326-1,1,Dias_Sem_Compensacao!$A$2:$A$500),WORKDAY(A1326,E1326,Dias_Sem_Compensacao!$A$2:$A$500)),"")</f>
        <v>46301</v>
      </c>
      <c r="H1326" s="25">
        <v>0</v>
      </c>
      <c r="I1326" s="28">
        <v>46300</v>
      </c>
      <c r="J1326" t="s">
        <v>1841</v>
      </c>
      <c r="K1326" t="s">
        <v>1842</v>
      </c>
    </row>
    <row r="1327" spans="1:11" hidden="1">
      <c r="A1327" s="28">
        <v>46300</v>
      </c>
      <c r="B1327" t="s">
        <v>186</v>
      </c>
      <c r="C1327" t="s">
        <v>203</v>
      </c>
      <c r="D1327" t="s">
        <v>217</v>
      </c>
      <c r="E1327">
        <f>IF(LEFT(D1327,6)="CLIENT",IFERROR(VLOOKUP(C1327,Config_Carteiras!$A:$B,2,FALSE),1),"")</f>
        <v>1</v>
      </c>
      <c r="F1327" s="25">
        <v>2289</v>
      </c>
      <c r="G1327" s="28">
        <f>IF(LEFT(D1327,6)="CLIENT",IF(E1327=0,WORKDAY(A1327-1,1,Dias_Sem_Compensacao!$A$2:$A$500),WORKDAY(A1327,E1327,Dias_Sem_Compensacao!$A$2:$A$500)),"")</f>
        <v>46301</v>
      </c>
      <c r="H1327" s="25">
        <v>0</v>
      </c>
      <c r="I1327" s="28">
        <v>46300</v>
      </c>
      <c r="J1327" t="s">
        <v>1843</v>
      </c>
      <c r="K1327" t="s">
        <v>1844</v>
      </c>
    </row>
    <row r="1328" spans="1:11" hidden="1">
      <c r="A1328" s="28">
        <v>46300</v>
      </c>
      <c r="B1328" t="s">
        <v>186</v>
      </c>
      <c r="C1328" t="s">
        <v>203</v>
      </c>
      <c r="D1328" t="s">
        <v>217</v>
      </c>
      <c r="E1328">
        <f>IF(LEFT(D1328,6)="CLIENT",IFERROR(VLOOKUP(C1328,Config_Carteiras!$A:$B,2,FALSE),1),"")</f>
        <v>1</v>
      </c>
      <c r="F1328" s="25">
        <v>1876.93</v>
      </c>
      <c r="G1328" s="28">
        <f>IF(LEFT(D1328,6)="CLIENT",IF(E1328=0,WORKDAY(A1328-1,1,Dias_Sem_Compensacao!$A$2:$A$500),WORKDAY(A1328,E1328,Dias_Sem_Compensacao!$A$2:$A$500)),"")</f>
        <v>46301</v>
      </c>
      <c r="H1328" s="25">
        <v>0</v>
      </c>
      <c r="I1328" s="28">
        <v>46300</v>
      </c>
      <c r="J1328" t="s">
        <v>1845</v>
      </c>
      <c r="K1328" t="s">
        <v>1846</v>
      </c>
    </row>
    <row r="1329" spans="1:11" hidden="1">
      <c r="A1329" s="28">
        <v>46300</v>
      </c>
      <c r="B1329" t="s">
        <v>186</v>
      </c>
      <c r="C1329" t="s">
        <v>203</v>
      </c>
      <c r="D1329" t="s">
        <v>217</v>
      </c>
      <c r="E1329">
        <f>IF(LEFT(D1329,6)="CLIENT",IFERROR(VLOOKUP(C1329,Config_Carteiras!$A:$B,2,FALSE),1),"")</f>
        <v>1</v>
      </c>
      <c r="F1329" s="25">
        <v>1263.1199999999999</v>
      </c>
      <c r="G1329" s="28">
        <f>IF(LEFT(D1329,6)="CLIENT",IF(E1329=0,WORKDAY(A1329-1,1,Dias_Sem_Compensacao!$A$2:$A$500),WORKDAY(A1329,E1329,Dias_Sem_Compensacao!$A$2:$A$500)),"")</f>
        <v>46301</v>
      </c>
      <c r="H1329" s="25">
        <v>0</v>
      </c>
      <c r="I1329" s="28">
        <v>46300</v>
      </c>
      <c r="K1329" t="s">
        <v>1847</v>
      </c>
    </row>
    <row r="1330" spans="1:11" hidden="1">
      <c r="A1330" s="28">
        <v>46300</v>
      </c>
      <c r="B1330" t="s">
        <v>186</v>
      </c>
      <c r="C1330" t="s">
        <v>203</v>
      </c>
      <c r="D1330" t="s">
        <v>217</v>
      </c>
      <c r="E1330">
        <f>IF(LEFT(D1330,6)="CLIENT",IFERROR(VLOOKUP(C1330,Config_Carteiras!$A:$B,2,FALSE),1),"")</f>
        <v>1</v>
      </c>
      <c r="F1330" s="25">
        <v>1536.31</v>
      </c>
      <c r="G1330" s="28">
        <f>IF(LEFT(D1330,6)="CLIENT",IF(E1330=0,WORKDAY(A1330-1,1,Dias_Sem_Compensacao!$A$2:$A$500),WORKDAY(A1330,E1330,Dias_Sem_Compensacao!$A$2:$A$500)),"")</f>
        <v>46301</v>
      </c>
      <c r="H1330" s="25">
        <v>0</v>
      </c>
      <c r="I1330" s="28">
        <v>46300</v>
      </c>
      <c r="K1330" t="s">
        <v>1848</v>
      </c>
    </row>
    <row r="1331" spans="1:11" hidden="1">
      <c r="A1331" s="28">
        <v>46300</v>
      </c>
      <c r="B1331" t="s">
        <v>186</v>
      </c>
      <c r="C1331" t="s">
        <v>203</v>
      </c>
      <c r="D1331" t="s">
        <v>217</v>
      </c>
      <c r="E1331">
        <f>IF(LEFT(D1331,6)="CLIENT",IFERROR(VLOOKUP(C1331,Config_Carteiras!$A:$B,2,FALSE),1),"")</f>
        <v>1</v>
      </c>
      <c r="F1331" s="25">
        <v>2325.9499999999998</v>
      </c>
      <c r="G1331" s="28">
        <f>IF(LEFT(D1331,6)="CLIENT",IF(E1331=0,WORKDAY(A1331-1,1,Dias_Sem_Compensacao!$A$2:$A$500),WORKDAY(A1331,E1331,Dias_Sem_Compensacao!$A$2:$A$500)),"")</f>
        <v>46301</v>
      </c>
      <c r="H1331" s="25">
        <v>0</v>
      </c>
      <c r="I1331" s="28">
        <v>46300</v>
      </c>
      <c r="K1331" t="s">
        <v>1849</v>
      </c>
    </row>
    <row r="1332" spans="1:11" hidden="1">
      <c r="A1332" s="28">
        <v>46300</v>
      </c>
      <c r="B1332" t="s">
        <v>186</v>
      </c>
      <c r="C1332" t="s">
        <v>203</v>
      </c>
      <c r="D1332" t="s">
        <v>217</v>
      </c>
      <c r="E1332">
        <f>IF(LEFT(D1332,6)="CLIENT",IFERROR(VLOOKUP(C1332,Config_Carteiras!$A:$B,2,FALSE),1),"")</f>
        <v>1</v>
      </c>
      <c r="F1332" s="25">
        <v>934.25</v>
      </c>
      <c r="G1332" s="28">
        <f>IF(LEFT(D1332,6)="CLIENT",IF(E1332=0,WORKDAY(A1332-1,1,Dias_Sem_Compensacao!$A$2:$A$500),WORKDAY(A1332,E1332,Dias_Sem_Compensacao!$A$2:$A$500)),"")</f>
        <v>46301</v>
      </c>
      <c r="H1332" s="25">
        <v>0</v>
      </c>
      <c r="I1332" s="28">
        <v>46300</v>
      </c>
      <c r="K1332" t="s">
        <v>1850</v>
      </c>
    </row>
    <row r="1333" spans="1:11" hidden="1">
      <c r="A1333" s="28">
        <v>46300</v>
      </c>
      <c r="B1333" t="s">
        <v>186</v>
      </c>
      <c r="C1333" t="s">
        <v>203</v>
      </c>
      <c r="D1333" t="s">
        <v>217</v>
      </c>
      <c r="E1333">
        <f>IF(LEFT(D1333,6)="CLIENT",IFERROR(VLOOKUP(C1333,Config_Carteiras!$A:$B,2,FALSE),1),"")</f>
        <v>1</v>
      </c>
      <c r="F1333" s="25">
        <v>1249.53</v>
      </c>
      <c r="G1333" s="28">
        <f>IF(LEFT(D1333,6)="CLIENT",IF(E1333=0,WORKDAY(A1333-1,1,Dias_Sem_Compensacao!$A$2:$A$500),WORKDAY(A1333,E1333,Dias_Sem_Compensacao!$A$2:$A$500)),"")</f>
        <v>46301</v>
      </c>
      <c r="H1333" s="25">
        <v>0</v>
      </c>
      <c r="I1333" s="28">
        <v>46300</v>
      </c>
      <c r="J1333" t="s">
        <v>1528</v>
      </c>
      <c r="K1333" t="s">
        <v>1851</v>
      </c>
    </row>
    <row r="1334" spans="1:11" hidden="1">
      <c r="A1334" s="28">
        <v>46300</v>
      </c>
      <c r="B1334" t="s">
        <v>186</v>
      </c>
      <c r="C1334" t="s">
        <v>203</v>
      </c>
      <c r="D1334" t="s">
        <v>217</v>
      </c>
      <c r="E1334">
        <f>IF(LEFT(D1334,6)="CLIENT",IFERROR(VLOOKUP(C1334,Config_Carteiras!$A:$B,2,FALSE),1),"")</f>
        <v>1</v>
      </c>
      <c r="F1334" s="25">
        <v>1052.8699999999999</v>
      </c>
      <c r="G1334" s="28">
        <f>IF(LEFT(D1334,6)="CLIENT",IF(E1334=0,WORKDAY(A1334-1,1,Dias_Sem_Compensacao!$A$2:$A$500),WORKDAY(A1334,E1334,Dias_Sem_Compensacao!$A$2:$A$500)),"")</f>
        <v>46301</v>
      </c>
      <c r="H1334" s="25">
        <v>0</v>
      </c>
      <c r="I1334" s="28">
        <v>46300</v>
      </c>
      <c r="K1334" t="s">
        <v>1852</v>
      </c>
    </row>
    <row r="1335" spans="1:11" hidden="1">
      <c r="A1335" s="28">
        <v>46300</v>
      </c>
      <c r="B1335" t="s">
        <v>186</v>
      </c>
      <c r="C1335" t="s">
        <v>203</v>
      </c>
      <c r="D1335" t="s">
        <v>217</v>
      </c>
      <c r="E1335">
        <f>IF(LEFT(D1335,6)="CLIENT",IFERROR(VLOOKUP(C1335,Config_Carteiras!$A:$B,2,FALSE),1),"")</f>
        <v>1</v>
      </c>
      <c r="F1335" s="25">
        <v>873.64</v>
      </c>
      <c r="G1335" s="28">
        <f>IF(LEFT(D1335,6)="CLIENT",IF(E1335=0,WORKDAY(A1335-1,1,Dias_Sem_Compensacao!$A$2:$A$500),WORKDAY(A1335,E1335,Dias_Sem_Compensacao!$A$2:$A$500)),"")</f>
        <v>46301</v>
      </c>
      <c r="H1335" s="25">
        <v>0</v>
      </c>
      <c r="I1335" s="28">
        <v>46300</v>
      </c>
      <c r="K1335" t="s">
        <v>1853</v>
      </c>
    </row>
    <row r="1336" spans="1:11" hidden="1">
      <c r="A1336" s="28">
        <v>46300</v>
      </c>
      <c r="B1336" t="s">
        <v>186</v>
      </c>
      <c r="C1336" t="s">
        <v>203</v>
      </c>
      <c r="D1336" t="s">
        <v>217</v>
      </c>
      <c r="E1336">
        <f>IF(LEFT(D1336,6)="CLIENT",IFERROR(VLOOKUP(C1336,Config_Carteiras!$A:$B,2,FALSE),1),"")</f>
        <v>1</v>
      </c>
      <c r="F1336" s="25">
        <v>916.01</v>
      </c>
      <c r="G1336" s="28">
        <f>IF(LEFT(D1336,6)="CLIENT",IF(E1336=0,WORKDAY(A1336-1,1,Dias_Sem_Compensacao!$A$2:$A$500),WORKDAY(A1336,E1336,Dias_Sem_Compensacao!$A$2:$A$500)),"")</f>
        <v>46301</v>
      </c>
      <c r="H1336" s="25">
        <v>0</v>
      </c>
      <c r="I1336" s="28">
        <v>46300</v>
      </c>
      <c r="K1336" t="s">
        <v>1854</v>
      </c>
    </row>
    <row r="1337" spans="1:11" hidden="1">
      <c r="A1337" s="28">
        <v>46300</v>
      </c>
      <c r="B1337" t="s">
        <v>186</v>
      </c>
      <c r="C1337" t="s">
        <v>203</v>
      </c>
      <c r="D1337" t="s">
        <v>217</v>
      </c>
      <c r="E1337">
        <f>IF(LEFT(D1337,6)="CLIENT",IFERROR(VLOOKUP(C1337,Config_Carteiras!$A:$B,2,FALSE),1),"")</f>
        <v>1</v>
      </c>
      <c r="F1337" s="25">
        <v>968.66</v>
      </c>
      <c r="G1337" s="28">
        <f>IF(LEFT(D1337,6)="CLIENT",IF(E1337=0,WORKDAY(A1337-1,1,Dias_Sem_Compensacao!$A$2:$A$500),WORKDAY(A1337,E1337,Dias_Sem_Compensacao!$A$2:$A$500)),"")</f>
        <v>46301</v>
      </c>
      <c r="H1337" s="25">
        <v>0</v>
      </c>
      <c r="I1337" s="28">
        <v>46300</v>
      </c>
      <c r="K1337" t="s">
        <v>1855</v>
      </c>
    </row>
    <row r="1338" spans="1:11" hidden="1">
      <c r="A1338" s="28">
        <v>46300</v>
      </c>
      <c r="B1338" t="s">
        <v>186</v>
      </c>
      <c r="C1338" t="s">
        <v>203</v>
      </c>
      <c r="D1338" t="s">
        <v>217</v>
      </c>
      <c r="E1338">
        <f>IF(LEFT(D1338,6)="CLIENT",IFERROR(VLOOKUP(C1338,Config_Carteiras!$A:$B,2,FALSE),1),"")</f>
        <v>1</v>
      </c>
      <c r="F1338" s="25">
        <v>1131.3499999999999</v>
      </c>
      <c r="G1338" s="28">
        <f>IF(LEFT(D1338,6)="CLIENT",IF(E1338=0,WORKDAY(A1338-1,1,Dias_Sem_Compensacao!$A$2:$A$500),WORKDAY(A1338,E1338,Dias_Sem_Compensacao!$A$2:$A$500)),"")</f>
        <v>46301</v>
      </c>
      <c r="H1338" s="25">
        <v>0</v>
      </c>
      <c r="I1338" s="28">
        <v>46300</v>
      </c>
      <c r="K1338" t="s">
        <v>1856</v>
      </c>
    </row>
    <row r="1339" spans="1:11" hidden="1">
      <c r="A1339" s="28">
        <v>46300</v>
      </c>
      <c r="B1339" t="s">
        <v>186</v>
      </c>
      <c r="C1339" t="s">
        <v>203</v>
      </c>
      <c r="D1339" t="s">
        <v>217</v>
      </c>
      <c r="E1339">
        <f>IF(LEFT(D1339,6)="CLIENT",IFERROR(VLOOKUP(C1339,Config_Carteiras!$A:$B,2,FALSE),1),"")</f>
        <v>1</v>
      </c>
      <c r="F1339" s="25">
        <v>1477.52</v>
      </c>
      <c r="G1339" s="28">
        <f>IF(LEFT(D1339,6)="CLIENT",IF(E1339=0,WORKDAY(A1339-1,1,Dias_Sem_Compensacao!$A$2:$A$500),WORKDAY(A1339,E1339,Dias_Sem_Compensacao!$A$2:$A$500)),"")</f>
        <v>46301</v>
      </c>
      <c r="H1339" s="25">
        <v>0</v>
      </c>
      <c r="I1339" s="28">
        <v>46300</v>
      </c>
      <c r="K1339" t="s">
        <v>1857</v>
      </c>
    </row>
    <row r="1340" spans="1:11" hidden="1">
      <c r="A1340" s="28">
        <v>46300</v>
      </c>
      <c r="B1340" t="s">
        <v>186</v>
      </c>
      <c r="C1340" t="s">
        <v>203</v>
      </c>
      <c r="D1340" t="s">
        <v>217</v>
      </c>
      <c r="E1340">
        <f>IF(LEFT(D1340,6)="CLIENT",IFERROR(VLOOKUP(C1340,Config_Carteiras!$A:$B,2,FALSE),1),"")</f>
        <v>1</v>
      </c>
      <c r="F1340" s="25">
        <v>1526.44</v>
      </c>
      <c r="G1340" s="28">
        <f>IF(LEFT(D1340,6)="CLIENT",IF(E1340=0,WORKDAY(A1340-1,1,Dias_Sem_Compensacao!$A$2:$A$500),WORKDAY(A1340,E1340,Dias_Sem_Compensacao!$A$2:$A$500)),"")</f>
        <v>46301</v>
      </c>
      <c r="H1340" s="25">
        <v>0</v>
      </c>
      <c r="I1340" s="28">
        <v>46300</v>
      </c>
      <c r="K1340" t="s">
        <v>1858</v>
      </c>
    </row>
    <row r="1341" spans="1:11" hidden="1">
      <c r="A1341" s="28">
        <v>46300</v>
      </c>
      <c r="B1341" t="s">
        <v>186</v>
      </c>
      <c r="C1341" t="s">
        <v>203</v>
      </c>
      <c r="D1341" t="s">
        <v>217</v>
      </c>
      <c r="E1341">
        <f>IF(LEFT(D1341,6)="CLIENT",IFERROR(VLOOKUP(C1341,Config_Carteiras!$A:$B,2,FALSE),1),"")</f>
        <v>1</v>
      </c>
      <c r="F1341" s="25">
        <v>886.1</v>
      </c>
      <c r="G1341" s="28">
        <f>IF(LEFT(D1341,6)="CLIENT",IF(E1341=0,WORKDAY(A1341-1,1,Dias_Sem_Compensacao!$A$2:$A$500),WORKDAY(A1341,E1341,Dias_Sem_Compensacao!$A$2:$A$500)),"")</f>
        <v>46301</v>
      </c>
      <c r="H1341" s="25">
        <v>0</v>
      </c>
      <c r="I1341" s="28">
        <v>46300</v>
      </c>
      <c r="K1341" t="s">
        <v>1859</v>
      </c>
    </row>
    <row r="1342" spans="1:11" hidden="1">
      <c r="A1342" s="28">
        <v>46300</v>
      </c>
      <c r="B1342" t="s">
        <v>186</v>
      </c>
      <c r="C1342" t="s">
        <v>203</v>
      </c>
      <c r="D1342" t="s">
        <v>217</v>
      </c>
      <c r="E1342">
        <f>IF(LEFT(D1342,6)="CLIENT",IFERROR(VLOOKUP(C1342,Config_Carteiras!$A:$B,2,FALSE),1),"")</f>
        <v>1</v>
      </c>
      <c r="F1342" s="25">
        <v>995.47</v>
      </c>
      <c r="G1342" s="28">
        <f>IF(LEFT(D1342,6)="CLIENT",IF(E1342=0,WORKDAY(A1342-1,1,Dias_Sem_Compensacao!$A$2:$A$500),WORKDAY(A1342,E1342,Dias_Sem_Compensacao!$A$2:$A$500)),"")</f>
        <v>46301</v>
      </c>
      <c r="H1342" s="25">
        <v>0</v>
      </c>
      <c r="I1342" s="28">
        <v>46300</v>
      </c>
      <c r="K1342" t="s">
        <v>1860</v>
      </c>
    </row>
    <row r="1343" spans="1:11" hidden="1">
      <c r="A1343" s="28">
        <v>46300</v>
      </c>
      <c r="B1343" t="s">
        <v>186</v>
      </c>
      <c r="C1343" t="s">
        <v>203</v>
      </c>
      <c r="D1343" t="s">
        <v>217</v>
      </c>
      <c r="E1343">
        <f>IF(LEFT(D1343,6)="CLIENT",IFERROR(VLOOKUP(C1343,Config_Carteiras!$A:$B,2,FALSE),1),"")</f>
        <v>1</v>
      </c>
      <c r="F1343" s="25">
        <v>3175</v>
      </c>
      <c r="G1343" s="28">
        <f>IF(LEFT(D1343,6)="CLIENT",IF(E1343=0,WORKDAY(A1343-1,1,Dias_Sem_Compensacao!$A$2:$A$500),WORKDAY(A1343,E1343,Dias_Sem_Compensacao!$A$2:$A$500)),"")</f>
        <v>46301</v>
      </c>
      <c r="H1343" s="25">
        <v>0</v>
      </c>
      <c r="I1343" s="28">
        <v>46300</v>
      </c>
      <c r="J1343" t="s">
        <v>1197</v>
      </c>
      <c r="K1343" t="s">
        <v>1861</v>
      </c>
    </row>
    <row r="1344" spans="1:11" hidden="1">
      <c r="A1344" s="28">
        <v>46300</v>
      </c>
      <c r="B1344" t="s">
        <v>186</v>
      </c>
      <c r="C1344" t="s">
        <v>203</v>
      </c>
      <c r="D1344" t="s">
        <v>217</v>
      </c>
      <c r="E1344">
        <f>IF(LEFT(D1344,6)="CLIENT",IFERROR(VLOOKUP(C1344,Config_Carteiras!$A:$B,2,FALSE),1),"")</f>
        <v>1</v>
      </c>
      <c r="F1344" s="25">
        <v>699</v>
      </c>
      <c r="G1344" s="28">
        <f>IF(LEFT(D1344,6)="CLIENT",IF(E1344=0,WORKDAY(A1344-1,1,Dias_Sem_Compensacao!$A$2:$A$500),WORKDAY(A1344,E1344,Dias_Sem_Compensacao!$A$2:$A$500)),"")</f>
        <v>46301</v>
      </c>
      <c r="H1344" s="25">
        <v>0</v>
      </c>
      <c r="I1344" s="28">
        <v>46300</v>
      </c>
      <c r="J1344" t="s">
        <v>1862</v>
      </c>
      <c r="K1344" t="s">
        <v>1863</v>
      </c>
    </row>
    <row r="1345" spans="1:11" hidden="1">
      <c r="A1345" s="28">
        <v>46300</v>
      </c>
      <c r="B1345" t="s">
        <v>186</v>
      </c>
      <c r="C1345" t="s">
        <v>203</v>
      </c>
      <c r="D1345" t="s">
        <v>217</v>
      </c>
      <c r="E1345">
        <f>IF(LEFT(D1345,6)="CLIENT",IFERROR(VLOOKUP(C1345,Config_Carteiras!$A:$B,2,FALSE),1),"")</f>
        <v>1</v>
      </c>
      <c r="F1345" s="25">
        <v>516</v>
      </c>
      <c r="G1345" s="28">
        <f>IF(LEFT(D1345,6)="CLIENT",IF(E1345=0,WORKDAY(A1345-1,1,Dias_Sem_Compensacao!$A$2:$A$500),WORKDAY(A1345,E1345,Dias_Sem_Compensacao!$A$2:$A$500)),"")</f>
        <v>46301</v>
      </c>
      <c r="H1345" s="25">
        <v>0</v>
      </c>
      <c r="I1345" s="28">
        <v>46300</v>
      </c>
      <c r="J1345" t="s">
        <v>1864</v>
      </c>
      <c r="K1345" t="s">
        <v>1865</v>
      </c>
    </row>
    <row r="1346" spans="1:11" hidden="1">
      <c r="A1346" s="28">
        <v>46300</v>
      </c>
      <c r="B1346" t="s">
        <v>186</v>
      </c>
      <c r="C1346" t="s">
        <v>203</v>
      </c>
      <c r="D1346" t="s">
        <v>217</v>
      </c>
      <c r="E1346">
        <f>IF(LEFT(D1346,6)="CLIENT",IFERROR(VLOOKUP(C1346,Config_Carteiras!$A:$B,2,FALSE),1),"")</f>
        <v>1</v>
      </c>
      <c r="F1346" s="25">
        <v>1490.83</v>
      </c>
      <c r="G1346" s="28">
        <f>IF(LEFT(D1346,6)="CLIENT",IF(E1346=0,WORKDAY(A1346-1,1,Dias_Sem_Compensacao!$A$2:$A$500),WORKDAY(A1346,E1346,Dias_Sem_Compensacao!$A$2:$A$500)),"")</f>
        <v>46301</v>
      </c>
      <c r="H1346" s="25">
        <v>0</v>
      </c>
      <c r="I1346" s="28">
        <v>46300</v>
      </c>
      <c r="J1346" t="s">
        <v>1034</v>
      </c>
      <c r="K1346" t="s">
        <v>1035</v>
      </c>
    </row>
    <row r="1347" spans="1:11" hidden="1">
      <c r="A1347" s="28">
        <v>46300</v>
      </c>
      <c r="B1347" t="s">
        <v>186</v>
      </c>
      <c r="C1347" t="s">
        <v>203</v>
      </c>
      <c r="D1347" t="s">
        <v>217</v>
      </c>
      <c r="E1347">
        <f>IF(LEFT(D1347,6)="CLIENT",IFERROR(VLOOKUP(C1347,Config_Carteiras!$A:$B,2,FALSE),1),"")</f>
        <v>1</v>
      </c>
      <c r="F1347" s="25">
        <v>1490.83</v>
      </c>
      <c r="G1347" s="28">
        <f>IF(LEFT(D1347,6)="CLIENT",IF(E1347=0,WORKDAY(A1347-1,1,Dias_Sem_Compensacao!$A$2:$A$500),WORKDAY(A1347,E1347,Dias_Sem_Compensacao!$A$2:$A$500)),"")</f>
        <v>46301</v>
      </c>
      <c r="H1347" s="25">
        <v>0</v>
      </c>
      <c r="I1347" s="28">
        <v>46300</v>
      </c>
      <c r="K1347" t="s">
        <v>1036</v>
      </c>
    </row>
    <row r="1348" spans="1:11" hidden="1">
      <c r="A1348" s="28">
        <v>46300</v>
      </c>
      <c r="B1348" t="s">
        <v>186</v>
      </c>
      <c r="C1348" t="s">
        <v>203</v>
      </c>
      <c r="D1348" t="s">
        <v>217</v>
      </c>
      <c r="E1348">
        <f>IF(LEFT(D1348,6)="CLIENT",IFERROR(VLOOKUP(C1348,Config_Carteiras!$A:$B,2,FALSE),1),"")</f>
        <v>1</v>
      </c>
      <c r="F1348" s="25">
        <v>1490.83</v>
      </c>
      <c r="G1348" s="28">
        <f>IF(LEFT(D1348,6)="CLIENT",IF(E1348=0,WORKDAY(A1348-1,1,Dias_Sem_Compensacao!$A$2:$A$500),WORKDAY(A1348,E1348,Dias_Sem_Compensacao!$A$2:$A$500)),"")</f>
        <v>46301</v>
      </c>
      <c r="H1348" s="25">
        <v>0</v>
      </c>
      <c r="I1348" s="28">
        <v>46300</v>
      </c>
      <c r="K1348" t="s">
        <v>1037</v>
      </c>
    </row>
    <row r="1349" spans="1:11" hidden="1">
      <c r="A1349" s="28">
        <v>46300</v>
      </c>
      <c r="B1349" t="s">
        <v>186</v>
      </c>
      <c r="C1349" t="s">
        <v>203</v>
      </c>
      <c r="D1349" t="s">
        <v>217</v>
      </c>
      <c r="E1349">
        <f>IF(LEFT(D1349,6)="CLIENT",IFERROR(VLOOKUP(C1349,Config_Carteiras!$A:$B,2,FALSE),1),"")</f>
        <v>1</v>
      </c>
      <c r="F1349" s="25">
        <v>1490.83</v>
      </c>
      <c r="G1349" s="28">
        <f>IF(LEFT(D1349,6)="CLIENT",IF(E1349=0,WORKDAY(A1349-1,1,Dias_Sem_Compensacao!$A$2:$A$500),WORKDAY(A1349,E1349,Dias_Sem_Compensacao!$A$2:$A$500)),"")</f>
        <v>46301</v>
      </c>
      <c r="H1349" s="25">
        <v>0</v>
      </c>
      <c r="I1349" s="28">
        <v>46300</v>
      </c>
      <c r="K1349" t="s">
        <v>1038</v>
      </c>
    </row>
    <row r="1350" spans="1:11" hidden="1">
      <c r="A1350" s="28">
        <v>46300</v>
      </c>
      <c r="B1350" t="s">
        <v>186</v>
      </c>
      <c r="C1350" t="s">
        <v>203</v>
      </c>
      <c r="D1350" t="s">
        <v>217</v>
      </c>
      <c r="E1350">
        <f>IF(LEFT(D1350,6)="CLIENT",IFERROR(VLOOKUP(C1350,Config_Carteiras!$A:$B,2,FALSE),1),"")</f>
        <v>1</v>
      </c>
      <c r="F1350" s="25">
        <v>1490.83</v>
      </c>
      <c r="G1350" s="28">
        <f>IF(LEFT(D1350,6)="CLIENT",IF(E1350=0,WORKDAY(A1350-1,1,Dias_Sem_Compensacao!$A$2:$A$500),WORKDAY(A1350,E1350,Dias_Sem_Compensacao!$A$2:$A$500)),"")</f>
        <v>46301</v>
      </c>
      <c r="H1350" s="25">
        <v>0</v>
      </c>
      <c r="I1350" s="28">
        <v>46300</v>
      </c>
      <c r="K1350" t="s">
        <v>1866</v>
      </c>
    </row>
    <row r="1351" spans="1:11" hidden="1">
      <c r="A1351" s="28">
        <v>46300</v>
      </c>
      <c r="B1351" t="s">
        <v>186</v>
      </c>
      <c r="C1351" t="s">
        <v>203</v>
      </c>
      <c r="D1351" t="s">
        <v>217</v>
      </c>
      <c r="E1351">
        <f>IF(LEFT(D1351,6)="CLIENT",IFERROR(VLOOKUP(C1351,Config_Carteiras!$A:$B,2,FALSE),1),"")</f>
        <v>1</v>
      </c>
      <c r="F1351" s="25">
        <v>4790</v>
      </c>
      <c r="G1351" s="28">
        <f>IF(LEFT(D1351,6)="CLIENT",IF(E1351=0,WORKDAY(A1351-1,1,Dias_Sem_Compensacao!$A$2:$A$500),WORKDAY(A1351,E1351,Dias_Sem_Compensacao!$A$2:$A$500)),"")</f>
        <v>46301</v>
      </c>
      <c r="H1351" s="25">
        <v>0</v>
      </c>
      <c r="I1351" s="28">
        <v>46300</v>
      </c>
      <c r="J1351" t="s">
        <v>1016</v>
      </c>
      <c r="K1351" t="s">
        <v>1017</v>
      </c>
    </row>
    <row r="1352" spans="1:11" hidden="1">
      <c r="A1352" s="28">
        <v>46300</v>
      </c>
      <c r="B1352" t="s">
        <v>186</v>
      </c>
      <c r="C1352" t="s">
        <v>203</v>
      </c>
      <c r="D1352" t="s">
        <v>217</v>
      </c>
      <c r="E1352">
        <f>IF(LEFT(D1352,6)="CLIENT",IFERROR(VLOOKUP(C1352,Config_Carteiras!$A:$B,2,FALSE),1),"")</f>
        <v>1</v>
      </c>
      <c r="F1352" s="25">
        <v>496</v>
      </c>
      <c r="G1352" s="28">
        <f>IF(LEFT(D1352,6)="CLIENT",IF(E1352=0,WORKDAY(A1352-1,1,Dias_Sem_Compensacao!$A$2:$A$500),WORKDAY(A1352,E1352,Dias_Sem_Compensacao!$A$2:$A$500)),"")</f>
        <v>46301</v>
      </c>
      <c r="H1352" s="25">
        <v>0</v>
      </c>
      <c r="I1352" s="28">
        <v>46300</v>
      </c>
      <c r="J1352" t="s">
        <v>554</v>
      </c>
      <c r="K1352" t="s">
        <v>1867</v>
      </c>
    </row>
    <row r="1353" spans="1:11" hidden="1">
      <c r="A1353" s="28">
        <v>46300</v>
      </c>
      <c r="B1353" t="s">
        <v>186</v>
      </c>
      <c r="C1353" t="s">
        <v>203</v>
      </c>
      <c r="D1353" t="s">
        <v>217</v>
      </c>
      <c r="E1353">
        <f>IF(LEFT(D1353,6)="CLIENT",IFERROR(VLOOKUP(C1353,Config_Carteiras!$A:$B,2,FALSE),1),"")</f>
        <v>1</v>
      </c>
      <c r="F1353" s="25">
        <v>657.69</v>
      </c>
      <c r="G1353" s="28">
        <f>IF(LEFT(D1353,6)="CLIENT",IF(E1353=0,WORKDAY(A1353-1,1,Dias_Sem_Compensacao!$A$2:$A$500),WORKDAY(A1353,E1353,Dias_Sem_Compensacao!$A$2:$A$500)),"")</f>
        <v>46301</v>
      </c>
      <c r="H1353" s="25">
        <v>0</v>
      </c>
      <c r="I1353" s="28">
        <v>46300</v>
      </c>
      <c r="J1353" t="s">
        <v>1868</v>
      </c>
      <c r="K1353" t="s">
        <v>1869</v>
      </c>
    </row>
    <row r="1354" spans="1:11" hidden="1">
      <c r="A1354" s="28">
        <v>46300</v>
      </c>
      <c r="B1354" t="s">
        <v>186</v>
      </c>
      <c r="C1354" t="s">
        <v>203</v>
      </c>
      <c r="D1354" t="s">
        <v>217</v>
      </c>
      <c r="E1354">
        <f>IF(LEFT(D1354,6)="CLIENT",IFERROR(VLOOKUP(C1354,Config_Carteiras!$A:$B,2,FALSE),1),"")</f>
        <v>1</v>
      </c>
      <c r="F1354" s="25">
        <v>857.25</v>
      </c>
      <c r="G1354" s="28">
        <f>IF(LEFT(D1354,6)="CLIENT",IF(E1354=0,WORKDAY(A1354-1,1,Dias_Sem_Compensacao!$A$2:$A$500),WORKDAY(A1354,E1354,Dias_Sem_Compensacao!$A$2:$A$500)),"")</f>
        <v>46301</v>
      </c>
      <c r="H1354" s="25">
        <v>0</v>
      </c>
      <c r="I1354" s="28">
        <v>46300</v>
      </c>
      <c r="J1354" t="s">
        <v>1870</v>
      </c>
      <c r="K1354" t="s">
        <v>1871</v>
      </c>
    </row>
    <row r="1355" spans="1:11" hidden="1">
      <c r="A1355" s="28">
        <v>46300</v>
      </c>
      <c r="B1355" t="s">
        <v>186</v>
      </c>
      <c r="C1355" t="s">
        <v>203</v>
      </c>
      <c r="D1355" t="s">
        <v>217</v>
      </c>
      <c r="E1355">
        <f>IF(LEFT(D1355,6)="CLIENT",IFERROR(VLOOKUP(C1355,Config_Carteiras!$A:$B,2,FALSE),1),"")</f>
        <v>1</v>
      </c>
      <c r="F1355" s="25">
        <v>835</v>
      </c>
      <c r="G1355" s="28">
        <f>IF(LEFT(D1355,6)="CLIENT",IF(E1355=0,WORKDAY(A1355-1,1,Dias_Sem_Compensacao!$A$2:$A$500),WORKDAY(A1355,E1355,Dias_Sem_Compensacao!$A$2:$A$500)),"")</f>
        <v>46301</v>
      </c>
      <c r="H1355" s="25">
        <v>0</v>
      </c>
      <c r="I1355" s="28">
        <v>46300</v>
      </c>
      <c r="J1355" t="s">
        <v>1371</v>
      </c>
      <c r="K1355" t="s">
        <v>1872</v>
      </c>
    </row>
    <row r="1356" spans="1:11" hidden="1">
      <c r="A1356" s="28">
        <v>46300</v>
      </c>
      <c r="B1356" t="s">
        <v>186</v>
      </c>
      <c r="C1356" t="s">
        <v>203</v>
      </c>
      <c r="D1356" t="s">
        <v>217</v>
      </c>
      <c r="E1356">
        <f>IF(LEFT(D1356,6)="CLIENT",IFERROR(VLOOKUP(C1356,Config_Carteiras!$A:$B,2,FALSE),1),"")</f>
        <v>1</v>
      </c>
      <c r="F1356" s="25">
        <v>401.7</v>
      </c>
      <c r="G1356" s="28">
        <f>IF(LEFT(D1356,6)="CLIENT",IF(E1356=0,WORKDAY(A1356-1,1,Dias_Sem_Compensacao!$A$2:$A$500),WORKDAY(A1356,E1356,Dias_Sem_Compensacao!$A$2:$A$500)),"")</f>
        <v>46301</v>
      </c>
      <c r="H1356" s="25">
        <v>0</v>
      </c>
      <c r="I1356" s="28">
        <v>46300</v>
      </c>
      <c r="J1356" t="s">
        <v>1873</v>
      </c>
      <c r="K1356" t="s">
        <v>1874</v>
      </c>
    </row>
    <row r="1357" spans="1:11" hidden="1">
      <c r="A1357" s="28">
        <v>46300</v>
      </c>
      <c r="B1357" t="s">
        <v>186</v>
      </c>
      <c r="C1357" t="s">
        <v>203</v>
      </c>
      <c r="D1357" t="s">
        <v>217</v>
      </c>
      <c r="E1357">
        <f>IF(LEFT(D1357,6)="CLIENT",IFERROR(VLOOKUP(C1357,Config_Carteiras!$A:$B,2,FALSE),1),"")</f>
        <v>1</v>
      </c>
      <c r="F1357" s="25">
        <v>1701</v>
      </c>
      <c r="G1357" s="28">
        <f>IF(LEFT(D1357,6)="CLIENT",IF(E1357=0,WORKDAY(A1357-1,1,Dias_Sem_Compensacao!$A$2:$A$500),WORKDAY(A1357,E1357,Dias_Sem_Compensacao!$A$2:$A$500)),"")</f>
        <v>46301</v>
      </c>
      <c r="H1357" s="25">
        <v>0</v>
      </c>
      <c r="I1357" s="28">
        <v>46300</v>
      </c>
      <c r="J1357" t="s">
        <v>1875</v>
      </c>
      <c r="K1357" t="s">
        <v>1876</v>
      </c>
    </row>
    <row r="1358" spans="1:11" hidden="1">
      <c r="A1358" s="28">
        <v>46300</v>
      </c>
      <c r="B1358" t="s">
        <v>186</v>
      </c>
      <c r="C1358" t="s">
        <v>203</v>
      </c>
      <c r="D1358" t="s">
        <v>217</v>
      </c>
      <c r="E1358">
        <f>IF(LEFT(D1358,6)="CLIENT",IFERROR(VLOOKUP(C1358,Config_Carteiras!$A:$B,2,FALSE),1),"")</f>
        <v>1</v>
      </c>
      <c r="F1358" s="25">
        <v>1844.67</v>
      </c>
      <c r="G1358" s="28">
        <f>IF(LEFT(D1358,6)="CLIENT",IF(E1358=0,WORKDAY(A1358-1,1,Dias_Sem_Compensacao!$A$2:$A$500),WORKDAY(A1358,E1358,Dias_Sem_Compensacao!$A$2:$A$500)),"")</f>
        <v>46301</v>
      </c>
      <c r="H1358" s="25">
        <v>0</v>
      </c>
      <c r="I1358" s="28">
        <v>46300</v>
      </c>
      <c r="J1358" t="s">
        <v>1041</v>
      </c>
      <c r="K1358" t="s">
        <v>1042</v>
      </c>
    </row>
    <row r="1359" spans="1:11" hidden="1">
      <c r="A1359" s="28">
        <v>46300</v>
      </c>
      <c r="B1359" t="s">
        <v>186</v>
      </c>
      <c r="C1359" t="s">
        <v>203</v>
      </c>
      <c r="D1359" t="s">
        <v>217</v>
      </c>
      <c r="E1359">
        <f>IF(LEFT(D1359,6)="CLIENT",IFERROR(VLOOKUP(C1359,Config_Carteiras!$A:$B,2,FALSE),1),"")</f>
        <v>1</v>
      </c>
      <c r="F1359" s="25">
        <v>697.74</v>
      </c>
      <c r="G1359" s="28">
        <f>IF(LEFT(D1359,6)="CLIENT",IF(E1359=0,WORKDAY(A1359-1,1,Dias_Sem_Compensacao!$A$2:$A$500),WORKDAY(A1359,E1359,Dias_Sem_Compensacao!$A$2:$A$500)),"")</f>
        <v>46301</v>
      </c>
      <c r="H1359" s="25">
        <v>0</v>
      </c>
      <c r="I1359" s="28">
        <v>46300</v>
      </c>
      <c r="J1359" t="s">
        <v>1877</v>
      </c>
      <c r="K1359" t="s">
        <v>1878</v>
      </c>
    </row>
    <row r="1360" spans="1:11" hidden="1">
      <c r="A1360" s="28">
        <v>46300</v>
      </c>
      <c r="B1360" t="s">
        <v>186</v>
      </c>
      <c r="C1360" t="s">
        <v>203</v>
      </c>
      <c r="D1360" t="s">
        <v>217</v>
      </c>
      <c r="E1360">
        <f>IF(LEFT(D1360,6)="CLIENT",IFERROR(VLOOKUP(C1360,Config_Carteiras!$A:$B,2,FALSE),1),"")</f>
        <v>1</v>
      </c>
      <c r="F1360" s="25">
        <v>930</v>
      </c>
      <c r="G1360" s="28">
        <f>IF(LEFT(D1360,6)="CLIENT",IF(E1360=0,WORKDAY(A1360-1,1,Dias_Sem_Compensacao!$A$2:$A$500),WORKDAY(A1360,E1360,Dias_Sem_Compensacao!$A$2:$A$500)),"")</f>
        <v>46301</v>
      </c>
      <c r="H1360" s="25">
        <v>0</v>
      </c>
      <c r="I1360" s="28">
        <v>46300</v>
      </c>
      <c r="J1360" t="s">
        <v>841</v>
      </c>
      <c r="K1360" t="s">
        <v>1879</v>
      </c>
    </row>
    <row r="1361" spans="1:11" hidden="1">
      <c r="A1361" s="28">
        <v>46300</v>
      </c>
      <c r="B1361" t="s">
        <v>186</v>
      </c>
      <c r="C1361" t="s">
        <v>203</v>
      </c>
      <c r="D1361" t="s">
        <v>217</v>
      </c>
      <c r="E1361">
        <f>IF(LEFT(D1361,6)="CLIENT",IFERROR(VLOOKUP(C1361,Config_Carteiras!$A:$B,2,FALSE),1),"")</f>
        <v>1</v>
      </c>
      <c r="F1361" s="25">
        <v>920</v>
      </c>
      <c r="G1361" s="28">
        <f>IF(LEFT(D1361,6)="CLIENT",IF(E1361=0,WORKDAY(A1361-1,1,Dias_Sem_Compensacao!$A$2:$A$500),WORKDAY(A1361,E1361,Dias_Sem_Compensacao!$A$2:$A$500)),"")</f>
        <v>46301</v>
      </c>
      <c r="H1361" s="25">
        <v>0</v>
      </c>
      <c r="I1361" s="28">
        <v>46300</v>
      </c>
      <c r="K1361" t="s">
        <v>1880</v>
      </c>
    </row>
    <row r="1362" spans="1:11" hidden="1">
      <c r="A1362" s="28">
        <v>46300</v>
      </c>
      <c r="B1362" t="s">
        <v>186</v>
      </c>
      <c r="C1362" t="s">
        <v>203</v>
      </c>
      <c r="D1362" t="s">
        <v>217</v>
      </c>
      <c r="E1362">
        <f>IF(LEFT(D1362,6)="CLIENT",IFERROR(VLOOKUP(C1362,Config_Carteiras!$A:$B,2,FALSE),1),"")</f>
        <v>1</v>
      </c>
      <c r="F1362" s="25">
        <v>730</v>
      </c>
      <c r="G1362" s="28">
        <f>IF(LEFT(D1362,6)="CLIENT",IF(E1362=0,WORKDAY(A1362-1,1,Dias_Sem_Compensacao!$A$2:$A$500),WORKDAY(A1362,E1362,Dias_Sem_Compensacao!$A$2:$A$500)),"")</f>
        <v>46301</v>
      </c>
      <c r="H1362" s="25">
        <v>0</v>
      </c>
      <c r="I1362" s="28">
        <v>46300</v>
      </c>
      <c r="J1362" t="s">
        <v>1881</v>
      </c>
      <c r="K1362" t="s">
        <v>1882</v>
      </c>
    </row>
    <row r="1363" spans="1:11" hidden="1">
      <c r="A1363" s="28">
        <v>46300</v>
      </c>
      <c r="B1363" t="s">
        <v>186</v>
      </c>
      <c r="C1363" t="s">
        <v>203</v>
      </c>
      <c r="D1363" t="s">
        <v>217</v>
      </c>
      <c r="E1363">
        <f>IF(LEFT(D1363,6)="CLIENT",IFERROR(VLOOKUP(C1363,Config_Carteiras!$A:$B,2,FALSE),1),"")</f>
        <v>1</v>
      </c>
      <c r="F1363" s="25">
        <v>2323.1</v>
      </c>
      <c r="G1363" s="28">
        <f>IF(LEFT(D1363,6)="CLIENT",IF(E1363=0,WORKDAY(A1363-1,1,Dias_Sem_Compensacao!$A$2:$A$500),WORKDAY(A1363,E1363,Dias_Sem_Compensacao!$A$2:$A$500)),"")</f>
        <v>46301</v>
      </c>
      <c r="H1363" s="25">
        <v>0</v>
      </c>
      <c r="I1363" s="28">
        <v>46300</v>
      </c>
      <c r="J1363" t="s">
        <v>1883</v>
      </c>
      <c r="K1363" t="s">
        <v>1884</v>
      </c>
    </row>
    <row r="1364" spans="1:11" hidden="1">
      <c r="A1364" s="28">
        <v>46300</v>
      </c>
      <c r="B1364" t="s">
        <v>186</v>
      </c>
      <c r="C1364" t="s">
        <v>203</v>
      </c>
      <c r="D1364" t="s">
        <v>217</v>
      </c>
      <c r="E1364">
        <f>IF(LEFT(D1364,6)="CLIENT",IFERROR(VLOOKUP(C1364,Config_Carteiras!$A:$B,2,FALSE),1),"")</f>
        <v>1</v>
      </c>
      <c r="F1364" s="25">
        <v>701</v>
      </c>
      <c r="G1364" s="28">
        <f>IF(LEFT(D1364,6)="CLIENT",IF(E1364=0,WORKDAY(A1364-1,1,Dias_Sem_Compensacao!$A$2:$A$500),WORKDAY(A1364,E1364,Dias_Sem_Compensacao!$A$2:$A$500)),"")</f>
        <v>46301</v>
      </c>
      <c r="H1364" s="25">
        <v>0</v>
      </c>
      <c r="I1364" s="28">
        <v>46300</v>
      </c>
      <c r="J1364" t="s">
        <v>1109</v>
      </c>
      <c r="K1364" t="s">
        <v>1110</v>
      </c>
    </row>
    <row r="1365" spans="1:11" hidden="1">
      <c r="A1365" s="28">
        <v>46300</v>
      </c>
      <c r="B1365" t="s">
        <v>186</v>
      </c>
      <c r="C1365" t="s">
        <v>203</v>
      </c>
      <c r="D1365" t="s">
        <v>217</v>
      </c>
      <c r="E1365">
        <f>IF(LEFT(D1365,6)="CLIENT",IFERROR(VLOOKUP(C1365,Config_Carteiras!$A:$B,2,FALSE),1),"")</f>
        <v>1</v>
      </c>
      <c r="F1365" s="25">
        <v>1856.01</v>
      </c>
      <c r="G1365" s="28">
        <f>IF(LEFT(D1365,6)="CLIENT",IF(E1365=0,WORKDAY(A1365-1,1,Dias_Sem_Compensacao!$A$2:$A$500),WORKDAY(A1365,E1365,Dias_Sem_Compensacao!$A$2:$A$500)),"")</f>
        <v>46301</v>
      </c>
      <c r="H1365" s="25">
        <v>0</v>
      </c>
      <c r="I1365" s="28">
        <v>46300</v>
      </c>
      <c r="J1365" t="s">
        <v>1885</v>
      </c>
      <c r="K1365" t="s">
        <v>1886</v>
      </c>
    </row>
    <row r="1366" spans="1:11" hidden="1">
      <c r="A1366" s="28">
        <v>46300</v>
      </c>
      <c r="B1366" t="s">
        <v>186</v>
      </c>
      <c r="C1366" t="s">
        <v>203</v>
      </c>
      <c r="D1366" t="s">
        <v>217</v>
      </c>
      <c r="E1366">
        <f>IF(LEFT(D1366,6)="CLIENT",IFERROR(VLOOKUP(C1366,Config_Carteiras!$A:$B,2,FALSE),1),"")</f>
        <v>1</v>
      </c>
      <c r="F1366" s="25">
        <v>334</v>
      </c>
      <c r="G1366" s="28">
        <f>IF(LEFT(D1366,6)="CLIENT",IF(E1366=0,WORKDAY(A1366-1,1,Dias_Sem_Compensacao!$A$2:$A$500),WORKDAY(A1366,E1366,Dias_Sem_Compensacao!$A$2:$A$500)),"")</f>
        <v>46301</v>
      </c>
      <c r="H1366" s="25">
        <v>0</v>
      </c>
      <c r="I1366" s="28">
        <v>46300</v>
      </c>
      <c r="J1366" t="s">
        <v>1887</v>
      </c>
      <c r="K1366" t="s">
        <v>1888</v>
      </c>
    </row>
    <row r="1367" spans="1:11" hidden="1">
      <c r="A1367" s="28">
        <v>46300</v>
      </c>
      <c r="B1367" t="s">
        <v>186</v>
      </c>
      <c r="C1367" t="s">
        <v>203</v>
      </c>
      <c r="D1367" t="s">
        <v>217</v>
      </c>
      <c r="E1367">
        <f>IF(LEFT(D1367,6)="CLIENT",IFERROR(VLOOKUP(C1367,Config_Carteiras!$A:$B,2,FALSE),1),"")</f>
        <v>1</v>
      </c>
      <c r="F1367" s="25">
        <v>1870.95</v>
      </c>
      <c r="G1367" s="28">
        <f>IF(LEFT(D1367,6)="CLIENT",IF(E1367=0,WORKDAY(A1367-1,1,Dias_Sem_Compensacao!$A$2:$A$500),WORKDAY(A1367,E1367,Dias_Sem_Compensacao!$A$2:$A$500)),"")</f>
        <v>46301</v>
      </c>
      <c r="H1367" s="25">
        <v>0</v>
      </c>
      <c r="I1367" s="28">
        <v>46300</v>
      </c>
      <c r="J1367" t="s">
        <v>1889</v>
      </c>
      <c r="K1367" t="s">
        <v>1890</v>
      </c>
    </row>
    <row r="1368" spans="1:11" hidden="1">
      <c r="A1368" s="28">
        <v>46300</v>
      </c>
      <c r="B1368" t="s">
        <v>186</v>
      </c>
      <c r="C1368" t="s">
        <v>203</v>
      </c>
      <c r="D1368" t="s">
        <v>217</v>
      </c>
      <c r="E1368">
        <f>IF(LEFT(D1368,6)="CLIENT",IFERROR(VLOOKUP(C1368,Config_Carteiras!$A:$B,2,FALSE),1),"")</f>
        <v>1</v>
      </c>
      <c r="F1368" s="25">
        <v>429</v>
      </c>
      <c r="G1368" s="28">
        <f>IF(LEFT(D1368,6)="CLIENT",IF(E1368=0,WORKDAY(A1368-1,1,Dias_Sem_Compensacao!$A$2:$A$500),WORKDAY(A1368,E1368,Dias_Sem_Compensacao!$A$2:$A$500)),"")</f>
        <v>46301</v>
      </c>
      <c r="H1368" s="25">
        <v>0</v>
      </c>
      <c r="I1368" s="28">
        <v>46300</v>
      </c>
      <c r="J1368" t="s">
        <v>1891</v>
      </c>
      <c r="K1368" t="s">
        <v>1892</v>
      </c>
    </row>
    <row r="1369" spans="1:11" hidden="1">
      <c r="A1369" s="28">
        <v>46300</v>
      </c>
      <c r="B1369" t="s">
        <v>186</v>
      </c>
      <c r="C1369" t="s">
        <v>203</v>
      </c>
      <c r="D1369" t="s">
        <v>217</v>
      </c>
      <c r="E1369">
        <f>IF(LEFT(D1369,6)="CLIENT",IFERROR(VLOOKUP(C1369,Config_Carteiras!$A:$B,2,FALSE),1),"")</f>
        <v>1</v>
      </c>
      <c r="F1369" s="25">
        <v>762</v>
      </c>
      <c r="G1369" s="28">
        <f>IF(LEFT(D1369,6)="CLIENT",IF(E1369=0,WORKDAY(A1369-1,1,Dias_Sem_Compensacao!$A$2:$A$500),WORKDAY(A1369,E1369,Dias_Sem_Compensacao!$A$2:$A$500)),"")</f>
        <v>46301</v>
      </c>
      <c r="H1369" s="25">
        <v>0</v>
      </c>
      <c r="I1369" s="28">
        <v>46300</v>
      </c>
      <c r="J1369" t="s">
        <v>1893</v>
      </c>
      <c r="K1369" t="s">
        <v>1894</v>
      </c>
    </row>
    <row r="1370" spans="1:11" hidden="1">
      <c r="A1370" s="28">
        <v>46300</v>
      </c>
      <c r="B1370" t="s">
        <v>186</v>
      </c>
      <c r="C1370" t="s">
        <v>203</v>
      </c>
      <c r="D1370" t="s">
        <v>217</v>
      </c>
      <c r="E1370">
        <f>IF(LEFT(D1370,6)="CLIENT",IFERROR(VLOOKUP(C1370,Config_Carteiras!$A:$B,2,FALSE),1),"")</f>
        <v>1</v>
      </c>
      <c r="F1370" s="25">
        <v>450</v>
      </c>
      <c r="G1370" s="28">
        <f>IF(LEFT(D1370,6)="CLIENT",IF(E1370=0,WORKDAY(A1370-1,1,Dias_Sem_Compensacao!$A$2:$A$500),WORKDAY(A1370,E1370,Dias_Sem_Compensacao!$A$2:$A$500)),"")</f>
        <v>46301</v>
      </c>
      <c r="H1370" s="25">
        <v>0</v>
      </c>
      <c r="I1370" s="28">
        <v>46300</v>
      </c>
      <c r="J1370" t="s">
        <v>853</v>
      </c>
      <c r="K1370" t="s">
        <v>1895</v>
      </c>
    </row>
    <row r="1371" spans="1:11" hidden="1">
      <c r="A1371" s="28">
        <v>46300</v>
      </c>
      <c r="B1371" t="s">
        <v>186</v>
      </c>
      <c r="C1371" t="s">
        <v>203</v>
      </c>
      <c r="D1371" t="s">
        <v>217</v>
      </c>
      <c r="E1371">
        <f>IF(LEFT(D1371,6)="CLIENT",IFERROR(VLOOKUP(C1371,Config_Carteiras!$A:$B,2,FALSE),1),"")</f>
        <v>1</v>
      </c>
      <c r="F1371" s="25">
        <v>974</v>
      </c>
      <c r="G1371" s="28">
        <f>IF(LEFT(D1371,6)="CLIENT",IF(E1371=0,WORKDAY(A1371-1,1,Dias_Sem_Compensacao!$A$2:$A$500),WORKDAY(A1371,E1371,Dias_Sem_Compensacao!$A$2:$A$500)),"")</f>
        <v>46301</v>
      </c>
      <c r="H1371" s="25">
        <v>0</v>
      </c>
      <c r="I1371" s="28">
        <v>46300</v>
      </c>
      <c r="J1371" t="s">
        <v>617</v>
      </c>
      <c r="K1371" t="s">
        <v>1896</v>
      </c>
    </row>
    <row r="1372" spans="1:11" hidden="1">
      <c r="A1372" s="28">
        <v>46300</v>
      </c>
      <c r="B1372" t="s">
        <v>186</v>
      </c>
      <c r="C1372" t="s">
        <v>203</v>
      </c>
      <c r="D1372" t="s">
        <v>217</v>
      </c>
      <c r="E1372">
        <f>IF(LEFT(D1372,6)="CLIENT",IFERROR(VLOOKUP(C1372,Config_Carteiras!$A:$B,2,FALSE),1),"")</f>
        <v>1</v>
      </c>
      <c r="F1372" s="25">
        <v>953</v>
      </c>
      <c r="G1372" s="28">
        <f>IF(LEFT(D1372,6)="CLIENT",IF(E1372=0,WORKDAY(A1372-1,1,Dias_Sem_Compensacao!$A$2:$A$500),WORKDAY(A1372,E1372,Dias_Sem_Compensacao!$A$2:$A$500)),"")</f>
        <v>46301</v>
      </c>
      <c r="H1372" s="25">
        <v>0</v>
      </c>
      <c r="I1372" s="28">
        <v>46300</v>
      </c>
      <c r="J1372" t="s">
        <v>1897</v>
      </c>
      <c r="K1372" t="s">
        <v>1898</v>
      </c>
    </row>
    <row r="1373" spans="1:11" hidden="1">
      <c r="A1373" s="28">
        <v>46300</v>
      </c>
      <c r="B1373" t="s">
        <v>186</v>
      </c>
      <c r="C1373" t="s">
        <v>203</v>
      </c>
      <c r="D1373" t="s">
        <v>217</v>
      </c>
      <c r="E1373">
        <f>IF(LEFT(D1373,6)="CLIENT",IFERROR(VLOOKUP(C1373,Config_Carteiras!$A:$B,2,FALSE),1),"")</f>
        <v>1</v>
      </c>
      <c r="F1373" s="25">
        <v>953</v>
      </c>
      <c r="G1373" s="28">
        <f>IF(LEFT(D1373,6)="CLIENT",IF(E1373=0,WORKDAY(A1373-1,1,Dias_Sem_Compensacao!$A$2:$A$500),WORKDAY(A1373,E1373,Dias_Sem_Compensacao!$A$2:$A$500)),"")</f>
        <v>46301</v>
      </c>
      <c r="H1373" s="25">
        <v>0</v>
      </c>
      <c r="I1373" s="28">
        <v>46300</v>
      </c>
      <c r="K1373" t="s">
        <v>1899</v>
      </c>
    </row>
    <row r="1374" spans="1:11" hidden="1">
      <c r="A1374" s="28">
        <v>46300</v>
      </c>
      <c r="B1374" t="s">
        <v>186</v>
      </c>
      <c r="C1374" t="s">
        <v>203</v>
      </c>
      <c r="D1374" t="s">
        <v>217</v>
      </c>
      <c r="E1374">
        <f>IF(LEFT(D1374,6)="CLIENT",IFERROR(VLOOKUP(C1374,Config_Carteiras!$A:$B,2,FALSE),1),"")</f>
        <v>1</v>
      </c>
      <c r="F1374" s="25">
        <v>567.99</v>
      </c>
      <c r="G1374" s="28">
        <f>IF(LEFT(D1374,6)="CLIENT",IF(E1374=0,WORKDAY(A1374-1,1,Dias_Sem_Compensacao!$A$2:$A$500),WORKDAY(A1374,E1374,Dias_Sem_Compensacao!$A$2:$A$500)),"")</f>
        <v>46301</v>
      </c>
      <c r="H1374" s="25">
        <v>0</v>
      </c>
      <c r="I1374" s="28">
        <v>46300</v>
      </c>
      <c r="J1374" t="s">
        <v>1900</v>
      </c>
      <c r="K1374" t="s">
        <v>1901</v>
      </c>
    </row>
    <row r="1375" spans="1:11" hidden="1">
      <c r="A1375" s="28">
        <v>46300</v>
      </c>
      <c r="B1375" t="s">
        <v>186</v>
      </c>
      <c r="C1375" t="s">
        <v>203</v>
      </c>
      <c r="D1375" t="s">
        <v>217</v>
      </c>
      <c r="E1375">
        <f>IF(LEFT(D1375,6)="CLIENT",IFERROR(VLOOKUP(C1375,Config_Carteiras!$A:$B,2,FALSE),1),"")</f>
        <v>1</v>
      </c>
      <c r="F1375" s="25">
        <v>1309</v>
      </c>
      <c r="G1375" s="28">
        <f>IF(LEFT(D1375,6)="CLIENT",IF(E1375=0,WORKDAY(A1375-1,1,Dias_Sem_Compensacao!$A$2:$A$500),WORKDAY(A1375,E1375,Dias_Sem_Compensacao!$A$2:$A$500)),"")</f>
        <v>46301</v>
      </c>
      <c r="H1375" s="25">
        <v>0</v>
      </c>
      <c r="I1375" s="28">
        <v>46300</v>
      </c>
      <c r="J1375" t="s">
        <v>1902</v>
      </c>
      <c r="K1375" t="s">
        <v>1903</v>
      </c>
    </row>
    <row r="1376" spans="1:11" hidden="1">
      <c r="A1376" s="28">
        <v>46300</v>
      </c>
      <c r="B1376" t="s">
        <v>186</v>
      </c>
      <c r="C1376" t="s">
        <v>203</v>
      </c>
      <c r="D1376" t="s">
        <v>217</v>
      </c>
      <c r="E1376">
        <f>IF(LEFT(D1376,6)="CLIENT",IFERROR(VLOOKUP(C1376,Config_Carteiras!$A:$B,2,FALSE),1),"")</f>
        <v>1</v>
      </c>
      <c r="F1376" s="25">
        <v>679.21</v>
      </c>
      <c r="G1376" s="28">
        <f>IF(LEFT(D1376,6)="CLIENT",IF(E1376=0,WORKDAY(A1376-1,1,Dias_Sem_Compensacao!$A$2:$A$500),WORKDAY(A1376,E1376,Dias_Sem_Compensacao!$A$2:$A$500)),"")</f>
        <v>46301</v>
      </c>
      <c r="H1376" s="25">
        <v>0</v>
      </c>
      <c r="I1376" s="28">
        <v>46300</v>
      </c>
      <c r="J1376" t="s">
        <v>1904</v>
      </c>
      <c r="K1376" t="s">
        <v>1905</v>
      </c>
    </row>
    <row r="1377" spans="1:11" hidden="1">
      <c r="A1377" s="28">
        <v>46300</v>
      </c>
      <c r="B1377" t="s">
        <v>186</v>
      </c>
      <c r="C1377" t="s">
        <v>203</v>
      </c>
      <c r="D1377" t="s">
        <v>217</v>
      </c>
      <c r="E1377">
        <f>IF(LEFT(D1377,6)="CLIENT",IFERROR(VLOOKUP(C1377,Config_Carteiras!$A:$B,2,FALSE),1),"")</f>
        <v>1</v>
      </c>
      <c r="F1377" s="25">
        <v>1358.73</v>
      </c>
      <c r="G1377" s="28">
        <f>IF(LEFT(D1377,6)="CLIENT",IF(E1377=0,WORKDAY(A1377-1,1,Dias_Sem_Compensacao!$A$2:$A$500),WORKDAY(A1377,E1377,Dias_Sem_Compensacao!$A$2:$A$500)),"")</f>
        <v>46301</v>
      </c>
      <c r="H1377" s="25">
        <v>0</v>
      </c>
      <c r="I1377" s="28">
        <v>46300</v>
      </c>
      <c r="J1377" t="s">
        <v>1043</v>
      </c>
      <c r="K1377" t="s">
        <v>1044</v>
      </c>
    </row>
    <row r="1378" spans="1:11" hidden="1">
      <c r="A1378" s="28">
        <v>46300</v>
      </c>
      <c r="B1378" t="s">
        <v>186</v>
      </c>
      <c r="C1378" t="s">
        <v>203</v>
      </c>
      <c r="D1378" t="s">
        <v>217</v>
      </c>
      <c r="E1378">
        <f>IF(LEFT(D1378,6)="CLIENT",IFERROR(VLOOKUP(C1378,Config_Carteiras!$A:$B,2,FALSE),1),"")</f>
        <v>1</v>
      </c>
      <c r="F1378" s="25">
        <v>609</v>
      </c>
      <c r="G1378" s="28">
        <f>IF(LEFT(D1378,6)="CLIENT",IF(E1378=0,WORKDAY(A1378-1,1,Dias_Sem_Compensacao!$A$2:$A$500),WORKDAY(A1378,E1378,Dias_Sem_Compensacao!$A$2:$A$500)),"")</f>
        <v>46301</v>
      </c>
      <c r="H1378" s="25">
        <v>0</v>
      </c>
      <c r="I1378" s="28">
        <v>46300</v>
      </c>
      <c r="J1378" t="s">
        <v>1906</v>
      </c>
      <c r="K1378" t="s">
        <v>1907</v>
      </c>
    </row>
    <row r="1379" spans="1:11" hidden="1">
      <c r="A1379" s="28">
        <v>46300</v>
      </c>
      <c r="B1379" t="s">
        <v>186</v>
      </c>
      <c r="C1379" t="s">
        <v>203</v>
      </c>
      <c r="D1379" t="s">
        <v>217</v>
      </c>
      <c r="E1379">
        <f>IF(LEFT(D1379,6)="CLIENT",IFERROR(VLOOKUP(C1379,Config_Carteiras!$A:$B,2,FALSE),1),"")</f>
        <v>1</v>
      </c>
      <c r="F1379" s="25">
        <v>1320</v>
      </c>
      <c r="G1379" s="28">
        <f>IF(LEFT(D1379,6)="CLIENT",IF(E1379=0,WORKDAY(A1379-1,1,Dias_Sem_Compensacao!$A$2:$A$500),WORKDAY(A1379,E1379,Dias_Sem_Compensacao!$A$2:$A$500)),"")</f>
        <v>46301</v>
      </c>
      <c r="H1379" s="25">
        <v>0</v>
      </c>
      <c r="I1379" s="28">
        <v>46300</v>
      </c>
      <c r="J1379" t="s">
        <v>1908</v>
      </c>
      <c r="K1379" t="s">
        <v>1909</v>
      </c>
    </row>
    <row r="1380" spans="1:11" hidden="1">
      <c r="A1380" s="28">
        <v>46300</v>
      </c>
      <c r="B1380" t="s">
        <v>186</v>
      </c>
      <c r="C1380" t="s">
        <v>203</v>
      </c>
      <c r="D1380" t="s">
        <v>217</v>
      </c>
      <c r="E1380">
        <f>IF(LEFT(D1380,6)="CLIENT",IFERROR(VLOOKUP(C1380,Config_Carteiras!$A:$B,2,FALSE),1),"")</f>
        <v>1</v>
      </c>
      <c r="F1380" s="25">
        <v>435</v>
      </c>
      <c r="G1380" s="28">
        <f>IF(LEFT(D1380,6)="CLIENT",IF(E1380=0,WORKDAY(A1380-1,1,Dias_Sem_Compensacao!$A$2:$A$500),WORKDAY(A1380,E1380,Dias_Sem_Compensacao!$A$2:$A$500)),"")</f>
        <v>46301</v>
      </c>
      <c r="H1380" s="25">
        <v>0</v>
      </c>
      <c r="I1380" s="28">
        <v>46300</v>
      </c>
      <c r="J1380" t="s">
        <v>1910</v>
      </c>
      <c r="K1380" t="s">
        <v>1911</v>
      </c>
    </row>
    <row r="1381" spans="1:11" hidden="1">
      <c r="A1381" s="28">
        <v>46300</v>
      </c>
      <c r="B1381" t="s">
        <v>186</v>
      </c>
      <c r="C1381" t="s">
        <v>203</v>
      </c>
      <c r="D1381" t="s">
        <v>217</v>
      </c>
      <c r="E1381">
        <f>IF(LEFT(D1381,6)="CLIENT",IFERROR(VLOOKUP(C1381,Config_Carteiras!$A:$B,2,FALSE),1),"")</f>
        <v>1</v>
      </c>
      <c r="F1381" s="25">
        <v>531</v>
      </c>
      <c r="G1381" s="28">
        <f>IF(LEFT(D1381,6)="CLIENT",IF(E1381=0,WORKDAY(A1381-1,1,Dias_Sem_Compensacao!$A$2:$A$500),WORKDAY(A1381,E1381,Dias_Sem_Compensacao!$A$2:$A$500)),"")</f>
        <v>46301</v>
      </c>
      <c r="H1381" s="25">
        <v>0</v>
      </c>
      <c r="I1381" s="28">
        <v>46300</v>
      </c>
      <c r="J1381" t="s">
        <v>1117</v>
      </c>
      <c r="K1381" t="s">
        <v>1118</v>
      </c>
    </row>
    <row r="1382" spans="1:11" hidden="1">
      <c r="A1382" s="28">
        <v>46300</v>
      </c>
      <c r="B1382" t="s">
        <v>186</v>
      </c>
      <c r="C1382" t="s">
        <v>203</v>
      </c>
      <c r="D1382" t="s">
        <v>217</v>
      </c>
      <c r="E1382">
        <f>IF(LEFT(D1382,6)="CLIENT",IFERROR(VLOOKUP(C1382,Config_Carteiras!$A:$B,2,FALSE),1),"")</f>
        <v>1</v>
      </c>
      <c r="F1382" s="25">
        <v>555.94000000000005</v>
      </c>
      <c r="G1382" s="28">
        <f>IF(LEFT(D1382,6)="CLIENT",IF(E1382=0,WORKDAY(A1382-1,1,Dias_Sem_Compensacao!$A$2:$A$500),WORKDAY(A1382,E1382,Dias_Sem_Compensacao!$A$2:$A$500)),"")</f>
        <v>46301</v>
      </c>
      <c r="H1382" s="25">
        <v>0</v>
      </c>
      <c r="I1382" s="28">
        <v>46300</v>
      </c>
      <c r="J1382" t="s">
        <v>1912</v>
      </c>
      <c r="K1382" t="s">
        <v>1913</v>
      </c>
    </row>
    <row r="1383" spans="1:11" hidden="1">
      <c r="A1383" s="28">
        <v>46300</v>
      </c>
      <c r="B1383" t="s">
        <v>186</v>
      </c>
      <c r="C1383" t="s">
        <v>203</v>
      </c>
      <c r="D1383" t="s">
        <v>217</v>
      </c>
      <c r="E1383">
        <f>IF(LEFT(D1383,6)="CLIENT",IFERROR(VLOOKUP(C1383,Config_Carteiras!$A:$B,2,FALSE),1),"")</f>
        <v>1</v>
      </c>
      <c r="F1383" s="25">
        <v>1425.96</v>
      </c>
      <c r="G1383" s="28">
        <f>IF(LEFT(D1383,6)="CLIENT",IF(E1383=0,WORKDAY(A1383-1,1,Dias_Sem_Compensacao!$A$2:$A$500),WORKDAY(A1383,E1383,Dias_Sem_Compensacao!$A$2:$A$500)),"")</f>
        <v>46301</v>
      </c>
      <c r="H1383" s="25">
        <v>0</v>
      </c>
      <c r="I1383" s="28">
        <v>46300</v>
      </c>
      <c r="J1383" t="s">
        <v>1914</v>
      </c>
      <c r="K1383" t="s">
        <v>1915</v>
      </c>
    </row>
    <row r="1384" spans="1:11" hidden="1">
      <c r="A1384" s="28">
        <v>46300</v>
      </c>
      <c r="B1384" t="s">
        <v>186</v>
      </c>
      <c r="C1384" t="s">
        <v>203</v>
      </c>
      <c r="D1384" t="s">
        <v>217</v>
      </c>
      <c r="E1384">
        <f>IF(LEFT(D1384,6)="CLIENT",IFERROR(VLOOKUP(C1384,Config_Carteiras!$A:$B,2,FALSE),1),"")</f>
        <v>1</v>
      </c>
      <c r="F1384" s="25">
        <v>878.7</v>
      </c>
      <c r="G1384" s="28">
        <f>IF(LEFT(D1384,6)="CLIENT",IF(E1384=0,WORKDAY(A1384-1,1,Dias_Sem_Compensacao!$A$2:$A$500),WORKDAY(A1384,E1384,Dias_Sem_Compensacao!$A$2:$A$500)),"")</f>
        <v>46301</v>
      </c>
      <c r="H1384" s="25">
        <v>0</v>
      </c>
      <c r="I1384" s="28">
        <v>46300</v>
      </c>
      <c r="J1384" t="s">
        <v>1916</v>
      </c>
      <c r="K1384" t="s">
        <v>1917</v>
      </c>
    </row>
    <row r="1385" spans="1:11" hidden="1">
      <c r="A1385" s="28">
        <v>46300</v>
      </c>
      <c r="B1385" t="s">
        <v>186</v>
      </c>
      <c r="C1385" t="s">
        <v>203</v>
      </c>
      <c r="D1385" t="s">
        <v>217</v>
      </c>
      <c r="E1385">
        <f>IF(LEFT(D1385,6)="CLIENT",IFERROR(VLOOKUP(C1385,Config_Carteiras!$A:$B,2,FALSE),1),"")</f>
        <v>1</v>
      </c>
      <c r="F1385" s="25">
        <v>1261</v>
      </c>
      <c r="G1385" s="28">
        <f>IF(LEFT(D1385,6)="CLIENT",IF(E1385=0,WORKDAY(A1385-1,1,Dias_Sem_Compensacao!$A$2:$A$500),WORKDAY(A1385,E1385,Dias_Sem_Compensacao!$A$2:$A$500)),"")</f>
        <v>46301</v>
      </c>
      <c r="H1385" s="25">
        <v>0</v>
      </c>
      <c r="I1385" s="28">
        <v>46300</v>
      </c>
      <c r="J1385" t="s">
        <v>1918</v>
      </c>
      <c r="K1385" t="s">
        <v>1919</v>
      </c>
    </row>
    <row r="1386" spans="1:11" hidden="1">
      <c r="A1386" s="28">
        <v>46300</v>
      </c>
      <c r="B1386" t="s">
        <v>186</v>
      </c>
      <c r="C1386" t="s">
        <v>203</v>
      </c>
      <c r="D1386" t="s">
        <v>217</v>
      </c>
      <c r="E1386">
        <f>IF(LEFT(D1386,6)="CLIENT",IFERROR(VLOOKUP(C1386,Config_Carteiras!$A:$B,2,FALSE),1),"")</f>
        <v>1</v>
      </c>
      <c r="F1386" s="25">
        <v>808.8</v>
      </c>
      <c r="G1386" s="28">
        <f>IF(LEFT(D1386,6)="CLIENT",IF(E1386=0,WORKDAY(A1386-1,1,Dias_Sem_Compensacao!$A$2:$A$500),WORKDAY(A1386,E1386,Dias_Sem_Compensacao!$A$2:$A$500)),"")</f>
        <v>46301</v>
      </c>
      <c r="H1386" s="25">
        <v>0</v>
      </c>
      <c r="I1386" s="28">
        <v>46300</v>
      </c>
      <c r="J1386" t="s">
        <v>1920</v>
      </c>
      <c r="K1386" t="s">
        <v>1921</v>
      </c>
    </row>
    <row r="1387" spans="1:11" hidden="1">
      <c r="A1387" s="28">
        <v>46300</v>
      </c>
      <c r="B1387" t="s">
        <v>186</v>
      </c>
      <c r="C1387" t="s">
        <v>203</v>
      </c>
      <c r="D1387" t="s">
        <v>217</v>
      </c>
      <c r="E1387">
        <f>IF(LEFT(D1387,6)="CLIENT",IFERROR(VLOOKUP(C1387,Config_Carteiras!$A:$B,2,FALSE),1),"")</f>
        <v>1</v>
      </c>
      <c r="F1387" s="25">
        <v>770</v>
      </c>
      <c r="G1387" s="28">
        <f>IF(LEFT(D1387,6)="CLIENT",IF(E1387=0,WORKDAY(A1387-1,1,Dias_Sem_Compensacao!$A$2:$A$500),WORKDAY(A1387,E1387,Dias_Sem_Compensacao!$A$2:$A$500)),"")</f>
        <v>46301</v>
      </c>
      <c r="H1387" s="25">
        <v>0</v>
      </c>
      <c r="I1387" s="28">
        <v>46300</v>
      </c>
      <c r="J1387" t="s">
        <v>1414</v>
      </c>
      <c r="K1387" t="s">
        <v>1922</v>
      </c>
    </row>
    <row r="1388" spans="1:11" hidden="1">
      <c r="A1388" s="28">
        <v>46300</v>
      </c>
      <c r="B1388" t="s">
        <v>186</v>
      </c>
      <c r="C1388" t="s">
        <v>203</v>
      </c>
      <c r="D1388" t="s">
        <v>217</v>
      </c>
      <c r="E1388">
        <f>IF(LEFT(D1388,6)="CLIENT",IFERROR(VLOOKUP(C1388,Config_Carteiras!$A:$B,2,FALSE),1),"")</f>
        <v>1</v>
      </c>
      <c r="F1388" s="25">
        <v>404</v>
      </c>
      <c r="G1388" s="28">
        <f>IF(LEFT(D1388,6)="CLIENT",IF(E1388=0,WORKDAY(A1388-1,1,Dias_Sem_Compensacao!$A$2:$A$500),WORKDAY(A1388,E1388,Dias_Sem_Compensacao!$A$2:$A$500)),"")</f>
        <v>46301</v>
      </c>
      <c r="H1388" s="25">
        <v>0</v>
      </c>
      <c r="I1388" s="28">
        <v>46300</v>
      </c>
      <c r="J1388" t="s">
        <v>1923</v>
      </c>
      <c r="K1388" t="s">
        <v>1924</v>
      </c>
    </row>
    <row r="1389" spans="1:11" hidden="1">
      <c r="A1389" s="28">
        <v>46300</v>
      </c>
      <c r="B1389" t="s">
        <v>186</v>
      </c>
      <c r="C1389" t="s">
        <v>203</v>
      </c>
      <c r="D1389" t="s">
        <v>217</v>
      </c>
      <c r="E1389">
        <f>IF(LEFT(D1389,6)="CLIENT",IFERROR(VLOOKUP(C1389,Config_Carteiras!$A:$B,2,FALSE),1),"")</f>
        <v>1</v>
      </c>
      <c r="F1389" s="25">
        <v>2265</v>
      </c>
      <c r="G1389" s="28">
        <f>IF(LEFT(D1389,6)="CLIENT",IF(E1389=0,WORKDAY(A1389-1,1,Dias_Sem_Compensacao!$A$2:$A$500),WORKDAY(A1389,E1389,Dias_Sem_Compensacao!$A$2:$A$500)),"")</f>
        <v>46301</v>
      </c>
      <c r="H1389" s="25">
        <v>0</v>
      </c>
      <c r="I1389" s="28">
        <v>46300</v>
      </c>
      <c r="J1389" t="s">
        <v>1925</v>
      </c>
      <c r="K1389" t="s">
        <v>1926</v>
      </c>
    </row>
    <row r="1390" spans="1:11" hidden="1">
      <c r="A1390" s="28">
        <v>46300</v>
      </c>
      <c r="B1390" t="s">
        <v>186</v>
      </c>
      <c r="C1390" t="s">
        <v>203</v>
      </c>
      <c r="D1390" t="s">
        <v>217</v>
      </c>
      <c r="E1390">
        <f>IF(LEFT(D1390,6)="CLIENT",IFERROR(VLOOKUP(C1390,Config_Carteiras!$A:$B,2,FALSE),1),"")</f>
        <v>1</v>
      </c>
      <c r="F1390" s="25">
        <v>942</v>
      </c>
      <c r="G1390" s="28">
        <f>IF(LEFT(D1390,6)="CLIENT",IF(E1390=0,WORKDAY(A1390-1,1,Dias_Sem_Compensacao!$A$2:$A$500),WORKDAY(A1390,E1390,Dias_Sem_Compensacao!$A$2:$A$500)),"")</f>
        <v>46301</v>
      </c>
      <c r="H1390" s="25">
        <v>0</v>
      </c>
      <c r="I1390" s="28">
        <v>46300</v>
      </c>
      <c r="J1390" t="s">
        <v>1927</v>
      </c>
      <c r="K1390" t="s">
        <v>1928</v>
      </c>
    </row>
    <row r="1391" spans="1:11" hidden="1">
      <c r="A1391" s="28">
        <v>46300</v>
      </c>
      <c r="B1391" t="s">
        <v>186</v>
      </c>
      <c r="C1391" t="s">
        <v>203</v>
      </c>
      <c r="D1391" t="s">
        <v>217</v>
      </c>
      <c r="E1391">
        <f>IF(LEFT(D1391,6)="CLIENT",IFERROR(VLOOKUP(C1391,Config_Carteiras!$A:$B,2,FALSE),1),"")</f>
        <v>1</v>
      </c>
      <c r="F1391" s="25">
        <v>767</v>
      </c>
      <c r="G1391" s="28">
        <f>IF(LEFT(D1391,6)="CLIENT",IF(E1391=0,WORKDAY(A1391-1,1,Dias_Sem_Compensacao!$A$2:$A$500),WORKDAY(A1391,E1391,Dias_Sem_Compensacao!$A$2:$A$500)),"")</f>
        <v>46301</v>
      </c>
      <c r="H1391" s="25">
        <v>0</v>
      </c>
      <c r="I1391" s="28">
        <v>46300</v>
      </c>
      <c r="J1391" t="s">
        <v>1929</v>
      </c>
      <c r="K1391" t="s">
        <v>1930</v>
      </c>
    </row>
    <row r="1392" spans="1:11" hidden="1">
      <c r="A1392" s="28">
        <v>46300</v>
      </c>
      <c r="B1392" t="s">
        <v>186</v>
      </c>
      <c r="C1392" t="s">
        <v>203</v>
      </c>
      <c r="D1392" t="s">
        <v>217</v>
      </c>
      <c r="E1392">
        <f>IF(LEFT(D1392,6)="CLIENT",IFERROR(VLOOKUP(C1392,Config_Carteiras!$A:$B,2,FALSE),1),"")</f>
        <v>1</v>
      </c>
      <c r="F1392" s="25">
        <v>583.35</v>
      </c>
      <c r="G1392" s="28">
        <f>IF(LEFT(D1392,6)="CLIENT",IF(E1392=0,WORKDAY(A1392-1,1,Dias_Sem_Compensacao!$A$2:$A$500),WORKDAY(A1392,E1392,Dias_Sem_Compensacao!$A$2:$A$500)),"")</f>
        <v>46301</v>
      </c>
      <c r="H1392" s="25">
        <v>0</v>
      </c>
      <c r="I1392" s="28">
        <v>46300</v>
      </c>
      <c r="J1392" t="s">
        <v>1931</v>
      </c>
      <c r="K1392" t="s">
        <v>1932</v>
      </c>
    </row>
    <row r="1393" spans="1:11" hidden="1">
      <c r="A1393" s="28">
        <v>46300</v>
      </c>
      <c r="B1393" t="s">
        <v>186</v>
      </c>
      <c r="C1393" t="s">
        <v>203</v>
      </c>
      <c r="D1393" t="s">
        <v>217</v>
      </c>
      <c r="E1393">
        <f>IF(LEFT(D1393,6)="CLIENT",IFERROR(VLOOKUP(C1393,Config_Carteiras!$A:$B,2,FALSE),1),"")</f>
        <v>1</v>
      </c>
      <c r="F1393" s="25">
        <v>475</v>
      </c>
      <c r="G1393" s="28">
        <f>IF(LEFT(D1393,6)="CLIENT",IF(E1393=0,WORKDAY(A1393-1,1,Dias_Sem_Compensacao!$A$2:$A$500),WORKDAY(A1393,E1393,Dias_Sem_Compensacao!$A$2:$A$500)),"")</f>
        <v>46301</v>
      </c>
      <c r="H1393" s="25">
        <v>0</v>
      </c>
      <c r="I1393" s="28">
        <v>46300</v>
      </c>
      <c r="J1393" t="s">
        <v>1933</v>
      </c>
      <c r="K1393" t="s">
        <v>1934</v>
      </c>
    </row>
    <row r="1394" spans="1:11" hidden="1">
      <c r="A1394" s="28">
        <v>46301</v>
      </c>
      <c r="B1394" t="s">
        <v>186</v>
      </c>
      <c r="C1394" t="s">
        <v>203</v>
      </c>
      <c r="D1394" t="s">
        <v>217</v>
      </c>
      <c r="E1394">
        <f>IF(LEFT(D1394,6)="CLIENT",IFERROR(VLOOKUP(C1394,Config_Carteiras!$A:$B,2,FALSE),1),"")</f>
        <v>1</v>
      </c>
      <c r="F1394" s="25">
        <v>558.6</v>
      </c>
      <c r="G1394" s="28">
        <f>IF(LEFT(D1394,6)="CLIENT",IF(E1394=0,WORKDAY(A1394-1,1,Dias_Sem_Compensacao!$A$2:$A$500),WORKDAY(A1394,E1394,Dias_Sem_Compensacao!$A$2:$A$500)),"")</f>
        <v>46302</v>
      </c>
      <c r="H1394" s="25">
        <v>0</v>
      </c>
      <c r="I1394" s="28">
        <v>46301</v>
      </c>
      <c r="J1394" t="s">
        <v>1935</v>
      </c>
      <c r="K1394" t="s">
        <v>1936</v>
      </c>
    </row>
    <row r="1395" spans="1:11" hidden="1">
      <c r="A1395" s="28">
        <v>46301</v>
      </c>
      <c r="B1395" t="s">
        <v>186</v>
      </c>
      <c r="C1395" t="s">
        <v>203</v>
      </c>
      <c r="D1395" t="s">
        <v>217</v>
      </c>
      <c r="E1395">
        <f>IF(LEFT(D1395,6)="CLIENT",IFERROR(VLOOKUP(C1395,Config_Carteiras!$A:$B,2,FALSE),1),"")</f>
        <v>1</v>
      </c>
      <c r="F1395" s="25">
        <v>1466</v>
      </c>
      <c r="G1395" s="28">
        <f>IF(LEFT(D1395,6)="CLIENT",IF(E1395=0,WORKDAY(A1395-1,1,Dias_Sem_Compensacao!$A$2:$A$500),WORKDAY(A1395,E1395,Dias_Sem_Compensacao!$A$2:$A$500)),"")</f>
        <v>46302</v>
      </c>
      <c r="H1395" s="25">
        <v>0</v>
      </c>
      <c r="I1395" s="28">
        <v>46301</v>
      </c>
      <c r="J1395" t="s">
        <v>1045</v>
      </c>
      <c r="K1395" t="s">
        <v>1046</v>
      </c>
    </row>
    <row r="1396" spans="1:11" hidden="1">
      <c r="A1396" s="28">
        <v>46301</v>
      </c>
      <c r="B1396" t="s">
        <v>186</v>
      </c>
      <c r="C1396" t="s">
        <v>203</v>
      </c>
      <c r="D1396" t="s">
        <v>217</v>
      </c>
      <c r="E1396">
        <f>IF(LEFT(D1396,6)="CLIENT",IFERROR(VLOOKUP(C1396,Config_Carteiras!$A:$B,2,FALSE),1),"")</f>
        <v>1</v>
      </c>
      <c r="F1396" s="25">
        <v>949.4</v>
      </c>
      <c r="G1396" s="28">
        <f>IF(LEFT(D1396,6)="CLIENT",IF(E1396=0,WORKDAY(A1396-1,1,Dias_Sem_Compensacao!$A$2:$A$500),WORKDAY(A1396,E1396,Dias_Sem_Compensacao!$A$2:$A$500)),"")</f>
        <v>46302</v>
      </c>
      <c r="H1396" s="25">
        <v>0</v>
      </c>
      <c r="I1396" s="28">
        <v>46301</v>
      </c>
      <c r="J1396" t="s">
        <v>1937</v>
      </c>
      <c r="K1396" t="s">
        <v>1938</v>
      </c>
    </row>
    <row r="1397" spans="1:11" hidden="1">
      <c r="A1397" s="28">
        <v>46301</v>
      </c>
      <c r="B1397" t="s">
        <v>186</v>
      </c>
      <c r="C1397" t="s">
        <v>203</v>
      </c>
      <c r="D1397" t="s">
        <v>217</v>
      </c>
      <c r="E1397">
        <f>IF(LEFT(D1397,6)="CLIENT",IFERROR(VLOOKUP(C1397,Config_Carteiras!$A:$B,2,FALSE),1),"")</f>
        <v>1</v>
      </c>
      <c r="F1397" s="25">
        <v>536.45000000000005</v>
      </c>
      <c r="G1397" s="28">
        <f>IF(LEFT(D1397,6)="CLIENT",IF(E1397=0,WORKDAY(A1397-1,1,Dias_Sem_Compensacao!$A$2:$A$500),WORKDAY(A1397,E1397,Dias_Sem_Compensacao!$A$2:$A$500)),"")</f>
        <v>46302</v>
      </c>
      <c r="H1397" s="25">
        <v>0</v>
      </c>
      <c r="I1397" s="28">
        <v>46301</v>
      </c>
      <c r="J1397" t="s">
        <v>1124</v>
      </c>
      <c r="K1397" t="s">
        <v>1125</v>
      </c>
    </row>
    <row r="1398" spans="1:11" hidden="1">
      <c r="A1398" s="28">
        <v>46301</v>
      </c>
      <c r="B1398" t="s">
        <v>186</v>
      </c>
      <c r="C1398" t="s">
        <v>203</v>
      </c>
      <c r="D1398" t="s">
        <v>217</v>
      </c>
      <c r="E1398">
        <f>IF(LEFT(D1398,6)="CLIENT",IFERROR(VLOOKUP(C1398,Config_Carteiras!$A:$B,2,FALSE),1),"")</f>
        <v>1</v>
      </c>
      <c r="F1398" s="25">
        <v>3754.17</v>
      </c>
      <c r="G1398" s="28">
        <f>IF(LEFT(D1398,6)="CLIENT",IF(E1398=0,WORKDAY(A1398-1,1,Dias_Sem_Compensacao!$A$2:$A$500),WORKDAY(A1398,E1398,Dias_Sem_Compensacao!$A$2:$A$500)),"")</f>
        <v>46302</v>
      </c>
      <c r="H1398" s="25">
        <v>0</v>
      </c>
      <c r="I1398" s="28">
        <v>46301</v>
      </c>
      <c r="J1398" t="s">
        <v>1660</v>
      </c>
      <c r="K1398" t="s">
        <v>1939</v>
      </c>
    </row>
    <row r="1399" spans="1:11" hidden="1">
      <c r="A1399" s="28">
        <v>46301</v>
      </c>
      <c r="B1399" t="s">
        <v>186</v>
      </c>
      <c r="C1399" t="s">
        <v>203</v>
      </c>
      <c r="D1399" t="s">
        <v>217</v>
      </c>
      <c r="E1399">
        <f>IF(LEFT(D1399,6)="CLIENT",IFERROR(VLOOKUP(C1399,Config_Carteiras!$A:$B,2,FALSE),1),"")</f>
        <v>1</v>
      </c>
      <c r="F1399" s="25">
        <v>1009</v>
      </c>
      <c r="G1399" s="28">
        <f>IF(LEFT(D1399,6)="CLIENT",IF(E1399=0,WORKDAY(A1399-1,1,Dias_Sem_Compensacao!$A$2:$A$500),WORKDAY(A1399,E1399,Dias_Sem_Compensacao!$A$2:$A$500)),"")</f>
        <v>46302</v>
      </c>
      <c r="H1399" s="25">
        <v>0</v>
      </c>
      <c r="I1399" s="28">
        <v>46301</v>
      </c>
      <c r="J1399" t="s">
        <v>1128</v>
      </c>
      <c r="K1399" t="s">
        <v>1129</v>
      </c>
    </row>
    <row r="1400" spans="1:11" hidden="1">
      <c r="A1400" s="28">
        <v>46301</v>
      </c>
      <c r="B1400" t="s">
        <v>186</v>
      </c>
      <c r="C1400" t="s">
        <v>203</v>
      </c>
      <c r="D1400" t="s">
        <v>217</v>
      </c>
      <c r="E1400">
        <f>IF(LEFT(D1400,6)="CLIENT",IFERROR(VLOOKUP(C1400,Config_Carteiras!$A:$B,2,FALSE),1),"")</f>
        <v>1</v>
      </c>
      <c r="F1400" s="25">
        <v>389.28</v>
      </c>
      <c r="G1400" s="28">
        <f>IF(LEFT(D1400,6)="CLIENT",IF(E1400=0,WORKDAY(A1400-1,1,Dias_Sem_Compensacao!$A$2:$A$500),WORKDAY(A1400,E1400,Dias_Sem_Compensacao!$A$2:$A$500)),"")</f>
        <v>46302</v>
      </c>
      <c r="H1400" s="25">
        <v>0</v>
      </c>
      <c r="I1400" s="28">
        <v>46301</v>
      </c>
      <c r="J1400" t="s">
        <v>237</v>
      </c>
      <c r="K1400" t="s">
        <v>1132</v>
      </c>
    </row>
    <row r="1401" spans="1:11" hidden="1">
      <c r="A1401" s="28">
        <v>46301</v>
      </c>
      <c r="B1401" t="s">
        <v>186</v>
      </c>
      <c r="C1401" t="s">
        <v>203</v>
      </c>
      <c r="D1401" t="s">
        <v>217</v>
      </c>
      <c r="E1401">
        <f>IF(LEFT(D1401,6)="CLIENT",IFERROR(VLOOKUP(C1401,Config_Carteiras!$A:$B,2,FALSE),1),"")</f>
        <v>1</v>
      </c>
      <c r="F1401" s="25">
        <v>968.02</v>
      </c>
      <c r="G1401" s="28">
        <f>IF(LEFT(D1401,6)="CLIENT",IF(E1401=0,WORKDAY(A1401-1,1,Dias_Sem_Compensacao!$A$2:$A$500),WORKDAY(A1401,E1401,Dias_Sem_Compensacao!$A$2:$A$500)),"")</f>
        <v>46302</v>
      </c>
      <c r="H1401" s="25">
        <v>0</v>
      </c>
      <c r="I1401" s="28">
        <v>46301</v>
      </c>
      <c r="J1401" t="s">
        <v>1940</v>
      </c>
      <c r="K1401" t="s">
        <v>1941</v>
      </c>
    </row>
    <row r="1402" spans="1:11" hidden="1">
      <c r="A1402" s="28">
        <v>46301</v>
      </c>
      <c r="B1402" t="s">
        <v>186</v>
      </c>
      <c r="C1402" t="s">
        <v>203</v>
      </c>
      <c r="D1402" t="s">
        <v>217</v>
      </c>
      <c r="E1402">
        <f>IF(LEFT(D1402,6)="CLIENT",IFERROR(VLOOKUP(C1402,Config_Carteiras!$A:$B,2,FALSE),1),"")</f>
        <v>1</v>
      </c>
      <c r="F1402" s="25">
        <v>653.66999999999996</v>
      </c>
      <c r="G1402" s="28">
        <f>IF(LEFT(D1402,6)="CLIENT",IF(E1402=0,WORKDAY(A1402-1,1,Dias_Sem_Compensacao!$A$2:$A$500),WORKDAY(A1402,E1402,Dias_Sem_Compensacao!$A$2:$A$500)),"")</f>
        <v>46302</v>
      </c>
      <c r="H1402" s="25">
        <v>0</v>
      </c>
      <c r="I1402" s="28">
        <v>46301</v>
      </c>
      <c r="J1402" t="s">
        <v>1133</v>
      </c>
      <c r="K1402" t="s">
        <v>1134</v>
      </c>
    </row>
    <row r="1403" spans="1:11" hidden="1">
      <c r="A1403" s="28">
        <v>46301</v>
      </c>
      <c r="B1403" t="s">
        <v>186</v>
      </c>
      <c r="C1403" t="s">
        <v>203</v>
      </c>
      <c r="D1403" t="s">
        <v>217</v>
      </c>
      <c r="E1403">
        <f>IF(LEFT(D1403,6)="CLIENT",IFERROR(VLOOKUP(C1403,Config_Carteiras!$A:$B,2,FALSE),1),"")</f>
        <v>1</v>
      </c>
      <c r="F1403" s="25">
        <v>806</v>
      </c>
      <c r="G1403" s="28">
        <f>IF(LEFT(D1403,6)="CLIENT",IF(E1403=0,WORKDAY(A1403-1,1,Dias_Sem_Compensacao!$A$2:$A$500),WORKDAY(A1403,E1403,Dias_Sem_Compensacao!$A$2:$A$500)),"")</f>
        <v>46302</v>
      </c>
      <c r="H1403" s="25">
        <v>0</v>
      </c>
      <c r="I1403" s="28">
        <v>46301</v>
      </c>
      <c r="J1403" t="s">
        <v>1136</v>
      </c>
      <c r="K1403" t="s">
        <v>1137</v>
      </c>
    </row>
    <row r="1404" spans="1:11" hidden="1">
      <c r="A1404" s="28">
        <v>46301</v>
      </c>
      <c r="B1404" t="s">
        <v>186</v>
      </c>
      <c r="C1404" t="s">
        <v>203</v>
      </c>
      <c r="D1404" t="s">
        <v>217</v>
      </c>
      <c r="E1404">
        <f>IF(LEFT(D1404,6)="CLIENT",IFERROR(VLOOKUP(C1404,Config_Carteiras!$A:$B,2,FALSE),1),"")</f>
        <v>1</v>
      </c>
      <c r="F1404" s="25">
        <v>27221</v>
      </c>
      <c r="G1404" s="28">
        <f>IF(LEFT(D1404,6)="CLIENT",IF(E1404=0,WORKDAY(A1404-1,1,Dias_Sem_Compensacao!$A$2:$A$500),WORKDAY(A1404,E1404,Dias_Sem_Compensacao!$A$2:$A$500)),"")</f>
        <v>46302</v>
      </c>
      <c r="H1404" s="25">
        <v>0</v>
      </c>
      <c r="I1404" s="28">
        <v>46301</v>
      </c>
      <c r="J1404" t="s">
        <v>1138</v>
      </c>
      <c r="K1404" t="s">
        <v>1942</v>
      </c>
    </row>
    <row r="1405" spans="1:11" hidden="1">
      <c r="A1405" s="28">
        <v>46301</v>
      </c>
      <c r="B1405" t="s">
        <v>186</v>
      </c>
      <c r="C1405" t="s">
        <v>203</v>
      </c>
      <c r="D1405" t="s">
        <v>217</v>
      </c>
      <c r="E1405">
        <f>IF(LEFT(D1405,6)="CLIENT",IFERROR(VLOOKUP(C1405,Config_Carteiras!$A:$B,2,FALSE),1),"")</f>
        <v>1</v>
      </c>
      <c r="F1405" s="25">
        <v>480</v>
      </c>
      <c r="G1405" s="28">
        <f>IF(LEFT(D1405,6)="CLIENT",IF(E1405=0,WORKDAY(A1405-1,1,Dias_Sem_Compensacao!$A$2:$A$500),WORKDAY(A1405,E1405,Dias_Sem_Compensacao!$A$2:$A$500)),"")</f>
        <v>46302</v>
      </c>
      <c r="H1405" s="25">
        <v>0</v>
      </c>
      <c r="I1405" s="28">
        <v>46301</v>
      </c>
      <c r="J1405" t="s">
        <v>1943</v>
      </c>
      <c r="K1405" t="s">
        <v>1944</v>
      </c>
    </row>
    <row r="1406" spans="1:11" hidden="1">
      <c r="A1406" s="28">
        <v>46301</v>
      </c>
      <c r="B1406" t="s">
        <v>186</v>
      </c>
      <c r="C1406" t="s">
        <v>203</v>
      </c>
      <c r="D1406" t="s">
        <v>217</v>
      </c>
      <c r="E1406">
        <f>IF(LEFT(D1406,6)="CLIENT",IFERROR(VLOOKUP(C1406,Config_Carteiras!$A:$B,2,FALSE),1),"")</f>
        <v>1</v>
      </c>
      <c r="F1406" s="25">
        <v>1112</v>
      </c>
      <c r="G1406" s="28">
        <f>IF(LEFT(D1406,6)="CLIENT",IF(E1406=0,WORKDAY(A1406-1,1,Dias_Sem_Compensacao!$A$2:$A$500),WORKDAY(A1406,E1406,Dias_Sem_Compensacao!$A$2:$A$500)),"")</f>
        <v>46302</v>
      </c>
      <c r="H1406" s="25">
        <v>0</v>
      </c>
      <c r="I1406" s="28">
        <v>46301</v>
      </c>
      <c r="J1406" t="s">
        <v>1945</v>
      </c>
      <c r="K1406" t="s">
        <v>1946</v>
      </c>
    </row>
    <row r="1407" spans="1:11" hidden="1">
      <c r="A1407" s="28">
        <v>46301</v>
      </c>
      <c r="B1407" t="s">
        <v>186</v>
      </c>
      <c r="C1407" t="s">
        <v>203</v>
      </c>
      <c r="D1407" t="s">
        <v>217</v>
      </c>
      <c r="E1407">
        <f>IF(LEFT(D1407,6)="CLIENT",IFERROR(VLOOKUP(C1407,Config_Carteiras!$A:$B,2,FALSE),1),"")</f>
        <v>1</v>
      </c>
      <c r="F1407" s="25">
        <v>1117</v>
      </c>
      <c r="G1407" s="28">
        <f>IF(LEFT(D1407,6)="CLIENT",IF(E1407=0,WORKDAY(A1407-1,1,Dias_Sem_Compensacao!$A$2:$A$500),WORKDAY(A1407,E1407,Dias_Sem_Compensacao!$A$2:$A$500)),"")</f>
        <v>46302</v>
      </c>
      <c r="H1407" s="25">
        <v>0</v>
      </c>
      <c r="I1407" s="28">
        <v>46301</v>
      </c>
      <c r="J1407" t="s">
        <v>1325</v>
      </c>
      <c r="K1407" t="s">
        <v>1947</v>
      </c>
    </row>
    <row r="1408" spans="1:11" hidden="1">
      <c r="A1408" s="28">
        <v>46301</v>
      </c>
      <c r="B1408" t="s">
        <v>186</v>
      </c>
      <c r="C1408" t="s">
        <v>203</v>
      </c>
      <c r="D1408" t="s">
        <v>217</v>
      </c>
      <c r="E1408">
        <f>IF(LEFT(D1408,6)="CLIENT",IFERROR(VLOOKUP(C1408,Config_Carteiras!$A:$B,2,FALSE),1),"")</f>
        <v>1</v>
      </c>
      <c r="F1408" s="25">
        <v>1422.35</v>
      </c>
      <c r="G1408" s="28">
        <f>IF(LEFT(D1408,6)="CLIENT",IF(E1408=0,WORKDAY(A1408-1,1,Dias_Sem_Compensacao!$A$2:$A$500),WORKDAY(A1408,E1408,Dias_Sem_Compensacao!$A$2:$A$500)),"")</f>
        <v>46302</v>
      </c>
      <c r="H1408" s="25">
        <v>0</v>
      </c>
      <c r="I1408" s="28">
        <v>46301</v>
      </c>
      <c r="J1408" t="s">
        <v>1149</v>
      </c>
      <c r="K1408" t="s">
        <v>1150</v>
      </c>
    </row>
    <row r="1409" spans="1:11" hidden="1">
      <c r="A1409" s="28">
        <v>46301</v>
      </c>
      <c r="B1409" t="s">
        <v>186</v>
      </c>
      <c r="C1409" t="s">
        <v>203</v>
      </c>
      <c r="D1409" t="s">
        <v>217</v>
      </c>
      <c r="E1409">
        <f>IF(LEFT(D1409,6)="CLIENT",IFERROR(VLOOKUP(C1409,Config_Carteiras!$A:$B,2,FALSE),1),"")</f>
        <v>1</v>
      </c>
      <c r="F1409" s="25">
        <v>1080</v>
      </c>
      <c r="G1409" s="28">
        <f>IF(LEFT(D1409,6)="CLIENT",IF(E1409=0,WORKDAY(A1409-1,1,Dias_Sem_Compensacao!$A$2:$A$500),WORKDAY(A1409,E1409,Dias_Sem_Compensacao!$A$2:$A$500)),"")</f>
        <v>46302</v>
      </c>
      <c r="H1409" s="25">
        <v>0</v>
      </c>
      <c r="I1409" s="28">
        <v>46301</v>
      </c>
      <c r="J1409" t="s">
        <v>1151</v>
      </c>
      <c r="K1409" t="s">
        <v>1152</v>
      </c>
    </row>
    <row r="1410" spans="1:11" hidden="1">
      <c r="A1410" s="28">
        <v>46301</v>
      </c>
      <c r="B1410" t="s">
        <v>186</v>
      </c>
      <c r="C1410" t="s">
        <v>203</v>
      </c>
      <c r="D1410" t="s">
        <v>217</v>
      </c>
      <c r="E1410">
        <f>IF(LEFT(D1410,6)="CLIENT",IFERROR(VLOOKUP(C1410,Config_Carteiras!$A:$B,2,FALSE),1),"")</f>
        <v>1</v>
      </c>
      <c r="F1410" s="25">
        <v>717.6</v>
      </c>
      <c r="G1410" s="28">
        <f>IF(LEFT(D1410,6)="CLIENT",IF(E1410=0,WORKDAY(A1410-1,1,Dias_Sem_Compensacao!$A$2:$A$500),WORKDAY(A1410,E1410,Dias_Sem_Compensacao!$A$2:$A$500)),"")</f>
        <v>46302</v>
      </c>
      <c r="H1410" s="25">
        <v>0</v>
      </c>
      <c r="I1410" s="28">
        <v>46301</v>
      </c>
      <c r="J1410" t="s">
        <v>1948</v>
      </c>
      <c r="K1410" t="s">
        <v>1949</v>
      </c>
    </row>
    <row r="1411" spans="1:11" hidden="1">
      <c r="A1411" s="28">
        <v>46301</v>
      </c>
      <c r="B1411" t="s">
        <v>186</v>
      </c>
      <c r="C1411" t="s">
        <v>203</v>
      </c>
      <c r="D1411" t="s">
        <v>217</v>
      </c>
      <c r="E1411">
        <f>IF(LEFT(D1411,6)="CLIENT",IFERROR(VLOOKUP(C1411,Config_Carteiras!$A:$B,2,FALSE),1),"")</f>
        <v>1</v>
      </c>
      <c r="F1411" s="25">
        <v>1647.68</v>
      </c>
      <c r="G1411" s="28">
        <f>IF(LEFT(D1411,6)="CLIENT",IF(E1411=0,WORKDAY(A1411-1,1,Dias_Sem_Compensacao!$A$2:$A$500),WORKDAY(A1411,E1411,Dias_Sem_Compensacao!$A$2:$A$500)),"")</f>
        <v>46302</v>
      </c>
      <c r="H1411" s="25">
        <v>0</v>
      </c>
      <c r="I1411" s="28">
        <v>46301</v>
      </c>
      <c r="J1411" t="s">
        <v>1153</v>
      </c>
      <c r="K1411" t="s">
        <v>1154</v>
      </c>
    </row>
    <row r="1412" spans="1:11" hidden="1">
      <c r="A1412" s="28">
        <v>46301</v>
      </c>
      <c r="B1412" t="s">
        <v>186</v>
      </c>
      <c r="C1412" t="s">
        <v>203</v>
      </c>
      <c r="D1412" t="s">
        <v>217</v>
      </c>
      <c r="E1412">
        <f>IF(LEFT(D1412,6)="CLIENT",IFERROR(VLOOKUP(C1412,Config_Carteiras!$A:$B,2,FALSE),1),"")</f>
        <v>1</v>
      </c>
      <c r="F1412" s="25">
        <v>736</v>
      </c>
      <c r="G1412" s="28">
        <f>IF(LEFT(D1412,6)="CLIENT",IF(E1412=0,WORKDAY(A1412-1,1,Dias_Sem_Compensacao!$A$2:$A$500),WORKDAY(A1412,E1412,Dias_Sem_Compensacao!$A$2:$A$500)),"")</f>
        <v>46302</v>
      </c>
      <c r="H1412" s="25">
        <v>0</v>
      </c>
      <c r="I1412" s="28">
        <v>46301</v>
      </c>
      <c r="J1412" t="s">
        <v>1950</v>
      </c>
      <c r="K1412" t="s">
        <v>1951</v>
      </c>
    </row>
    <row r="1413" spans="1:11" hidden="1">
      <c r="A1413" s="28">
        <v>46301</v>
      </c>
      <c r="B1413" t="s">
        <v>186</v>
      </c>
      <c r="C1413" t="s">
        <v>203</v>
      </c>
      <c r="D1413" t="s">
        <v>217</v>
      </c>
      <c r="E1413">
        <f>IF(LEFT(D1413,6)="CLIENT",IFERROR(VLOOKUP(C1413,Config_Carteiras!$A:$B,2,FALSE),1),"")</f>
        <v>1</v>
      </c>
      <c r="F1413" s="25">
        <v>803</v>
      </c>
      <c r="G1413" s="28">
        <f>IF(LEFT(D1413,6)="CLIENT",IF(E1413=0,WORKDAY(A1413-1,1,Dias_Sem_Compensacao!$A$2:$A$500),WORKDAY(A1413,E1413,Dias_Sem_Compensacao!$A$2:$A$500)),"")</f>
        <v>46302</v>
      </c>
      <c r="H1413" s="25">
        <v>0</v>
      </c>
      <c r="I1413" s="28">
        <v>46301</v>
      </c>
      <c r="J1413" t="s">
        <v>1952</v>
      </c>
      <c r="K1413" t="s">
        <v>1953</v>
      </c>
    </row>
    <row r="1414" spans="1:11" hidden="1">
      <c r="A1414" s="28">
        <v>46301</v>
      </c>
      <c r="B1414" t="s">
        <v>186</v>
      </c>
      <c r="C1414" t="s">
        <v>203</v>
      </c>
      <c r="D1414" t="s">
        <v>217</v>
      </c>
      <c r="E1414">
        <f>IF(LEFT(D1414,6)="CLIENT",IFERROR(VLOOKUP(C1414,Config_Carteiras!$A:$B,2,FALSE),1),"")</f>
        <v>1</v>
      </c>
      <c r="F1414" s="25">
        <v>630</v>
      </c>
      <c r="G1414" s="28">
        <f>IF(LEFT(D1414,6)="CLIENT",IF(E1414=0,WORKDAY(A1414-1,1,Dias_Sem_Compensacao!$A$2:$A$500),WORKDAY(A1414,E1414,Dias_Sem_Compensacao!$A$2:$A$500)),"")</f>
        <v>46302</v>
      </c>
      <c r="H1414" s="25">
        <v>0</v>
      </c>
      <c r="I1414" s="28">
        <v>46301</v>
      </c>
      <c r="J1414" t="s">
        <v>1157</v>
      </c>
      <c r="K1414" t="s">
        <v>1158</v>
      </c>
    </row>
    <row r="1415" spans="1:11" hidden="1">
      <c r="A1415" s="28">
        <v>46301</v>
      </c>
      <c r="B1415" t="s">
        <v>186</v>
      </c>
      <c r="C1415" t="s">
        <v>203</v>
      </c>
      <c r="D1415" t="s">
        <v>217</v>
      </c>
      <c r="E1415">
        <f>IF(LEFT(D1415,6)="CLIENT",IFERROR(VLOOKUP(C1415,Config_Carteiras!$A:$B,2,FALSE),1),"")</f>
        <v>1</v>
      </c>
      <c r="F1415" s="25">
        <v>283</v>
      </c>
      <c r="G1415" s="28">
        <f>IF(LEFT(D1415,6)="CLIENT",IF(E1415=0,WORKDAY(A1415-1,1,Dias_Sem_Compensacao!$A$2:$A$500),WORKDAY(A1415,E1415,Dias_Sem_Compensacao!$A$2:$A$500)),"")</f>
        <v>46302</v>
      </c>
      <c r="H1415" s="25">
        <v>0</v>
      </c>
      <c r="I1415" s="28">
        <v>46301</v>
      </c>
      <c r="J1415" t="s">
        <v>1954</v>
      </c>
      <c r="K1415" t="s">
        <v>1955</v>
      </c>
    </row>
    <row r="1416" spans="1:11" hidden="1">
      <c r="A1416" s="28">
        <v>46301</v>
      </c>
      <c r="B1416" t="s">
        <v>186</v>
      </c>
      <c r="C1416" t="s">
        <v>203</v>
      </c>
      <c r="D1416" t="s">
        <v>217</v>
      </c>
      <c r="E1416">
        <f>IF(LEFT(D1416,6)="CLIENT",IFERROR(VLOOKUP(C1416,Config_Carteiras!$A:$B,2,FALSE),1),"")</f>
        <v>1</v>
      </c>
      <c r="F1416" s="25">
        <v>428</v>
      </c>
      <c r="G1416" s="28">
        <f>IF(LEFT(D1416,6)="CLIENT",IF(E1416=0,WORKDAY(A1416-1,1,Dias_Sem_Compensacao!$A$2:$A$500),WORKDAY(A1416,E1416,Dias_Sem_Compensacao!$A$2:$A$500)),"")</f>
        <v>46302</v>
      </c>
      <c r="H1416" s="25">
        <v>0</v>
      </c>
      <c r="I1416" s="28">
        <v>46301</v>
      </c>
      <c r="J1416" t="s">
        <v>1956</v>
      </c>
      <c r="K1416" t="s">
        <v>1957</v>
      </c>
    </row>
    <row r="1417" spans="1:11" hidden="1">
      <c r="A1417" s="28">
        <v>46301</v>
      </c>
      <c r="B1417" t="s">
        <v>186</v>
      </c>
      <c r="C1417" t="s">
        <v>203</v>
      </c>
      <c r="D1417" t="s">
        <v>217</v>
      </c>
      <c r="E1417">
        <f>IF(LEFT(D1417,6)="CLIENT",IFERROR(VLOOKUP(C1417,Config_Carteiras!$A:$B,2,FALSE),1),"")</f>
        <v>1</v>
      </c>
      <c r="F1417" s="25">
        <v>725</v>
      </c>
      <c r="G1417" s="28">
        <f>IF(LEFT(D1417,6)="CLIENT",IF(E1417=0,WORKDAY(A1417-1,1,Dias_Sem_Compensacao!$A$2:$A$500),WORKDAY(A1417,E1417,Dias_Sem_Compensacao!$A$2:$A$500)),"")</f>
        <v>46302</v>
      </c>
      <c r="H1417" s="25">
        <v>0</v>
      </c>
      <c r="I1417" s="28">
        <v>46301</v>
      </c>
      <c r="J1417" t="s">
        <v>1958</v>
      </c>
      <c r="K1417" t="s">
        <v>1959</v>
      </c>
    </row>
    <row r="1418" spans="1:11" hidden="1">
      <c r="A1418" s="28">
        <v>46301</v>
      </c>
      <c r="B1418" t="s">
        <v>186</v>
      </c>
      <c r="C1418" t="s">
        <v>203</v>
      </c>
      <c r="D1418" t="s">
        <v>217</v>
      </c>
      <c r="E1418">
        <f>IF(LEFT(D1418,6)="CLIENT",IFERROR(VLOOKUP(C1418,Config_Carteiras!$A:$B,2,FALSE),1),"")</f>
        <v>1</v>
      </c>
      <c r="F1418" s="25">
        <v>725</v>
      </c>
      <c r="G1418" s="28">
        <f>IF(LEFT(D1418,6)="CLIENT",IF(E1418=0,WORKDAY(A1418-1,1,Dias_Sem_Compensacao!$A$2:$A$500),WORKDAY(A1418,E1418,Dias_Sem_Compensacao!$A$2:$A$500)),"")</f>
        <v>46302</v>
      </c>
      <c r="H1418" s="25">
        <v>0</v>
      </c>
      <c r="I1418" s="28">
        <v>46301</v>
      </c>
      <c r="J1418" t="s">
        <v>1960</v>
      </c>
      <c r="K1418" t="s">
        <v>1961</v>
      </c>
    </row>
    <row r="1419" spans="1:11" hidden="1">
      <c r="A1419" s="28">
        <v>46301</v>
      </c>
      <c r="B1419" t="s">
        <v>186</v>
      </c>
      <c r="C1419" t="s">
        <v>203</v>
      </c>
      <c r="D1419" t="s">
        <v>217</v>
      </c>
      <c r="E1419">
        <f>IF(LEFT(D1419,6)="CLIENT",IFERROR(VLOOKUP(C1419,Config_Carteiras!$A:$B,2,FALSE),1),"")</f>
        <v>1</v>
      </c>
      <c r="F1419" s="25">
        <v>535.6</v>
      </c>
      <c r="G1419" s="28">
        <f>IF(LEFT(D1419,6)="CLIENT",IF(E1419=0,WORKDAY(A1419-1,1,Dias_Sem_Compensacao!$A$2:$A$500),WORKDAY(A1419,E1419,Dias_Sem_Compensacao!$A$2:$A$500)),"")</f>
        <v>46302</v>
      </c>
      <c r="H1419" s="25">
        <v>0</v>
      </c>
      <c r="I1419" s="28">
        <v>46301</v>
      </c>
      <c r="J1419" t="s">
        <v>1164</v>
      </c>
      <c r="K1419" t="s">
        <v>1165</v>
      </c>
    </row>
    <row r="1420" spans="1:11" hidden="1">
      <c r="A1420" s="28">
        <v>46301</v>
      </c>
      <c r="B1420" t="s">
        <v>186</v>
      </c>
      <c r="C1420" t="s">
        <v>203</v>
      </c>
      <c r="D1420" t="s">
        <v>217</v>
      </c>
      <c r="E1420">
        <f>IF(LEFT(D1420,6)="CLIENT",IFERROR(VLOOKUP(C1420,Config_Carteiras!$A:$B,2,FALSE),1),"")</f>
        <v>1</v>
      </c>
      <c r="F1420" s="25">
        <v>1436</v>
      </c>
      <c r="G1420" s="28">
        <f>IF(LEFT(D1420,6)="CLIENT",IF(E1420=0,WORKDAY(A1420-1,1,Dias_Sem_Compensacao!$A$2:$A$500),WORKDAY(A1420,E1420,Dias_Sem_Compensacao!$A$2:$A$500)),"")</f>
        <v>46302</v>
      </c>
      <c r="H1420" s="25">
        <v>0</v>
      </c>
      <c r="I1420" s="28">
        <v>46301</v>
      </c>
      <c r="J1420" t="s">
        <v>1962</v>
      </c>
      <c r="K1420" t="s">
        <v>1963</v>
      </c>
    </row>
    <row r="1421" spans="1:11" hidden="1">
      <c r="A1421" s="28">
        <v>46301</v>
      </c>
      <c r="B1421" t="s">
        <v>186</v>
      </c>
      <c r="C1421" t="s">
        <v>203</v>
      </c>
      <c r="D1421" t="s">
        <v>217</v>
      </c>
      <c r="E1421">
        <f>IF(LEFT(D1421,6)="CLIENT",IFERROR(VLOOKUP(C1421,Config_Carteiras!$A:$B,2,FALSE),1),"")</f>
        <v>1</v>
      </c>
      <c r="F1421" s="25">
        <v>1136.1600000000001</v>
      </c>
      <c r="G1421" s="28">
        <f>IF(LEFT(D1421,6)="CLIENT",IF(E1421=0,WORKDAY(A1421-1,1,Dias_Sem_Compensacao!$A$2:$A$500),WORKDAY(A1421,E1421,Dias_Sem_Compensacao!$A$2:$A$500)),"")</f>
        <v>46302</v>
      </c>
      <c r="H1421" s="25">
        <v>0</v>
      </c>
      <c r="I1421" s="28">
        <v>46301</v>
      </c>
      <c r="J1421" t="s">
        <v>1964</v>
      </c>
      <c r="K1421" t="s">
        <v>1965</v>
      </c>
    </row>
    <row r="1422" spans="1:11" hidden="1">
      <c r="A1422" s="28">
        <v>46301</v>
      </c>
      <c r="B1422" t="s">
        <v>186</v>
      </c>
      <c r="C1422" t="s">
        <v>203</v>
      </c>
      <c r="D1422" t="s">
        <v>217</v>
      </c>
      <c r="E1422">
        <f>IF(LEFT(D1422,6)="CLIENT",IFERROR(VLOOKUP(C1422,Config_Carteiras!$A:$B,2,FALSE),1),"")</f>
        <v>1</v>
      </c>
      <c r="F1422" s="25">
        <v>974.17</v>
      </c>
      <c r="G1422" s="28">
        <f>IF(LEFT(D1422,6)="CLIENT",IF(E1422=0,WORKDAY(A1422-1,1,Dias_Sem_Compensacao!$A$2:$A$500),WORKDAY(A1422,E1422,Dias_Sem_Compensacao!$A$2:$A$500)),"")</f>
        <v>46302</v>
      </c>
      <c r="H1422" s="25">
        <v>0</v>
      </c>
      <c r="I1422" s="28">
        <v>46301</v>
      </c>
      <c r="J1422" t="s">
        <v>1049</v>
      </c>
      <c r="K1422" t="s">
        <v>1050</v>
      </c>
    </row>
    <row r="1423" spans="1:11" hidden="1">
      <c r="A1423" s="28">
        <v>46301</v>
      </c>
      <c r="B1423" t="s">
        <v>186</v>
      </c>
      <c r="C1423" t="s">
        <v>203</v>
      </c>
      <c r="D1423" t="s">
        <v>217</v>
      </c>
      <c r="E1423">
        <f>IF(LEFT(D1423,6)="CLIENT",IFERROR(VLOOKUP(C1423,Config_Carteiras!$A:$B,2,FALSE),1),"")</f>
        <v>1</v>
      </c>
      <c r="F1423" s="25">
        <v>62995</v>
      </c>
      <c r="G1423" s="28">
        <f>IF(LEFT(D1423,6)="CLIENT",IF(E1423=0,WORKDAY(A1423-1,1,Dias_Sem_Compensacao!$A$2:$A$500),WORKDAY(A1423,E1423,Dias_Sem_Compensacao!$A$2:$A$500)),"")</f>
        <v>46302</v>
      </c>
      <c r="H1423" s="25">
        <v>0</v>
      </c>
      <c r="I1423" s="28">
        <v>46301</v>
      </c>
      <c r="J1423" t="s">
        <v>1966</v>
      </c>
      <c r="K1423" t="s">
        <v>1967</v>
      </c>
    </row>
    <row r="1424" spans="1:11" hidden="1">
      <c r="A1424" s="28">
        <v>46301</v>
      </c>
      <c r="B1424" t="s">
        <v>186</v>
      </c>
      <c r="C1424" t="s">
        <v>203</v>
      </c>
      <c r="D1424" t="s">
        <v>217</v>
      </c>
      <c r="E1424">
        <f>IF(LEFT(D1424,6)="CLIENT",IFERROR(VLOOKUP(C1424,Config_Carteiras!$A:$B,2,FALSE),1),"")</f>
        <v>1</v>
      </c>
      <c r="F1424" s="25">
        <v>23826.6</v>
      </c>
      <c r="G1424" s="28">
        <f>IF(LEFT(D1424,6)="CLIENT",IF(E1424=0,WORKDAY(A1424-1,1,Dias_Sem_Compensacao!$A$2:$A$500),WORKDAY(A1424,E1424,Dias_Sem_Compensacao!$A$2:$A$500)),"")</f>
        <v>46302</v>
      </c>
      <c r="H1424" s="25">
        <v>0</v>
      </c>
      <c r="I1424" s="28">
        <v>46301</v>
      </c>
      <c r="J1424" t="s">
        <v>1968</v>
      </c>
      <c r="K1424" t="s">
        <v>1969</v>
      </c>
    </row>
    <row r="1425" spans="1:11" hidden="1">
      <c r="A1425" s="28">
        <v>46301</v>
      </c>
      <c r="B1425" t="s">
        <v>186</v>
      </c>
      <c r="C1425" t="s">
        <v>203</v>
      </c>
      <c r="D1425" t="s">
        <v>217</v>
      </c>
      <c r="E1425">
        <f>IF(LEFT(D1425,6)="CLIENT",IFERROR(VLOOKUP(C1425,Config_Carteiras!$A:$B,2,FALSE),1),"")</f>
        <v>1</v>
      </c>
      <c r="F1425" s="25">
        <v>641</v>
      </c>
      <c r="G1425" s="28">
        <f>IF(LEFT(D1425,6)="CLIENT",IF(E1425=0,WORKDAY(A1425-1,1,Dias_Sem_Compensacao!$A$2:$A$500),WORKDAY(A1425,E1425,Dias_Sem_Compensacao!$A$2:$A$500)),"")</f>
        <v>46302</v>
      </c>
      <c r="H1425" s="25">
        <v>0</v>
      </c>
      <c r="I1425" s="28">
        <v>46301</v>
      </c>
      <c r="J1425" t="s">
        <v>1168</v>
      </c>
      <c r="K1425" t="s">
        <v>1169</v>
      </c>
    </row>
    <row r="1426" spans="1:11" hidden="1">
      <c r="A1426" s="28">
        <v>46301</v>
      </c>
      <c r="B1426" t="s">
        <v>186</v>
      </c>
      <c r="C1426" t="s">
        <v>203</v>
      </c>
      <c r="D1426" t="s">
        <v>217</v>
      </c>
      <c r="E1426">
        <f>IF(LEFT(D1426,6)="CLIENT",IFERROR(VLOOKUP(C1426,Config_Carteiras!$A:$B,2,FALSE),1),"")</f>
        <v>1</v>
      </c>
      <c r="F1426" s="25">
        <v>1130</v>
      </c>
      <c r="G1426" s="28">
        <f>IF(LEFT(D1426,6)="CLIENT",IF(E1426=0,WORKDAY(A1426-1,1,Dias_Sem_Compensacao!$A$2:$A$500),WORKDAY(A1426,E1426,Dias_Sem_Compensacao!$A$2:$A$500)),"")</f>
        <v>46302</v>
      </c>
      <c r="H1426" s="25">
        <v>0</v>
      </c>
      <c r="I1426" s="28">
        <v>46301</v>
      </c>
      <c r="J1426" t="s">
        <v>1970</v>
      </c>
      <c r="K1426" t="s">
        <v>1971</v>
      </c>
    </row>
    <row r="1427" spans="1:11" hidden="1">
      <c r="A1427" s="28">
        <v>46301</v>
      </c>
      <c r="B1427" t="s">
        <v>186</v>
      </c>
      <c r="C1427" t="s">
        <v>203</v>
      </c>
      <c r="D1427" t="s">
        <v>217</v>
      </c>
      <c r="E1427">
        <f>IF(LEFT(D1427,6)="CLIENT",IFERROR(VLOOKUP(C1427,Config_Carteiras!$A:$B,2,FALSE),1),"")</f>
        <v>1</v>
      </c>
      <c r="F1427" s="25">
        <v>14154.61</v>
      </c>
      <c r="G1427" s="28">
        <f>IF(LEFT(D1427,6)="CLIENT",IF(E1427=0,WORKDAY(A1427-1,1,Dias_Sem_Compensacao!$A$2:$A$500),WORKDAY(A1427,E1427,Dias_Sem_Compensacao!$A$2:$A$500)),"")</f>
        <v>46302</v>
      </c>
      <c r="H1427" s="25">
        <v>0</v>
      </c>
      <c r="I1427" s="28">
        <v>46301</v>
      </c>
      <c r="J1427" t="s">
        <v>1972</v>
      </c>
      <c r="K1427" t="s">
        <v>1973</v>
      </c>
    </row>
    <row r="1428" spans="1:11" hidden="1">
      <c r="A1428" s="28">
        <v>46301</v>
      </c>
      <c r="B1428" t="s">
        <v>186</v>
      </c>
      <c r="C1428" t="s">
        <v>203</v>
      </c>
      <c r="D1428" t="s">
        <v>217</v>
      </c>
      <c r="E1428">
        <f>IF(LEFT(D1428,6)="CLIENT",IFERROR(VLOOKUP(C1428,Config_Carteiras!$A:$B,2,FALSE),1),"")</f>
        <v>1</v>
      </c>
      <c r="F1428" s="25">
        <v>1170.8699999999999</v>
      </c>
      <c r="G1428" s="28">
        <f>IF(LEFT(D1428,6)="CLIENT",IF(E1428=0,WORKDAY(A1428-1,1,Dias_Sem_Compensacao!$A$2:$A$500),WORKDAY(A1428,E1428,Dias_Sem_Compensacao!$A$2:$A$500)),"")</f>
        <v>46302</v>
      </c>
      <c r="H1428" s="25">
        <v>0</v>
      </c>
      <c r="I1428" s="28">
        <v>46301</v>
      </c>
      <c r="J1428" t="s">
        <v>1974</v>
      </c>
      <c r="K1428" t="s">
        <v>1975</v>
      </c>
    </row>
    <row r="1429" spans="1:11" hidden="1">
      <c r="A1429" s="28">
        <v>46301</v>
      </c>
      <c r="B1429" t="s">
        <v>186</v>
      </c>
      <c r="C1429" t="s">
        <v>203</v>
      </c>
      <c r="D1429" t="s">
        <v>217</v>
      </c>
      <c r="E1429">
        <f>IF(LEFT(D1429,6)="CLIENT",IFERROR(VLOOKUP(C1429,Config_Carteiras!$A:$B,2,FALSE),1),"")</f>
        <v>1</v>
      </c>
      <c r="F1429" s="25">
        <v>552</v>
      </c>
      <c r="G1429" s="28">
        <f>IF(LEFT(D1429,6)="CLIENT",IF(E1429=0,WORKDAY(A1429-1,1,Dias_Sem_Compensacao!$A$2:$A$500),WORKDAY(A1429,E1429,Dias_Sem_Compensacao!$A$2:$A$500)),"")</f>
        <v>46302</v>
      </c>
      <c r="H1429" s="25">
        <v>0</v>
      </c>
      <c r="I1429" s="28">
        <v>46301</v>
      </c>
      <c r="J1429" t="s">
        <v>1172</v>
      </c>
      <c r="K1429" t="s">
        <v>1173</v>
      </c>
    </row>
    <row r="1430" spans="1:11" hidden="1">
      <c r="A1430" s="28">
        <v>46301</v>
      </c>
      <c r="B1430" t="s">
        <v>186</v>
      </c>
      <c r="C1430" t="s">
        <v>203</v>
      </c>
      <c r="D1430" t="s">
        <v>217</v>
      </c>
      <c r="E1430">
        <f>IF(LEFT(D1430,6)="CLIENT",IFERROR(VLOOKUP(C1430,Config_Carteiras!$A:$B,2,FALSE),1),"")</f>
        <v>1</v>
      </c>
      <c r="F1430" s="25">
        <v>866</v>
      </c>
      <c r="G1430" s="28">
        <f>IF(LEFT(D1430,6)="CLIENT",IF(E1430=0,WORKDAY(A1430-1,1,Dias_Sem_Compensacao!$A$2:$A$500),WORKDAY(A1430,E1430,Dias_Sem_Compensacao!$A$2:$A$500)),"")</f>
        <v>46302</v>
      </c>
      <c r="H1430" s="25">
        <v>0</v>
      </c>
      <c r="I1430" s="28">
        <v>46301</v>
      </c>
      <c r="J1430" t="s">
        <v>1176</v>
      </c>
      <c r="K1430" t="s">
        <v>1177</v>
      </c>
    </row>
    <row r="1431" spans="1:11" hidden="1">
      <c r="A1431" s="28">
        <v>46301</v>
      </c>
      <c r="B1431" t="s">
        <v>186</v>
      </c>
      <c r="C1431" t="s">
        <v>203</v>
      </c>
      <c r="D1431" t="s">
        <v>217</v>
      </c>
      <c r="E1431">
        <f>IF(LEFT(D1431,6)="CLIENT",IFERROR(VLOOKUP(C1431,Config_Carteiras!$A:$B,2,FALSE),1),"")</f>
        <v>1</v>
      </c>
      <c r="F1431" s="25">
        <v>486</v>
      </c>
      <c r="G1431" s="28">
        <f>IF(LEFT(D1431,6)="CLIENT",IF(E1431=0,WORKDAY(A1431-1,1,Dias_Sem_Compensacao!$A$2:$A$500),WORKDAY(A1431,E1431,Dias_Sem_Compensacao!$A$2:$A$500)),"")</f>
        <v>46302</v>
      </c>
      <c r="H1431" s="25">
        <v>0</v>
      </c>
      <c r="I1431" s="28">
        <v>46301</v>
      </c>
      <c r="J1431" t="s">
        <v>1178</v>
      </c>
      <c r="K1431" t="s">
        <v>1179</v>
      </c>
    </row>
    <row r="1432" spans="1:11" hidden="1">
      <c r="A1432" s="28">
        <v>46301</v>
      </c>
      <c r="B1432" t="s">
        <v>186</v>
      </c>
      <c r="C1432" t="s">
        <v>203</v>
      </c>
      <c r="D1432" t="s">
        <v>217</v>
      </c>
      <c r="E1432">
        <f>IF(LEFT(D1432,6)="CLIENT",IFERROR(VLOOKUP(C1432,Config_Carteiras!$A:$B,2,FALSE),1),"")</f>
        <v>1</v>
      </c>
      <c r="F1432" s="25">
        <v>1632</v>
      </c>
      <c r="G1432" s="28">
        <f>IF(LEFT(D1432,6)="CLIENT",IF(E1432=0,WORKDAY(A1432-1,1,Dias_Sem_Compensacao!$A$2:$A$500),WORKDAY(A1432,E1432,Dias_Sem_Compensacao!$A$2:$A$500)),"")</f>
        <v>46302</v>
      </c>
      <c r="H1432" s="25">
        <v>0</v>
      </c>
      <c r="I1432" s="28">
        <v>46301</v>
      </c>
      <c r="J1432" t="s">
        <v>1976</v>
      </c>
      <c r="K1432" t="s">
        <v>1977</v>
      </c>
    </row>
    <row r="1433" spans="1:11" hidden="1">
      <c r="A1433" s="28">
        <v>46301</v>
      </c>
      <c r="B1433" t="s">
        <v>186</v>
      </c>
      <c r="C1433" t="s">
        <v>203</v>
      </c>
      <c r="D1433" t="s">
        <v>217</v>
      </c>
      <c r="E1433">
        <f>IF(LEFT(D1433,6)="CLIENT",IFERROR(VLOOKUP(C1433,Config_Carteiras!$A:$B,2,FALSE),1),"")</f>
        <v>1</v>
      </c>
      <c r="F1433" s="25">
        <v>1510</v>
      </c>
      <c r="G1433" s="28">
        <f>IF(LEFT(D1433,6)="CLIENT",IF(E1433=0,WORKDAY(A1433-1,1,Dias_Sem_Compensacao!$A$2:$A$500),WORKDAY(A1433,E1433,Dias_Sem_Compensacao!$A$2:$A$500)),"")</f>
        <v>46302</v>
      </c>
      <c r="H1433" s="25">
        <v>0</v>
      </c>
      <c r="I1433" s="28">
        <v>46301</v>
      </c>
      <c r="J1433" t="s">
        <v>1180</v>
      </c>
      <c r="K1433" t="s">
        <v>1181</v>
      </c>
    </row>
    <row r="1434" spans="1:11" hidden="1">
      <c r="A1434" s="28">
        <v>46301</v>
      </c>
      <c r="B1434" t="s">
        <v>186</v>
      </c>
      <c r="C1434" t="s">
        <v>203</v>
      </c>
      <c r="D1434" t="s">
        <v>217</v>
      </c>
      <c r="E1434">
        <f>IF(LEFT(D1434,6)="CLIENT",IFERROR(VLOOKUP(C1434,Config_Carteiras!$A:$B,2,FALSE),1),"")</f>
        <v>1</v>
      </c>
      <c r="F1434" s="25">
        <v>1056</v>
      </c>
      <c r="G1434" s="28">
        <f>IF(LEFT(D1434,6)="CLIENT",IF(E1434=0,WORKDAY(A1434-1,1,Dias_Sem_Compensacao!$A$2:$A$500),WORKDAY(A1434,E1434,Dias_Sem_Compensacao!$A$2:$A$500)),"")</f>
        <v>46302</v>
      </c>
      <c r="H1434" s="25">
        <v>0</v>
      </c>
      <c r="I1434" s="28">
        <v>46301</v>
      </c>
      <c r="J1434" t="s">
        <v>718</v>
      </c>
      <c r="K1434" t="s">
        <v>1978</v>
      </c>
    </row>
    <row r="1435" spans="1:11" hidden="1">
      <c r="A1435" s="28">
        <v>46301</v>
      </c>
      <c r="B1435" t="s">
        <v>186</v>
      </c>
      <c r="C1435" t="s">
        <v>203</v>
      </c>
      <c r="D1435" t="s">
        <v>217</v>
      </c>
      <c r="E1435">
        <f>IF(LEFT(D1435,6)="CLIENT",IFERROR(VLOOKUP(C1435,Config_Carteiras!$A:$B,2,FALSE),1),"")</f>
        <v>1</v>
      </c>
      <c r="F1435" s="25">
        <v>796</v>
      </c>
      <c r="G1435" s="28">
        <f>IF(LEFT(D1435,6)="CLIENT",IF(E1435=0,WORKDAY(A1435-1,1,Dias_Sem_Compensacao!$A$2:$A$500),WORKDAY(A1435,E1435,Dias_Sem_Compensacao!$A$2:$A$500)),"")</f>
        <v>46302</v>
      </c>
      <c r="H1435" s="25">
        <v>0</v>
      </c>
      <c r="I1435" s="28">
        <v>46301</v>
      </c>
      <c r="J1435" t="s">
        <v>298</v>
      </c>
      <c r="K1435" t="s">
        <v>1979</v>
      </c>
    </row>
    <row r="1436" spans="1:11" hidden="1">
      <c r="A1436" s="28">
        <v>46301</v>
      </c>
      <c r="B1436" t="s">
        <v>186</v>
      </c>
      <c r="C1436" t="s">
        <v>203</v>
      </c>
      <c r="D1436" t="s">
        <v>217</v>
      </c>
      <c r="E1436">
        <f>IF(LEFT(D1436,6)="CLIENT",IFERROR(VLOOKUP(C1436,Config_Carteiras!$A:$B,2,FALSE),1),"")</f>
        <v>1</v>
      </c>
      <c r="F1436" s="25">
        <v>514</v>
      </c>
      <c r="G1436" s="28">
        <f>IF(LEFT(D1436,6)="CLIENT",IF(E1436=0,WORKDAY(A1436-1,1,Dias_Sem_Compensacao!$A$2:$A$500),WORKDAY(A1436,E1436,Dias_Sem_Compensacao!$A$2:$A$500)),"")</f>
        <v>46302</v>
      </c>
      <c r="H1436" s="25">
        <v>0</v>
      </c>
      <c r="I1436" s="28">
        <v>46301</v>
      </c>
      <c r="J1436" t="s">
        <v>1980</v>
      </c>
      <c r="K1436" t="s">
        <v>1981</v>
      </c>
    </row>
    <row r="1437" spans="1:11" hidden="1">
      <c r="A1437" s="28">
        <v>46301</v>
      </c>
      <c r="B1437" t="s">
        <v>186</v>
      </c>
      <c r="C1437" t="s">
        <v>203</v>
      </c>
      <c r="D1437" t="s">
        <v>217</v>
      </c>
      <c r="E1437">
        <f>IF(LEFT(D1437,6)="CLIENT",IFERROR(VLOOKUP(C1437,Config_Carteiras!$A:$B,2,FALSE),1),"")</f>
        <v>1</v>
      </c>
      <c r="F1437" s="25">
        <v>475</v>
      </c>
      <c r="G1437" s="28">
        <f>IF(LEFT(D1437,6)="CLIENT",IF(E1437=0,WORKDAY(A1437-1,1,Dias_Sem_Compensacao!$A$2:$A$500),WORKDAY(A1437,E1437,Dias_Sem_Compensacao!$A$2:$A$500)),"")</f>
        <v>46302</v>
      </c>
      <c r="H1437" s="25">
        <v>0</v>
      </c>
      <c r="I1437" s="28">
        <v>46301</v>
      </c>
      <c r="J1437" t="s">
        <v>1982</v>
      </c>
      <c r="K1437" t="s">
        <v>1983</v>
      </c>
    </row>
    <row r="1438" spans="1:11" hidden="1">
      <c r="A1438" s="28">
        <v>46301</v>
      </c>
      <c r="B1438" t="s">
        <v>186</v>
      </c>
      <c r="C1438" t="s">
        <v>203</v>
      </c>
      <c r="D1438" t="s">
        <v>217</v>
      </c>
      <c r="E1438">
        <f>IF(LEFT(D1438,6)="CLIENT",IFERROR(VLOOKUP(C1438,Config_Carteiras!$A:$B,2,FALSE),1),"")</f>
        <v>1</v>
      </c>
      <c r="F1438" s="25">
        <v>1156.8699999999999</v>
      </c>
      <c r="G1438" s="28">
        <f>IF(LEFT(D1438,6)="CLIENT",IF(E1438=0,WORKDAY(A1438-1,1,Dias_Sem_Compensacao!$A$2:$A$500),WORKDAY(A1438,E1438,Dias_Sem_Compensacao!$A$2:$A$500)),"")</f>
        <v>46302</v>
      </c>
      <c r="H1438" s="25">
        <v>0</v>
      </c>
      <c r="I1438" s="28">
        <v>46301</v>
      </c>
      <c r="J1438" t="s">
        <v>1191</v>
      </c>
      <c r="K1438" t="s">
        <v>1192</v>
      </c>
    </row>
    <row r="1439" spans="1:11" hidden="1">
      <c r="A1439" s="28">
        <v>46301</v>
      </c>
      <c r="B1439" t="s">
        <v>186</v>
      </c>
      <c r="C1439" t="s">
        <v>203</v>
      </c>
      <c r="D1439" t="s">
        <v>217</v>
      </c>
      <c r="E1439">
        <f>IF(LEFT(D1439,6)="CLIENT",IFERROR(VLOOKUP(C1439,Config_Carteiras!$A:$B,2,FALSE),1),"")</f>
        <v>1</v>
      </c>
      <c r="F1439" s="25">
        <v>517.79</v>
      </c>
      <c r="G1439" s="28">
        <f>IF(LEFT(D1439,6)="CLIENT",IF(E1439=0,WORKDAY(A1439-1,1,Dias_Sem_Compensacao!$A$2:$A$500),WORKDAY(A1439,E1439,Dias_Sem_Compensacao!$A$2:$A$500)),"")</f>
        <v>46302</v>
      </c>
      <c r="H1439" s="25">
        <v>0</v>
      </c>
      <c r="I1439" s="28">
        <v>46301</v>
      </c>
      <c r="J1439" t="s">
        <v>1193</v>
      </c>
      <c r="K1439" t="s">
        <v>1194</v>
      </c>
    </row>
    <row r="1440" spans="1:11" hidden="1">
      <c r="A1440" s="28">
        <v>46301</v>
      </c>
      <c r="B1440" t="s">
        <v>186</v>
      </c>
      <c r="C1440" t="s">
        <v>203</v>
      </c>
      <c r="D1440" t="s">
        <v>217</v>
      </c>
      <c r="E1440">
        <f>IF(LEFT(D1440,6)="CLIENT",IFERROR(VLOOKUP(C1440,Config_Carteiras!$A:$B,2,FALSE),1),"")</f>
        <v>1</v>
      </c>
      <c r="F1440" s="25">
        <v>262</v>
      </c>
      <c r="G1440" s="28">
        <f>IF(LEFT(D1440,6)="CLIENT",IF(E1440=0,WORKDAY(A1440-1,1,Dias_Sem_Compensacao!$A$2:$A$500),WORKDAY(A1440,E1440,Dias_Sem_Compensacao!$A$2:$A$500)),"")</f>
        <v>46302</v>
      </c>
      <c r="H1440" s="25">
        <v>0</v>
      </c>
      <c r="I1440" s="28">
        <v>46301</v>
      </c>
      <c r="J1440" t="s">
        <v>1195</v>
      </c>
      <c r="K1440" t="s">
        <v>1196</v>
      </c>
    </row>
    <row r="1441" spans="1:11" hidden="1">
      <c r="A1441" s="28">
        <v>46301</v>
      </c>
      <c r="B1441" t="s">
        <v>186</v>
      </c>
      <c r="C1441" t="s">
        <v>203</v>
      </c>
      <c r="D1441" t="s">
        <v>217</v>
      </c>
      <c r="E1441">
        <f>IF(LEFT(D1441,6)="CLIENT",IFERROR(VLOOKUP(C1441,Config_Carteiras!$A:$B,2,FALSE),1),"")</f>
        <v>1</v>
      </c>
      <c r="F1441" s="25">
        <v>371.6</v>
      </c>
      <c r="G1441" s="28">
        <f>IF(LEFT(D1441,6)="CLIENT",IF(E1441=0,WORKDAY(A1441-1,1,Dias_Sem_Compensacao!$A$2:$A$500),WORKDAY(A1441,E1441,Dias_Sem_Compensacao!$A$2:$A$500)),"")</f>
        <v>46302</v>
      </c>
      <c r="H1441" s="25">
        <v>0</v>
      </c>
      <c r="I1441" s="28">
        <v>46301</v>
      </c>
      <c r="J1441" t="s">
        <v>1984</v>
      </c>
      <c r="K1441" t="s">
        <v>1985</v>
      </c>
    </row>
    <row r="1442" spans="1:11" hidden="1">
      <c r="A1442" s="28">
        <v>46301</v>
      </c>
      <c r="B1442" t="s">
        <v>186</v>
      </c>
      <c r="C1442" t="s">
        <v>203</v>
      </c>
      <c r="D1442" t="s">
        <v>217</v>
      </c>
      <c r="E1442">
        <f>IF(LEFT(D1442,6)="CLIENT",IFERROR(VLOOKUP(C1442,Config_Carteiras!$A:$B,2,FALSE),1),"")</f>
        <v>1</v>
      </c>
      <c r="F1442" s="25">
        <v>545.01</v>
      </c>
      <c r="G1442" s="28">
        <f>IF(LEFT(D1442,6)="CLIENT",IF(E1442=0,WORKDAY(A1442-1,1,Dias_Sem_Compensacao!$A$2:$A$500),WORKDAY(A1442,E1442,Dias_Sem_Compensacao!$A$2:$A$500)),"")</f>
        <v>46302</v>
      </c>
      <c r="H1442" s="25">
        <v>0</v>
      </c>
      <c r="I1442" s="28">
        <v>46301</v>
      </c>
      <c r="J1442" t="s">
        <v>1199</v>
      </c>
      <c r="K1442" t="s">
        <v>1200</v>
      </c>
    </row>
    <row r="1443" spans="1:11" hidden="1">
      <c r="A1443" s="28">
        <v>46301</v>
      </c>
      <c r="B1443" t="s">
        <v>186</v>
      </c>
      <c r="C1443" t="s">
        <v>203</v>
      </c>
      <c r="D1443" t="s">
        <v>217</v>
      </c>
      <c r="E1443">
        <f>IF(LEFT(D1443,6)="CLIENT",IFERROR(VLOOKUP(C1443,Config_Carteiras!$A:$B,2,FALSE),1),"")</f>
        <v>1</v>
      </c>
      <c r="F1443" s="25">
        <v>15375</v>
      </c>
      <c r="G1443" s="28">
        <f>IF(LEFT(D1443,6)="CLIENT",IF(E1443=0,WORKDAY(A1443-1,1,Dias_Sem_Compensacao!$A$2:$A$500),WORKDAY(A1443,E1443,Dias_Sem_Compensacao!$A$2:$A$500)),"")</f>
        <v>46302</v>
      </c>
      <c r="H1443" s="25">
        <v>0</v>
      </c>
      <c r="I1443" s="28">
        <v>46301</v>
      </c>
      <c r="J1443" t="s">
        <v>1201</v>
      </c>
      <c r="K1443" t="s">
        <v>1202</v>
      </c>
    </row>
    <row r="1444" spans="1:11" hidden="1">
      <c r="A1444" s="28">
        <v>46301</v>
      </c>
      <c r="B1444" t="s">
        <v>186</v>
      </c>
      <c r="C1444" t="s">
        <v>203</v>
      </c>
      <c r="D1444" t="s">
        <v>217</v>
      </c>
      <c r="E1444">
        <f>IF(LEFT(D1444,6)="CLIENT",IFERROR(VLOOKUP(C1444,Config_Carteiras!$A:$B,2,FALSE),1),"")</f>
        <v>1</v>
      </c>
      <c r="F1444" s="25">
        <v>15925</v>
      </c>
      <c r="G1444" s="28">
        <f>IF(LEFT(D1444,6)="CLIENT",IF(E1444=0,WORKDAY(A1444-1,1,Dias_Sem_Compensacao!$A$2:$A$500),WORKDAY(A1444,E1444,Dias_Sem_Compensacao!$A$2:$A$500)),"")</f>
        <v>46302</v>
      </c>
      <c r="H1444" s="25">
        <v>0</v>
      </c>
      <c r="I1444" s="28">
        <v>46301</v>
      </c>
      <c r="K1444" t="s">
        <v>1203</v>
      </c>
    </row>
    <row r="1445" spans="1:11" hidden="1">
      <c r="A1445" s="28">
        <v>46301</v>
      </c>
      <c r="B1445" t="s">
        <v>186</v>
      </c>
      <c r="C1445" t="s">
        <v>203</v>
      </c>
      <c r="D1445" t="s">
        <v>217</v>
      </c>
      <c r="E1445">
        <f>IF(LEFT(D1445,6)="CLIENT",IFERROR(VLOOKUP(C1445,Config_Carteiras!$A:$B,2,FALSE),1),"")</f>
        <v>1</v>
      </c>
      <c r="F1445" s="25">
        <v>808.08</v>
      </c>
      <c r="G1445" s="28">
        <f>IF(LEFT(D1445,6)="CLIENT",IF(E1445=0,WORKDAY(A1445-1,1,Dias_Sem_Compensacao!$A$2:$A$500),WORKDAY(A1445,E1445,Dias_Sem_Compensacao!$A$2:$A$500)),"")</f>
        <v>46302</v>
      </c>
      <c r="H1445" s="25">
        <v>0</v>
      </c>
      <c r="I1445" s="28">
        <v>46301</v>
      </c>
      <c r="J1445" t="s">
        <v>1986</v>
      </c>
      <c r="K1445" t="s">
        <v>1987</v>
      </c>
    </row>
    <row r="1446" spans="1:11" hidden="1">
      <c r="A1446" s="28">
        <v>46301</v>
      </c>
      <c r="B1446" t="s">
        <v>186</v>
      </c>
      <c r="C1446" t="s">
        <v>203</v>
      </c>
      <c r="D1446" t="s">
        <v>217</v>
      </c>
      <c r="E1446">
        <f>IF(LEFT(D1446,6)="CLIENT",IFERROR(VLOOKUP(C1446,Config_Carteiras!$A:$B,2,FALSE),1),"")</f>
        <v>1</v>
      </c>
      <c r="F1446" s="25">
        <v>3046</v>
      </c>
      <c r="G1446" s="28">
        <f>IF(LEFT(D1446,6)="CLIENT",IF(E1446=0,WORKDAY(A1446-1,1,Dias_Sem_Compensacao!$A$2:$A$500),WORKDAY(A1446,E1446,Dias_Sem_Compensacao!$A$2:$A$500)),"")</f>
        <v>46302</v>
      </c>
      <c r="H1446" s="25">
        <v>0</v>
      </c>
      <c r="I1446" s="28">
        <v>46301</v>
      </c>
      <c r="K1446" t="s">
        <v>1988</v>
      </c>
    </row>
    <row r="1447" spans="1:11" hidden="1">
      <c r="A1447" s="28">
        <v>46301</v>
      </c>
      <c r="B1447" t="s">
        <v>186</v>
      </c>
      <c r="C1447" t="s">
        <v>203</v>
      </c>
      <c r="D1447" t="s">
        <v>217</v>
      </c>
      <c r="E1447">
        <f>IF(LEFT(D1447,6)="CLIENT",IFERROR(VLOOKUP(C1447,Config_Carteiras!$A:$B,2,FALSE),1),"")</f>
        <v>1</v>
      </c>
      <c r="F1447" s="25">
        <v>804.47</v>
      </c>
      <c r="G1447" s="28">
        <f>IF(LEFT(D1447,6)="CLIENT",IF(E1447=0,WORKDAY(A1447-1,1,Dias_Sem_Compensacao!$A$2:$A$500),WORKDAY(A1447,E1447,Dias_Sem_Compensacao!$A$2:$A$500)),"")</f>
        <v>46302</v>
      </c>
      <c r="H1447" s="25">
        <v>0</v>
      </c>
      <c r="I1447" s="28">
        <v>46301</v>
      </c>
      <c r="J1447" t="s">
        <v>1107</v>
      </c>
      <c r="K1447" t="s">
        <v>1205</v>
      </c>
    </row>
    <row r="1448" spans="1:11" hidden="1">
      <c r="A1448" s="28">
        <v>46301</v>
      </c>
      <c r="B1448" t="s">
        <v>186</v>
      </c>
      <c r="C1448" t="s">
        <v>203</v>
      </c>
      <c r="D1448" t="s">
        <v>217</v>
      </c>
      <c r="E1448">
        <f>IF(LEFT(D1448,6)="CLIENT",IFERROR(VLOOKUP(C1448,Config_Carteiras!$A:$B,2,FALSE),1),"")</f>
        <v>1</v>
      </c>
      <c r="F1448" s="25">
        <v>1411</v>
      </c>
      <c r="G1448" s="28">
        <f>IF(LEFT(D1448,6)="CLIENT",IF(E1448=0,WORKDAY(A1448-1,1,Dias_Sem_Compensacao!$A$2:$A$500),WORKDAY(A1448,E1448,Dias_Sem_Compensacao!$A$2:$A$500)),"")</f>
        <v>46302</v>
      </c>
      <c r="H1448" s="25">
        <v>0</v>
      </c>
      <c r="I1448" s="28">
        <v>46301</v>
      </c>
      <c r="J1448" t="s">
        <v>1206</v>
      </c>
      <c r="K1448" t="s">
        <v>1207</v>
      </c>
    </row>
    <row r="1449" spans="1:11" hidden="1">
      <c r="A1449" s="28">
        <v>46301</v>
      </c>
      <c r="B1449" t="s">
        <v>186</v>
      </c>
      <c r="C1449" t="s">
        <v>203</v>
      </c>
      <c r="D1449" t="s">
        <v>217</v>
      </c>
      <c r="E1449">
        <f>IF(LEFT(D1449,6)="CLIENT",IFERROR(VLOOKUP(C1449,Config_Carteiras!$A:$B,2,FALSE),1),"")</f>
        <v>1</v>
      </c>
      <c r="F1449" s="25">
        <v>951</v>
      </c>
      <c r="G1449" s="28">
        <f>IF(LEFT(D1449,6)="CLIENT",IF(E1449=0,WORKDAY(A1449-1,1,Dias_Sem_Compensacao!$A$2:$A$500),WORKDAY(A1449,E1449,Dias_Sem_Compensacao!$A$2:$A$500)),"")</f>
        <v>46302</v>
      </c>
      <c r="H1449" s="25">
        <v>0</v>
      </c>
      <c r="I1449" s="28">
        <v>46301</v>
      </c>
      <c r="J1449" t="s">
        <v>1989</v>
      </c>
      <c r="K1449" t="s">
        <v>1990</v>
      </c>
    </row>
    <row r="1450" spans="1:11" hidden="1">
      <c r="A1450" s="28">
        <v>46301</v>
      </c>
      <c r="B1450" t="s">
        <v>186</v>
      </c>
      <c r="C1450" t="s">
        <v>203</v>
      </c>
      <c r="D1450" t="s">
        <v>217</v>
      </c>
      <c r="E1450">
        <f>IF(LEFT(D1450,6)="CLIENT",IFERROR(VLOOKUP(C1450,Config_Carteiras!$A:$B,2,FALSE),1),"")</f>
        <v>1</v>
      </c>
      <c r="F1450" s="25">
        <v>630</v>
      </c>
      <c r="G1450" s="28">
        <f>IF(LEFT(D1450,6)="CLIENT",IF(E1450=0,WORKDAY(A1450-1,1,Dias_Sem_Compensacao!$A$2:$A$500),WORKDAY(A1450,E1450,Dias_Sem_Compensacao!$A$2:$A$500)),"")</f>
        <v>46302</v>
      </c>
      <c r="H1450" s="25">
        <v>0</v>
      </c>
      <c r="I1450" s="28">
        <v>46301</v>
      </c>
      <c r="J1450" t="s">
        <v>660</v>
      </c>
      <c r="K1450" t="s">
        <v>1210</v>
      </c>
    </row>
    <row r="1451" spans="1:11" hidden="1">
      <c r="A1451" s="28">
        <v>46301</v>
      </c>
      <c r="B1451" t="s">
        <v>186</v>
      </c>
      <c r="C1451" t="s">
        <v>203</v>
      </c>
      <c r="D1451" t="s">
        <v>217</v>
      </c>
      <c r="E1451">
        <f>IF(LEFT(D1451,6)="CLIENT",IFERROR(VLOOKUP(C1451,Config_Carteiras!$A:$B,2,FALSE),1),"")</f>
        <v>1</v>
      </c>
      <c r="F1451" s="25">
        <v>927</v>
      </c>
      <c r="G1451" s="28">
        <f>IF(LEFT(D1451,6)="CLIENT",IF(E1451=0,WORKDAY(A1451-1,1,Dias_Sem_Compensacao!$A$2:$A$500),WORKDAY(A1451,E1451,Dias_Sem_Compensacao!$A$2:$A$500)),"")</f>
        <v>46302</v>
      </c>
      <c r="H1451" s="25">
        <v>0</v>
      </c>
      <c r="I1451" s="28">
        <v>46301</v>
      </c>
      <c r="J1451" t="s">
        <v>1991</v>
      </c>
      <c r="K1451" t="s">
        <v>1992</v>
      </c>
    </row>
    <row r="1452" spans="1:11" hidden="1">
      <c r="A1452" s="28">
        <v>46301</v>
      </c>
      <c r="B1452" t="s">
        <v>186</v>
      </c>
      <c r="C1452" t="s">
        <v>203</v>
      </c>
      <c r="D1452" t="s">
        <v>217</v>
      </c>
      <c r="E1452">
        <f>IF(LEFT(D1452,6)="CLIENT",IFERROR(VLOOKUP(C1452,Config_Carteiras!$A:$B,2,FALSE),1),"")</f>
        <v>1</v>
      </c>
      <c r="F1452" s="25">
        <v>1435</v>
      </c>
      <c r="G1452" s="28">
        <f>IF(LEFT(D1452,6)="CLIENT",IF(E1452=0,WORKDAY(A1452-1,1,Dias_Sem_Compensacao!$A$2:$A$500),WORKDAY(A1452,E1452,Dias_Sem_Compensacao!$A$2:$A$500)),"")</f>
        <v>46302</v>
      </c>
      <c r="H1452" s="25">
        <v>0</v>
      </c>
      <c r="I1452" s="28">
        <v>46301</v>
      </c>
      <c r="J1452" t="s">
        <v>1211</v>
      </c>
      <c r="K1452" t="s">
        <v>1212</v>
      </c>
    </row>
    <row r="1453" spans="1:11" hidden="1">
      <c r="A1453" s="28">
        <v>46301</v>
      </c>
      <c r="B1453" t="s">
        <v>186</v>
      </c>
      <c r="C1453" t="s">
        <v>203</v>
      </c>
      <c r="D1453" t="s">
        <v>217</v>
      </c>
      <c r="E1453">
        <f>IF(LEFT(D1453,6)="CLIENT",IFERROR(VLOOKUP(C1453,Config_Carteiras!$A:$B,2,FALSE),1),"")</f>
        <v>1</v>
      </c>
      <c r="F1453" s="25">
        <v>725.55</v>
      </c>
      <c r="G1453" s="28">
        <f>IF(LEFT(D1453,6)="CLIENT",IF(E1453=0,WORKDAY(A1453-1,1,Dias_Sem_Compensacao!$A$2:$A$500),WORKDAY(A1453,E1453,Dias_Sem_Compensacao!$A$2:$A$500)),"")</f>
        <v>46302</v>
      </c>
      <c r="H1453" s="25">
        <v>0</v>
      </c>
      <c r="I1453" s="28">
        <v>46301</v>
      </c>
      <c r="J1453" t="s">
        <v>1215</v>
      </c>
      <c r="K1453" t="s">
        <v>1216</v>
      </c>
    </row>
    <row r="1454" spans="1:11" hidden="1">
      <c r="A1454" s="28">
        <v>46301</v>
      </c>
      <c r="B1454" t="s">
        <v>186</v>
      </c>
      <c r="C1454" t="s">
        <v>203</v>
      </c>
      <c r="D1454" t="s">
        <v>217</v>
      </c>
      <c r="E1454">
        <f>IF(LEFT(D1454,6)="CLIENT",IFERROR(VLOOKUP(C1454,Config_Carteiras!$A:$B,2,FALSE),1),"")</f>
        <v>1</v>
      </c>
      <c r="F1454" s="25">
        <v>1415</v>
      </c>
      <c r="G1454" s="28">
        <f>IF(LEFT(D1454,6)="CLIENT",IF(E1454=0,WORKDAY(A1454-1,1,Dias_Sem_Compensacao!$A$2:$A$500),WORKDAY(A1454,E1454,Dias_Sem_Compensacao!$A$2:$A$500)),"")</f>
        <v>46302</v>
      </c>
      <c r="H1454" s="25">
        <v>0</v>
      </c>
      <c r="I1454" s="28">
        <v>46301</v>
      </c>
      <c r="J1454" t="s">
        <v>1218</v>
      </c>
      <c r="K1454" t="s">
        <v>1219</v>
      </c>
    </row>
    <row r="1455" spans="1:11" hidden="1">
      <c r="A1455" s="28">
        <v>46301</v>
      </c>
      <c r="B1455" t="s">
        <v>186</v>
      </c>
      <c r="C1455" t="s">
        <v>203</v>
      </c>
      <c r="D1455" t="s">
        <v>217</v>
      </c>
      <c r="E1455">
        <f>IF(LEFT(D1455,6)="CLIENT",IFERROR(VLOOKUP(C1455,Config_Carteiras!$A:$B,2,FALSE),1),"")</f>
        <v>1</v>
      </c>
      <c r="F1455" s="25">
        <v>1901</v>
      </c>
      <c r="G1455" s="28">
        <f>IF(LEFT(D1455,6)="CLIENT",IF(E1455=0,WORKDAY(A1455-1,1,Dias_Sem_Compensacao!$A$2:$A$500),WORKDAY(A1455,E1455,Dias_Sem_Compensacao!$A$2:$A$500)),"")</f>
        <v>46302</v>
      </c>
      <c r="H1455" s="25">
        <v>0</v>
      </c>
      <c r="I1455" s="28">
        <v>46301</v>
      </c>
      <c r="J1455" t="s">
        <v>1223</v>
      </c>
      <c r="K1455" t="s">
        <v>1224</v>
      </c>
    </row>
    <row r="1456" spans="1:11" hidden="1">
      <c r="A1456" s="28">
        <v>46301</v>
      </c>
      <c r="B1456" t="s">
        <v>186</v>
      </c>
      <c r="C1456" t="s">
        <v>203</v>
      </c>
      <c r="D1456" t="s">
        <v>217</v>
      </c>
      <c r="E1456">
        <f>IF(LEFT(D1456,6)="CLIENT",IFERROR(VLOOKUP(C1456,Config_Carteiras!$A:$B,2,FALSE),1),"")</f>
        <v>1</v>
      </c>
      <c r="F1456" s="25">
        <v>1205.98</v>
      </c>
      <c r="G1456" s="28">
        <f>IF(LEFT(D1456,6)="CLIENT",IF(E1456=0,WORKDAY(A1456-1,1,Dias_Sem_Compensacao!$A$2:$A$500),WORKDAY(A1456,E1456,Dias_Sem_Compensacao!$A$2:$A$500)),"")</f>
        <v>46302</v>
      </c>
      <c r="H1456" s="25">
        <v>0</v>
      </c>
      <c r="I1456" s="28">
        <v>46301</v>
      </c>
      <c r="J1456" t="s">
        <v>1225</v>
      </c>
      <c r="K1456" t="s">
        <v>1226</v>
      </c>
    </row>
    <row r="1457" spans="1:11" hidden="1">
      <c r="A1457" s="28">
        <v>46301</v>
      </c>
      <c r="B1457" t="s">
        <v>186</v>
      </c>
      <c r="C1457" t="s">
        <v>203</v>
      </c>
      <c r="D1457" t="s">
        <v>217</v>
      </c>
      <c r="E1457">
        <f>IF(LEFT(D1457,6)="CLIENT",IFERROR(VLOOKUP(C1457,Config_Carteiras!$A:$B,2,FALSE),1),"")</f>
        <v>1</v>
      </c>
      <c r="F1457" s="25">
        <v>4624</v>
      </c>
      <c r="G1457" s="28">
        <f>IF(LEFT(D1457,6)="CLIENT",IF(E1457=0,WORKDAY(A1457-1,1,Dias_Sem_Compensacao!$A$2:$A$500),WORKDAY(A1457,E1457,Dias_Sem_Compensacao!$A$2:$A$500)),"")</f>
        <v>46302</v>
      </c>
      <c r="H1457" s="25">
        <v>0</v>
      </c>
      <c r="I1457" s="28">
        <v>46301</v>
      </c>
      <c r="J1457" t="s">
        <v>1227</v>
      </c>
      <c r="K1457" t="s">
        <v>1228</v>
      </c>
    </row>
    <row r="1458" spans="1:11" hidden="1">
      <c r="A1458" s="28">
        <v>46301</v>
      </c>
      <c r="B1458" t="s">
        <v>186</v>
      </c>
      <c r="C1458" t="s">
        <v>203</v>
      </c>
      <c r="D1458" t="s">
        <v>217</v>
      </c>
      <c r="E1458">
        <f>IF(LEFT(D1458,6)="CLIENT",IFERROR(VLOOKUP(C1458,Config_Carteiras!$A:$B,2,FALSE),1),"")</f>
        <v>1</v>
      </c>
      <c r="F1458" s="25">
        <v>3427</v>
      </c>
      <c r="G1458" s="28">
        <f>IF(LEFT(D1458,6)="CLIENT",IF(E1458=0,WORKDAY(A1458-1,1,Dias_Sem_Compensacao!$A$2:$A$500),WORKDAY(A1458,E1458,Dias_Sem_Compensacao!$A$2:$A$500)),"")</f>
        <v>46302</v>
      </c>
      <c r="H1458" s="25">
        <v>0</v>
      </c>
      <c r="I1458" s="28">
        <v>46301</v>
      </c>
      <c r="J1458" t="s">
        <v>1229</v>
      </c>
      <c r="K1458" t="s">
        <v>1230</v>
      </c>
    </row>
    <row r="1459" spans="1:11" hidden="1">
      <c r="A1459" s="28">
        <v>46301</v>
      </c>
      <c r="B1459" t="s">
        <v>186</v>
      </c>
      <c r="C1459" t="s">
        <v>203</v>
      </c>
      <c r="D1459" t="s">
        <v>217</v>
      </c>
      <c r="E1459">
        <f>IF(LEFT(D1459,6)="CLIENT",IFERROR(VLOOKUP(C1459,Config_Carteiras!$A:$B,2,FALSE),1),"")</f>
        <v>1</v>
      </c>
      <c r="F1459" s="25">
        <v>871.6</v>
      </c>
      <c r="G1459" s="28">
        <f>IF(LEFT(D1459,6)="CLIENT",IF(E1459=0,WORKDAY(A1459-1,1,Dias_Sem_Compensacao!$A$2:$A$500),WORKDAY(A1459,E1459,Dias_Sem_Compensacao!$A$2:$A$500)),"")</f>
        <v>46302</v>
      </c>
      <c r="H1459" s="25">
        <v>0</v>
      </c>
      <c r="I1459" s="28">
        <v>46301</v>
      </c>
      <c r="J1459" t="s">
        <v>841</v>
      </c>
      <c r="K1459" t="s">
        <v>1233</v>
      </c>
    </row>
    <row r="1460" spans="1:11" hidden="1">
      <c r="A1460" s="28">
        <v>46301</v>
      </c>
      <c r="B1460" t="s">
        <v>186</v>
      </c>
      <c r="C1460" t="s">
        <v>203</v>
      </c>
      <c r="D1460" t="s">
        <v>217</v>
      </c>
      <c r="E1460">
        <f>IF(LEFT(D1460,6)="CLIENT",IFERROR(VLOOKUP(C1460,Config_Carteiras!$A:$B,2,FALSE),1),"")</f>
        <v>1</v>
      </c>
      <c r="F1460" s="25">
        <v>2687.96</v>
      </c>
      <c r="G1460" s="28">
        <f>IF(LEFT(D1460,6)="CLIENT",IF(E1460=0,WORKDAY(A1460-1,1,Dias_Sem_Compensacao!$A$2:$A$500),WORKDAY(A1460,E1460,Dias_Sem_Compensacao!$A$2:$A$500)),"")</f>
        <v>46302</v>
      </c>
      <c r="H1460" s="25">
        <v>0</v>
      </c>
      <c r="I1460" s="28">
        <v>46301</v>
      </c>
      <c r="J1460" t="s">
        <v>1993</v>
      </c>
      <c r="K1460" t="s">
        <v>1994</v>
      </c>
    </row>
    <row r="1461" spans="1:11" hidden="1">
      <c r="A1461" s="28">
        <v>46301</v>
      </c>
      <c r="B1461" t="s">
        <v>186</v>
      </c>
      <c r="C1461" t="s">
        <v>203</v>
      </c>
      <c r="D1461" t="s">
        <v>217</v>
      </c>
      <c r="E1461">
        <f>IF(LEFT(D1461,6)="CLIENT",IFERROR(VLOOKUP(C1461,Config_Carteiras!$A:$B,2,FALSE),1),"")</f>
        <v>1</v>
      </c>
      <c r="F1461" s="25">
        <v>3011.77</v>
      </c>
      <c r="G1461" s="28">
        <f>IF(LEFT(D1461,6)="CLIENT",IF(E1461=0,WORKDAY(A1461-1,1,Dias_Sem_Compensacao!$A$2:$A$500),WORKDAY(A1461,E1461,Dias_Sem_Compensacao!$A$2:$A$500)),"")</f>
        <v>46302</v>
      </c>
      <c r="H1461" s="25">
        <v>0</v>
      </c>
      <c r="I1461" s="28">
        <v>46301</v>
      </c>
      <c r="K1461" t="s">
        <v>1995</v>
      </c>
    </row>
    <row r="1462" spans="1:11" hidden="1">
      <c r="A1462" s="28">
        <v>46301</v>
      </c>
      <c r="B1462" t="s">
        <v>186</v>
      </c>
      <c r="C1462" t="s">
        <v>203</v>
      </c>
      <c r="D1462" t="s">
        <v>217</v>
      </c>
      <c r="E1462">
        <f>IF(LEFT(D1462,6)="CLIENT",IFERROR(VLOOKUP(C1462,Config_Carteiras!$A:$B,2,FALSE),1),"")</f>
        <v>1</v>
      </c>
      <c r="F1462" s="25">
        <v>3019.83</v>
      </c>
      <c r="G1462" s="28">
        <f>IF(LEFT(D1462,6)="CLIENT",IF(E1462=0,WORKDAY(A1462-1,1,Dias_Sem_Compensacao!$A$2:$A$500),WORKDAY(A1462,E1462,Dias_Sem_Compensacao!$A$2:$A$500)),"")</f>
        <v>46302</v>
      </c>
      <c r="H1462" s="25">
        <v>0</v>
      </c>
      <c r="I1462" s="28">
        <v>46301</v>
      </c>
      <c r="K1462" t="s">
        <v>1996</v>
      </c>
    </row>
    <row r="1463" spans="1:11" hidden="1">
      <c r="A1463" s="28">
        <v>46301</v>
      </c>
      <c r="B1463" t="s">
        <v>186</v>
      </c>
      <c r="C1463" t="s">
        <v>203</v>
      </c>
      <c r="D1463" t="s">
        <v>217</v>
      </c>
      <c r="E1463">
        <f>IF(LEFT(D1463,6)="CLIENT",IFERROR(VLOOKUP(C1463,Config_Carteiras!$A:$B,2,FALSE),1),"")</f>
        <v>1</v>
      </c>
      <c r="F1463" s="25">
        <v>618</v>
      </c>
      <c r="G1463" s="28">
        <f>IF(LEFT(D1463,6)="CLIENT",IF(E1463=0,WORKDAY(A1463-1,1,Dias_Sem_Compensacao!$A$2:$A$500),WORKDAY(A1463,E1463,Dias_Sem_Compensacao!$A$2:$A$500)),"")</f>
        <v>46302</v>
      </c>
      <c r="H1463" s="25">
        <v>0</v>
      </c>
      <c r="I1463" s="28">
        <v>46301</v>
      </c>
      <c r="J1463" t="s">
        <v>1234</v>
      </c>
      <c r="K1463" t="s">
        <v>1235</v>
      </c>
    </row>
    <row r="1464" spans="1:11" hidden="1">
      <c r="A1464" s="28">
        <v>46301</v>
      </c>
      <c r="B1464" t="s">
        <v>186</v>
      </c>
      <c r="C1464" t="s">
        <v>203</v>
      </c>
      <c r="D1464" t="s">
        <v>217</v>
      </c>
      <c r="E1464">
        <f>IF(LEFT(D1464,6)="CLIENT",IFERROR(VLOOKUP(C1464,Config_Carteiras!$A:$B,2,FALSE),1),"")</f>
        <v>1</v>
      </c>
      <c r="F1464" s="25">
        <v>675</v>
      </c>
      <c r="G1464" s="28">
        <f>IF(LEFT(D1464,6)="CLIENT",IF(E1464=0,WORKDAY(A1464-1,1,Dias_Sem_Compensacao!$A$2:$A$500),WORKDAY(A1464,E1464,Dias_Sem_Compensacao!$A$2:$A$500)),"")</f>
        <v>46302</v>
      </c>
      <c r="H1464" s="25">
        <v>0</v>
      </c>
      <c r="I1464" s="28">
        <v>46301</v>
      </c>
      <c r="J1464" t="s">
        <v>330</v>
      </c>
      <c r="K1464" t="s">
        <v>1997</v>
      </c>
    </row>
    <row r="1465" spans="1:11" hidden="1">
      <c r="A1465" s="28">
        <v>46301</v>
      </c>
      <c r="B1465" t="s">
        <v>186</v>
      </c>
      <c r="C1465" t="s">
        <v>203</v>
      </c>
      <c r="D1465" t="s">
        <v>217</v>
      </c>
      <c r="E1465">
        <f>IF(LEFT(D1465,6)="CLIENT",IFERROR(VLOOKUP(C1465,Config_Carteiras!$A:$B,2,FALSE),1),"")</f>
        <v>1</v>
      </c>
      <c r="F1465" s="25">
        <v>1059.52</v>
      </c>
      <c r="G1465" s="28">
        <f>IF(LEFT(D1465,6)="CLIENT",IF(E1465=0,WORKDAY(A1465-1,1,Dias_Sem_Compensacao!$A$2:$A$500),WORKDAY(A1465,E1465,Dias_Sem_Compensacao!$A$2:$A$500)),"")</f>
        <v>46302</v>
      </c>
      <c r="H1465" s="25">
        <v>0</v>
      </c>
      <c r="I1465" s="28">
        <v>46301</v>
      </c>
      <c r="J1465" t="s">
        <v>1998</v>
      </c>
      <c r="K1465" t="s">
        <v>1999</v>
      </c>
    </row>
    <row r="1466" spans="1:11" hidden="1">
      <c r="A1466" s="28">
        <v>46301</v>
      </c>
      <c r="B1466" t="s">
        <v>186</v>
      </c>
      <c r="C1466" t="s">
        <v>203</v>
      </c>
      <c r="D1466" t="s">
        <v>217</v>
      </c>
      <c r="E1466">
        <f>IF(LEFT(D1466,6)="CLIENT",IFERROR(VLOOKUP(C1466,Config_Carteiras!$A:$B,2,FALSE),1),"")</f>
        <v>1</v>
      </c>
      <c r="F1466" s="25">
        <v>592</v>
      </c>
      <c r="G1466" s="28">
        <f>IF(LEFT(D1466,6)="CLIENT",IF(E1466=0,WORKDAY(A1466-1,1,Dias_Sem_Compensacao!$A$2:$A$500),WORKDAY(A1466,E1466,Dias_Sem_Compensacao!$A$2:$A$500)),"")</f>
        <v>46302</v>
      </c>
      <c r="H1466" s="25">
        <v>0</v>
      </c>
      <c r="I1466" s="28">
        <v>46301</v>
      </c>
      <c r="J1466" t="s">
        <v>2000</v>
      </c>
      <c r="K1466" t="s">
        <v>2001</v>
      </c>
    </row>
    <row r="1467" spans="1:11" hidden="1">
      <c r="A1467" s="28">
        <v>46301</v>
      </c>
      <c r="B1467" t="s">
        <v>186</v>
      </c>
      <c r="C1467" t="s">
        <v>203</v>
      </c>
      <c r="D1467" t="s">
        <v>217</v>
      </c>
      <c r="E1467">
        <f>IF(LEFT(D1467,6)="CLIENT",IFERROR(VLOOKUP(C1467,Config_Carteiras!$A:$B,2,FALSE),1),"")</f>
        <v>1</v>
      </c>
      <c r="F1467" s="25">
        <v>423.28</v>
      </c>
      <c r="G1467" s="28">
        <f>IF(LEFT(D1467,6)="CLIENT",IF(E1467=0,WORKDAY(A1467-1,1,Dias_Sem_Compensacao!$A$2:$A$500),WORKDAY(A1467,E1467,Dias_Sem_Compensacao!$A$2:$A$500)),"")</f>
        <v>46302</v>
      </c>
      <c r="H1467" s="25">
        <v>0</v>
      </c>
      <c r="I1467" s="28">
        <v>46301</v>
      </c>
      <c r="J1467" t="s">
        <v>1244</v>
      </c>
      <c r="K1467" t="s">
        <v>1245</v>
      </c>
    </row>
    <row r="1468" spans="1:11" hidden="1">
      <c r="A1468" s="28">
        <v>46301</v>
      </c>
      <c r="B1468" t="s">
        <v>186</v>
      </c>
      <c r="C1468" t="s">
        <v>203</v>
      </c>
      <c r="D1468" t="s">
        <v>217</v>
      </c>
      <c r="E1468">
        <f>IF(LEFT(D1468,6)="CLIENT",IFERROR(VLOOKUP(C1468,Config_Carteiras!$A:$B,2,FALSE),1),"")</f>
        <v>1</v>
      </c>
      <c r="F1468" s="25">
        <v>704.69</v>
      </c>
      <c r="G1468" s="28">
        <f>IF(LEFT(D1468,6)="CLIENT",IF(E1468=0,WORKDAY(A1468-1,1,Dias_Sem_Compensacao!$A$2:$A$500),WORKDAY(A1468,E1468,Dias_Sem_Compensacao!$A$2:$A$500)),"")</f>
        <v>46302</v>
      </c>
      <c r="H1468" s="25">
        <v>0</v>
      </c>
      <c r="I1468" s="28">
        <v>46301</v>
      </c>
      <c r="J1468" t="s">
        <v>2002</v>
      </c>
      <c r="K1468" t="s">
        <v>2003</v>
      </c>
    </row>
    <row r="1469" spans="1:11" hidden="1">
      <c r="A1469" s="28">
        <v>46301</v>
      </c>
      <c r="B1469" t="s">
        <v>186</v>
      </c>
      <c r="C1469" t="s">
        <v>203</v>
      </c>
      <c r="D1469" t="s">
        <v>217</v>
      </c>
      <c r="E1469">
        <f>IF(LEFT(D1469,6)="CLIENT",IFERROR(VLOOKUP(C1469,Config_Carteiras!$A:$B,2,FALSE),1),"")</f>
        <v>1</v>
      </c>
      <c r="F1469" s="25">
        <v>793.2</v>
      </c>
      <c r="G1469" s="28">
        <f>IF(LEFT(D1469,6)="CLIENT",IF(E1469=0,WORKDAY(A1469-1,1,Dias_Sem_Compensacao!$A$2:$A$500),WORKDAY(A1469,E1469,Dias_Sem_Compensacao!$A$2:$A$500)),"")</f>
        <v>46302</v>
      </c>
      <c r="H1469" s="25">
        <v>0</v>
      </c>
      <c r="I1469" s="28">
        <v>46301</v>
      </c>
      <c r="K1469" t="s">
        <v>2004</v>
      </c>
    </row>
    <row r="1470" spans="1:11" hidden="1">
      <c r="A1470" s="28">
        <v>46301</v>
      </c>
      <c r="B1470" t="s">
        <v>186</v>
      </c>
      <c r="C1470" t="s">
        <v>203</v>
      </c>
      <c r="D1470" t="s">
        <v>217</v>
      </c>
      <c r="E1470">
        <f>IF(LEFT(D1470,6)="CLIENT",IFERROR(VLOOKUP(C1470,Config_Carteiras!$A:$B,2,FALSE),1),"")</f>
        <v>1</v>
      </c>
      <c r="F1470" s="25">
        <v>5077.17</v>
      </c>
      <c r="G1470" s="28">
        <f>IF(LEFT(D1470,6)="CLIENT",IF(E1470=0,WORKDAY(A1470-1,1,Dias_Sem_Compensacao!$A$2:$A$500),WORKDAY(A1470,E1470,Dias_Sem_Compensacao!$A$2:$A$500)),"")</f>
        <v>46302</v>
      </c>
      <c r="H1470" s="25">
        <v>0</v>
      </c>
      <c r="I1470" s="28">
        <v>46301</v>
      </c>
      <c r="J1470" t="s">
        <v>2005</v>
      </c>
      <c r="K1470" t="s">
        <v>2006</v>
      </c>
    </row>
    <row r="1471" spans="1:11" hidden="1">
      <c r="A1471" s="28">
        <v>46301</v>
      </c>
      <c r="B1471" t="s">
        <v>186</v>
      </c>
      <c r="C1471" t="s">
        <v>203</v>
      </c>
      <c r="D1471" t="s">
        <v>217</v>
      </c>
      <c r="E1471">
        <f>IF(LEFT(D1471,6)="CLIENT",IFERROR(VLOOKUP(C1471,Config_Carteiras!$A:$B,2,FALSE),1),"")</f>
        <v>1</v>
      </c>
      <c r="F1471" s="25">
        <v>946</v>
      </c>
      <c r="G1471" s="28">
        <f>IF(LEFT(D1471,6)="CLIENT",IF(E1471=0,WORKDAY(A1471-1,1,Dias_Sem_Compensacao!$A$2:$A$500),WORKDAY(A1471,E1471,Dias_Sem_Compensacao!$A$2:$A$500)),"")</f>
        <v>46302</v>
      </c>
      <c r="H1471" s="25">
        <v>0</v>
      </c>
      <c r="I1471" s="28">
        <v>46301</v>
      </c>
      <c r="J1471" t="s">
        <v>1246</v>
      </c>
      <c r="K1471" t="s">
        <v>1247</v>
      </c>
    </row>
    <row r="1472" spans="1:11" hidden="1">
      <c r="A1472" s="28">
        <v>46301</v>
      </c>
      <c r="B1472" t="s">
        <v>186</v>
      </c>
      <c r="C1472" t="s">
        <v>203</v>
      </c>
      <c r="D1472" t="s">
        <v>217</v>
      </c>
      <c r="E1472">
        <f>IF(LEFT(D1472,6)="CLIENT",IFERROR(VLOOKUP(C1472,Config_Carteiras!$A:$B,2,FALSE),1),"")</f>
        <v>1</v>
      </c>
      <c r="F1472" s="25">
        <v>1295</v>
      </c>
      <c r="G1472" s="28">
        <f>IF(LEFT(D1472,6)="CLIENT",IF(E1472=0,WORKDAY(A1472-1,1,Dias_Sem_Compensacao!$A$2:$A$500),WORKDAY(A1472,E1472,Dias_Sem_Compensacao!$A$2:$A$500)),"")</f>
        <v>46302</v>
      </c>
      <c r="H1472" s="25">
        <v>0</v>
      </c>
      <c r="I1472" s="28">
        <v>46301</v>
      </c>
      <c r="J1472" t="s">
        <v>435</v>
      </c>
      <c r="K1472" t="s">
        <v>2007</v>
      </c>
    </row>
    <row r="1473" spans="1:11" hidden="1">
      <c r="A1473" s="28">
        <v>46301</v>
      </c>
      <c r="B1473" t="s">
        <v>186</v>
      </c>
      <c r="C1473" t="s">
        <v>203</v>
      </c>
      <c r="D1473" t="s">
        <v>217</v>
      </c>
      <c r="E1473">
        <f>IF(LEFT(D1473,6)="CLIENT",IFERROR(VLOOKUP(C1473,Config_Carteiras!$A:$B,2,FALSE),1),"")</f>
        <v>1</v>
      </c>
      <c r="F1473" s="25">
        <v>493</v>
      </c>
      <c r="G1473" s="28">
        <f>IF(LEFT(D1473,6)="CLIENT",IF(E1473=0,WORKDAY(A1473-1,1,Dias_Sem_Compensacao!$A$2:$A$500),WORKDAY(A1473,E1473,Dias_Sem_Compensacao!$A$2:$A$500)),"")</f>
        <v>46302</v>
      </c>
      <c r="H1473" s="25">
        <v>0</v>
      </c>
      <c r="I1473" s="28">
        <v>46301</v>
      </c>
      <c r="J1473" t="s">
        <v>1252</v>
      </c>
      <c r="K1473" t="s">
        <v>1253</v>
      </c>
    </row>
    <row r="1474" spans="1:11" hidden="1">
      <c r="A1474" s="28">
        <v>46301</v>
      </c>
      <c r="B1474" t="s">
        <v>186</v>
      </c>
      <c r="C1474" t="s">
        <v>203</v>
      </c>
      <c r="D1474" t="s">
        <v>217</v>
      </c>
      <c r="E1474">
        <f>IF(LEFT(D1474,6)="CLIENT",IFERROR(VLOOKUP(C1474,Config_Carteiras!$A:$B,2,FALSE),1),"")</f>
        <v>1</v>
      </c>
      <c r="F1474" s="25">
        <v>310.56</v>
      </c>
      <c r="G1474" s="28">
        <f>IF(LEFT(D1474,6)="CLIENT",IF(E1474=0,WORKDAY(A1474-1,1,Dias_Sem_Compensacao!$A$2:$A$500),WORKDAY(A1474,E1474,Dias_Sem_Compensacao!$A$2:$A$500)),"")</f>
        <v>46302</v>
      </c>
      <c r="H1474" s="25">
        <v>0</v>
      </c>
      <c r="I1474" s="28">
        <v>46301</v>
      </c>
      <c r="J1474" t="s">
        <v>851</v>
      </c>
      <c r="K1474" t="s">
        <v>1254</v>
      </c>
    </row>
    <row r="1475" spans="1:11" hidden="1">
      <c r="A1475" s="28">
        <v>46301</v>
      </c>
      <c r="B1475" t="s">
        <v>186</v>
      </c>
      <c r="C1475" t="s">
        <v>203</v>
      </c>
      <c r="D1475" t="s">
        <v>217</v>
      </c>
      <c r="E1475">
        <f>IF(LEFT(D1475,6)="CLIENT",IFERROR(VLOOKUP(C1475,Config_Carteiras!$A:$B,2,FALSE),1),"")</f>
        <v>1</v>
      </c>
      <c r="F1475" s="25">
        <v>998.72</v>
      </c>
      <c r="G1475" s="28">
        <f>IF(LEFT(D1475,6)="CLIENT",IF(E1475=0,WORKDAY(A1475-1,1,Dias_Sem_Compensacao!$A$2:$A$500),WORKDAY(A1475,E1475,Dias_Sem_Compensacao!$A$2:$A$500)),"")</f>
        <v>46302</v>
      </c>
      <c r="H1475" s="25">
        <v>0</v>
      </c>
      <c r="I1475" s="28">
        <v>46301</v>
      </c>
      <c r="J1475" t="s">
        <v>1255</v>
      </c>
      <c r="K1475" t="s">
        <v>1256</v>
      </c>
    </row>
    <row r="1476" spans="1:11" hidden="1">
      <c r="A1476" s="28">
        <v>46301</v>
      </c>
      <c r="B1476" t="s">
        <v>186</v>
      </c>
      <c r="C1476" t="s">
        <v>203</v>
      </c>
      <c r="D1476" t="s">
        <v>217</v>
      </c>
      <c r="E1476">
        <f>IF(LEFT(D1476,6)="CLIENT",IFERROR(VLOOKUP(C1476,Config_Carteiras!$A:$B,2,FALSE),1),"")</f>
        <v>1</v>
      </c>
      <c r="F1476" s="25">
        <v>1075</v>
      </c>
      <c r="G1476" s="28">
        <f>IF(LEFT(D1476,6)="CLIENT",IF(E1476=0,WORKDAY(A1476-1,1,Dias_Sem_Compensacao!$A$2:$A$500),WORKDAY(A1476,E1476,Dias_Sem_Compensacao!$A$2:$A$500)),"")</f>
        <v>46302</v>
      </c>
      <c r="H1476" s="25">
        <v>0</v>
      </c>
      <c r="I1476" s="28">
        <v>46301</v>
      </c>
      <c r="J1476" t="s">
        <v>2008</v>
      </c>
      <c r="K1476" t="s">
        <v>2009</v>
      </c>
    </row>
    <row r="1477" spans="1:11" hidden="1">
      <c r="A1477" s="28">
        <v>46301</v>
      </c>
      <c r="B1477" t="s">
        <v>186</v>
      </c>
      <c r="C1477" t="s">
        <v>203</v>
      </c>
      <c r="D1477" t="s">
        <v>217</v>
      </c>
      <c r="E1477">
        <f>IF(LEFT(D1477,6)="CLIENT",IFERROR(VLOOKUP(C1477,Config_Carteiras!$A:$B,2,FALSE),1),"")</f>
        <v>1</v>
      </c>
      <c r="F1477" s="25">
        <v>488</v>
      </c>
      <c r="G1477" s="28">
        <f>IF(LEFT(D1477,6)="CLIENT",IF(E1477=0,WORKDAY(A1477-1,1,Dias_Sem_Compensacao!$A$2:$A$500),WORKDAY(A1477,E1477,Dias_Sem_Compensacao!$A$2:$A$500)),"")</f>
        <v>46302</v>
      </c>
      <c r="H1477" s="25">
        <v>0</v>
      </c>
      <c r="I1477" s="28">
        <v>46301</v>
      </c>
      <c r="J1477" t="s">
        <v>1259</v>
      </c>
      <c r="K1477" t="s">
        <v>1260</v>
      </c>
    </row>
    <row r="1478" spans="1:11" hidden="1">
      <c r="A1478" s="28">
        <v>46301</v>
      </c>
      <c r="B1478" t="s">
        <v>186</v>
      </c>
      <c r="C1478" t="s">
        <v>203</v>
      </c>
      <c r="D1478" t="s">
        <v>217</v>
      </c>
      <c r="E1478">
        <f>IF(LEFT(D1478,6)="CLIENT",IFERROR(VLOOKUP(C1478,Config_Carteiras!$A:$B,2,FALSE),1),"")</f>
        <v>1</v>
      </c>
      <c r="F1478" s="25">
        <v>1292</v>
      </c>
      <c r="G1478" s="28">
        <f>IF(LEFT(D1478,6)="CLIENT",IF(E1478=0,WORKDAY(A1478-1,1,Dias_Sem_Compensacao!$A$2:$A$500),WORKDAY(A1478,E1478,Dias_Sem_Compensacao!$A$2:$A$500)),"")</f>
        <v>46302</v>
      </c>
      <c r="H1478" s="25">
        <v>0</v>
      </c>
      <c r="I1478" s="28">
        <v>46301</v>
      </c>
      <c r="J1478" t="s">
        <v>1261</v>
      </c>
      <c r="K1478" t="s">
        <v>1262</v>
      </c>
    </row>
    <row r="1479" spans="1:11" hidden="1">
      <c r="A1479" s="28">
        <v>46301</v>
      </c>
      <c r="B1479" t="s">
        <v>186</v>
      </c>
      <c r="C1479" t="s">
        <v>203</v>
      </c>
      <c r="D1479" t="s">
        <v>217</v>
      </c>
      <c r="E1479">
        <f>IF(LEFT(D1479,6)="CLIENT",IFERROR(VLOOKUP(C1479,Config_Carteiras!$A:$B,2,FALSE),1),"")</f>
        <v>1</v>
      </c>
      <c r="F1479" s="25">
        <v>1194</v>
      </c>
      <c r="G1479" s="28">
        <f>IF(LEFT(D1479,6)="CLIENT",IF(E1479=0,WORKDAY(A1479-1,1,Dias_Sem_Compensacao!$A$2:$A$500),WORKDAY(A1479,E1479,Dias_Sem_Compensacao!$A$2:$A$500)),"")</f>
        <v>46302</v>
      </c>
      <c r="H1479" s="25">
        <v>0</v>
      </c>
      <c r="I1479" s="28">
        <v>46301</v>
      </c>
      <c r="J1479" t="s">
        <v>1263</v>
      </c>
      <c r="K1479" t="s">
        <v>1264</v>
      </c>
    </row>
    <row r="1480" spans="1:11" hidden="1">
      <c r="A1480" s="28">
        <v>46301</v>
      </c>
      <c r="B1480" t="s">
        <v>186</v>
      </c>
      <c r="C1480" t="s">
        <v>203</v>
      </c>
      <c r="D1480" t="s">
        <v>217</v>
      </c>
      <c r="E1480">
        <f>IF(LEFT(D1480,6)="CLIENT",IFERROR(VLOOKUP(C1480,Config_Carteiras!$A:$B,2,FALSE),1),"")</f>
        <v>1</v>
      </c>
      <c r="F1480" s="25">
        <v>545</v>
      </c>
      <c r="G1480" s="28">
        <f>IF(LEFT(D1480,6)="CLIENT",IF(E1480=0,WORKDAY(A1480-1,1,Dias_Sem_Compensacao!$A$2:$A$500),WORKDAY(A1480,E1480,Dias_Sem_Compensacao!$A$2:$A$500)),"")</f>
        <v>46302</v>
      </c>
      <c r="H1480" s="25">
        <v>0</v>
      </c>
      <c r="I1480" s="28">
        <v>46301</v>
      </c>
      <c r="J1480" t="s">
        <v>2010</v>
      </c>
      <c r="K1480" t="s">
        <v>2011</v>
      </c>
    </row>
    <row r="1481" spans="1:11" hidden="1">
      <c r="A1481" s="28">
        <v>46301</v>
      </c>
      <c r="B1481" t="s">
        <v>186</v>
      </c>
      <c r="C1481" t="s">
        <v>203</v>
      </c>
      <c r="D1481" t="s">
        <v>217</v>
      </c>
      <c r="E1481">
        <f>IF(LEFT(D1481,6)="CLIENT",IFERROR(VLOOKUP(C1481,Config_Carteiras!$A:$B,2,FALSE),1),"")</f>
        <v>1</v>
      </c>
      <c r="F1481" s="25">
        <v>471</v>
      </c>
      <c r="G1481" s="28">
        <f>IF(LEFT(D1481,6)="CLIENT",IF(E1481=0,WORKDAY(A1481-1,1,Dias_Sem_Compensacao!$A$2:$A$500),WORKDAY(A1481,E1481,Dias_Sem_Compensacao!$A$2:$A$500)),"")</f>
        <v>46302</v>
      </c>
      <c r="H1481" s="25">
        <v>0</v>
      </c>
      <c r="I1481" s="28">
        <v>46301</v>
      </c>
      <c r="J1481" t="s">
        <v>2012</v>
      </c>
      <c r="K1481" t="s">
        <v>2013</v>
      </c>
    </row>
    <row r="1482" spans="1:11" hidden="1">
      <c r="A1482" s="28">
        <v>46301</v>
      </c>
      <c r="B1482" t="s">
        <v>186</v>
      </c>
      <c r="C1482" t="s">
        <v>203</v>
      </c>
      <c r="D1482" t="s">
        <v>217</v>
      </c>
      <c r="E1482">
        <f>IF(LEFT(D1482,6)="CLIENT",IFERROR(VLOOKUP(C1482,Config_Carteiras!$A:$B,2,FALSE),1),"")</f>
        <v>1</v>
      </c>
      <c r="F1482" s="25">
        <v>889</v>
      </c>
      <c r="G1482" s="28">
        <f>IF(LEFT(D1482,6)="CLIENT",IF(E1482=0,WORKDAY(A1482-1,1,Dias_Sem_Compensacao!$A$2:$A$500),WORKDAY(A1482,E1482,Dias_Sem_Compensacao!$A$2:$A$500)),"")</f>
        <v>46302</v>
      </c>
      <c r="H1482" s="25">
        <v>0</v>
      </c>
      <c r="I1482" s="28">
        <v>46301</v>
      </c>
      <c r="J1482" t="s">
        <v>2014</v>
      </c>
      <c r="K1482" t="s">
        <v>2015</v>
      </c>
    </row>
    <row r="1483" spans="1:11" hidden="1">
      <c r="A1483" s="28">
        <v>46301</v>
      </c>
      <c r="B1483" t="s">
        <v>186</v>
      </c>
      <c r="C1483" t="s">
        <v>203</v>
      </c>
      <c r="D1483" t="s">
        <v>217</v>
      </c>
      <c r="E1483">
        <f>IF(LEFT(D1483,6)="CLIENT",IFERROR(VLOOKUP(C1483,Config_Carteiras!$A:$B,2,FALSE),1),"")</f>
        <v>1</v>
      </c>
      <c r="F1483" s="25">
        <v>569.04</v>
      </c>
      <c r="G1483" s="28">
        <f>IF(LEFT(D1483,6)="CLIENT",IF(E1483=0,WORKDAY(A1483-1,1,Dias_Sem_Compensacao!$A$2:$A$500),WORKDAY(A1483,E1483,Dias_Sem_Compensacao!$A$2:$A$500)),"")</f>
        <v>46302</v>
      </c>
      <c r="H1483" s="25">
        <v>0</v>
      </c>
      <c r="I1483" s="28">
        <v>46301</v>
      </c>
      <c r="J1483" t="s">
        <v>1267</v>
      </c>
      <c r="K1483" t="s">
        <v>1268</v>
      </c>
    </row>
    <row r="1484" spans="1:11" hidden="1">
      <c r="A1484" s="28">
        <v>46301</v>
      </c>
      <c r="B1484" t="s">
        <v>186</v>
      </c>
      <c r="C1484" t="s">
        <v>203</v>
      </c>
      <c r="D1484" t="s">
        <v>217</v>
      </c>
      <c r="E1484">
        <f>IF(LEFT(D1484,6)="CLIENT",IFERROR(VLOOKUP(C1484,Config_Carteiras!$A:$B,2,FALSE),1),"")</f>
        <v>1</v>
      </c>
      <c r="F1484" s="25">
        <v>825</v>
      </c>
      <c r="G1484" s="28">
        <f>IF(LEFT(D1484,6)="CLIENT",IF(E1484=0,WORKDAY(A1484-1,1,Dias_Sem_Compensacao!$A$2:$A$500),WORKDAY(A1484,E1484,Dias_Sem_Compensacao!$A$2:$A$500)),"")</f>
        <v>46302</v>
      </c>
      <c r="H1484" s="25">
        <v>0</v>
      </c>
      <c r="I1484" s="28">
        <v>46301</v>
      </c>
      <c r="J1484" t="s">
        <v>2016</v>
      </c>
      <c r="K1484" t="s">
        <v>2017</v>
      </c>
    </row>
    <row r="1485" spans="1:11" hidden="1">
      <c r="A1485" s="28">
        <v>46301</v>
      </c>
      <c r="B1485" t="s">
        <v>186</v>
      </c>
      <c r="C1485" t="s">
        <v>203</v>
      </c>
      <c r="D1485" t="s">
        <v>217</v>
      </c>
      <c r="E1485">
        <f>IF(LEFT(D1485,6)="CLIENT",IFERROR(VLOOKUP(C1485,Config_Carteiras!$A:$B,2,FALSE),1),"")</f>
        <v>1</v>
      </c>
      <c r="F1485" s="25">
        <v>3153.07</v>
      </c>
      <c r="G1485" s="28">
        <f>IF(LEFT(D1485,6)="CLIENT",IF(E1485=0,WORKDAY(A1485-1,1,Dias_Sem_Compensacao!$A$2:$A$500),WORKDAY(A1485,E1485,Dias_Sem_Compensacao!$A$2:$A$500)),"")</f>
        <v>46302</v>
      </c>
      <c r="H1485" s="25">
        <v>0</v>
      </c>
      <c r="I1485" s="28">
        <v>46301</v>
      </c>
      <c r="J1485" t="s">
        <v>98</v>
      </c>
      <c r="K1485" t="s">
        <v>1270</v>
      </c>
    </row>
    <row r="1486" spans="1:11" hidden="1">
      <c r="A1486" s="28">
        <v>46301</v>
      </c>
      <c r="B1486" t="s">
        <v>186</v>
      </c>
      <c r="C1486" t="s">
        <v>203</v>
      </c>
      <c r="D1486" t="s">
        <v>217</v>
      </c>
      <c r="E1486">
        <f>IF(LEFT(D1486,6)="CLIENT",IFERROR(VLOOKUP(C1486,Config_Carteiras!$A:$B,2,FALSE),1),"")</f>
        <v>1</v>
      </c>
      <c r="F1486" s="25">
        <v>1887</v>
      </c>
      <c r="G1486" s="28">
        <f>IF(LEFT(D1486,6)="CLIENT",IF(E1486=0,WORKDAY(A1486-1,1,Dias_Sem_Compensacao!$A$2:$A$500),WORKDAY(A1486,E1486,Dias_Sem_Compensacao!$A$2:$A$500)),"")</f>
        <v>46302</v>
      </c>
      <c r="H1486" s="25">
        <v>0</v>
      </c>
      <c r="I1486" s="28">
        <v>46301</v>
      </c>
      <c r="J1486" t="s">
        <v>1273</v>
      </c>
      <c r="K1486" t="s">
        <v>1274</v>
      </c>
    </row>
    <row r="1487" spans="1:11" hidden="1">
      <c r="A1487" s="28">
        <v>46301</v>
      </c>
      <c r="B1487" t="s">
        <v>186</v>
      </c>
      <c r="C1487" t="s">
        <v>203</v>
      </c>
      <c r="D1487" t="s">
        <v>217</v>
      </c>
      <c r="E1487">
        <f>IF(LEFT(D1487,6)="CLIENT",IFERROR(VLOOKUP(C1487,Config_Carteiras!$A:$B,2,FALSE),1),"")</f>
        <v>1</v>
      </c>
      <c r="F1487" s="25">
        <v>1720</v>
      </c>
      <c r="G1487" s="28">
        <f>IF(LEFT(D1487,6)="CLIENT",IF(E1487=0,WORKDAY(A1487-1,1,Dias_Sem_Compensacao!$A$2:$A$500),WORKDAY(A1487,E1487,Dias_Sem_Compensacao!$A$2:$A$500)),"")</f>
        <v>46302</v>
      </c>
      <c r="H1487" s="25">
        <v>0</v>
      </c>
      <c r="I1487" s="28">
        <v>46301</v>
      </c>
      <c r="J1487" t="s">
        <v>2018</v>
      </c>
      <c r="K1487" t="s">
        <v>2019</v>
      </c>
    </row>
    <row r="1488" spans="1:11" hidden="1">
      <c r="A1488" s="28">
        <v>46301</v>
      </c>
      <c r="B1488" t="s">
        <v>186</v>
      </c>
      <c r="C1488" t="s">
        <v>203</v>
      </c>
      <c r="D1488" t="s">
        <v>217</v>
      </c>
      <c r="E1488">
        <f>IF(LEFT(D1488,6)="CLIENT",IFERROR(VLOOKUP(C1488,Config_Carteiras!$A:$B,2,FALSE),1),"")</f>
        <v>1</v>
      </c>
      <c r="F1488" s="25">
        <v>1434.92</v>
      </c>
      <c r="G1488" s="28">
        <f>IF(LEFT(D1488,6)="CLIENT",IF(E1488=0,WORKDAY(A1488-1,1,Dias_Sem_Compensacao!$A$2:$A$500),WORKDAY(A1488,E1488,Dias_Sem_Compensacao!$A$2:$A$500)),"")</f>
        <v>46302</v>
      </c>
      <c r="H1488" s="25">
        <v>0</v>
      </c>
      <c r="I1488" s="28">
        <v>46301</v>
      </c>
      <c r="J1488" t="s">
        <v>2020</v>
      </c>
      <c r="K1488" t="s">
        <v>2021</v>
      </c>
    </row>
    <row r="1489" spans="1:11" hidden="1">
      <c r="A1489" s="28">
        <v>46301</v>
      </c>
      <c r="B1489" t="s">
        <v>186</v>
      </c>
      <c r="C1489" t="s">
        <v>203</v>
      </c>
      <c r="D1489" t="s">
        <v>217</v>
      </c>
      <c r="E1489">
        <f>IF(LEFT(D1489,6)="CLIENT",IFERROR(VLOOKUP(C1489,Config_Carteiras!$A:$B,2,FALSE),1),"")</f>
        <v>1</v>
      </c>
      <c r="F1489" s="25">
        <v>804</v>
      </c>
      <c r="G1489" s="28">
        <f>IF(LEFT(D1489,6)="CLIENT",IF(E1489=0,WORKDAY(A1489-1,1,Dias_Sem_Compensacao!$A$2:$A$500),WORKDAY(A1489,E1489,Dias_Sem_Compensacao!$A$2:$A$500)),"")</f>
        <v>46302</v>
      </c>
      <c r="H1489" s="25">
        <v>0</v>
      </c>
      <c r="I1489" s="28">
        <v>46301</v>
      </c>
      <c r="J1489" t="s">
        <v>1414</v>
      </c>
      <c r="K1489" t="s">
        <v>2022</v>
      </c>
    </row>
    <row r="1490" spans="1:11" hidden="1">
      <c r="A1490" s="28">
        <v>46301</v>
      </c>
      <c r="B1490" t="s">
        <v>186</v>
      </c>
      <c r="C1490" t="s">
        <v>203</v>
      </c>
      <c r="D1490" t="s">
        <v>217</v>
      </c>
      <c r="E1490">
        <f>IF(LEFT(D1490,6)="CLIENT",IFERROR(VLOOKUP(C1490,Config_Carteiras!$A:$B,2,FALSE),1),"")</f>
        <v>1</v>
      </c>
      <c r="F1490" s="25">
        <v>540</v>
      </c>
      <c r="G1490" s="28">
        <f>IF(LEFT(D1490,6)="CLIENT",IF(E1490=0,WORKDAY(A1490-1,1,Dias_Sem_Compensacao!$A$2:$A$500),WORKDAY(A1490,E1490,Dias_Sem_Compensacao!$A$2:$A$500)),"")</f>
        <v>46302</v>
      </c>
      <c r="H1490" s="25">
        <v>0</v>
      </c>
      <c r="I1490" s="28">
        <v>46301</v>
      </c>
      <c r="J1490" t="s">
        <v>698</v>
      </c>
      <c r="K1490" t="s">
        <v>2023</v>
      </c>
    </row>
    <row r="1491" spans="1:11" hidden="1">
      <c r="A1491" s="28">
        <v>46301</v>
      </c>
      <c r="B1491" t="s">
        <v>186</v>
      </c>
      <c r="C1491" t="s">
        <v>203</v>
      </c>
      <c r="D1491" t="s">
        <v>217</v>
      </c>
      <c r="E1491">
        <f>IF(LEFT(D1491,6)="CLIENT",IFERROR(VLOOKUP(C1491,Config_Carteiras!$A:$B,2,FALSE),1),"")</f>
        <v>1</v>
      </c>
      <c r="F1491" s="25">
        <v>1154.2</v>
      </c>
      <c r="G1491" s="28">
        <f>IF(LEFT(D1491,6)="CLIENT",IF(E1491=0,WORKDAY(A1491-1,1,Dias_Sem_Compensacao!$A$2:$A$500),WORKDAY(A1491,E1491,Dias_Sem_Compensacao!$A$2:$A$500)),"")</f>
        <v>46302</v>
      </c>
      <c r="H1491" s="25">
        <v>0</v>
      </c>
      <c r="I1491" s="28">
        <v>46301</v>
      </c>
      <c r="J1491" t="s">
        <v>2024</v>
      </c>
      <c r="K1491" t="s">
        <v>2025</v>
      </c>
    </row>
    <row r="1492" spans="1:11" hidden="1">
      <c r="A1492" s="28">
        <v>46301</v>
      </c>
      <c r="B1492" t="s">
        <v>186</v>
      </c>
      <c r="C1492" t="s">
        <v>203</v>
      </c>
      <c r="D1492" t="s">
        <v>217</v>
      </c>
      <c r="E1492">
        <f>IF(LEFT(D1492,6)="CLIENT",IFERROR(VLOOKUP(C1492,Config_Carteiras!$A:$B,2,FALSE),1),"")</f>
        <v>1</v>
      </c>
      <c r="F1492" s="25">
        <v>372.94</v>
      </c>
      <c r="G1492" s="28">
        <f>IF(LEFT(D1492,6)="CLIENT",IF(E1492=0,WORKDAY(A1492-1,1,Dias_Sem_Compensacao!$A$2:$A$500),WORKDAY(A1492,E1492,Dias_Sem_Compensacao!$A$2:$A$500)),"")</f>
        <v>46302</v>
      </c>
      <c r="H1492" s="25">
        <v>0</v>
      </c>
      <c r="I1492" s="28">
        <v>46301</v>
      </c>
      <c r="J1492" t="s">
        <v>2026</v>
      </c>
      <c r="K1492" t="s">
        <v>2027</v>
      </c>
    </row>
    <row r="1493" spans="1:11" hidden="1">
      <c r="A1493" s="28">
        <v>46301</v>
      </c>
      <c r="B1493" t="s">
        <v>186</v>
      </c>
      <c r="C1493" t="s">
        <v>203</v>
      </c>
      <c r="D1493" t="s">
        <v>217</v>
      </c>
      <c r="E1493">
        <f>IF(LEFT(D1493,6)="CLIENT",IFERROR(VLOOKUP(C1493,Config_Carteiras!$A:$B,2,FALSE),1),"")</f>
        <v>1</v>
      </c>
      <c r="F1493" s="25">
        <v>868</v>
      </c>
      <c r="G1493" s="28">
        <f>IF(LEFT(D1493,6)="CLIENT",IF(E1493=0,WORKDAY(A1493-1,1,Dias_Sem_Compensacao!$A$2:$A$500),WORKDAY(A1493,E1493,Dias_Sem_Compensacao!$A$2:$A$500)),"")</f>
        <v>46302</v>
      </c>
      <c r="H1493" s="25">
        <v>0</v>
      </c>
      <c r="I1493" s="28">
        <v>46301</v>
      </c>
      <c r="J1493" t="s">
        <v>2028</v>
      </c>
      <c r="K1493" t="s">
        <v>2029</v>
      </c>
    </row>
    <row r="1494" spans="1:11" hidden="1">
      <c r="A1494" s="28">
        <v>46301</v>
      </c>
      <c r="B1494" t="s">
        <v>186</v>
      </c>
      <c r="C1494" t="s">
        <v>203</v>
      </c>
      <c r="D1494" t="s">
        <v>217</v>
      </c>
      <c r="E1494">
        <f>IF(LEFT(D1494,6)="CLIENT",IFERROR(VLOOKUP(C1494,Config_Carteiras!$A:$B,2,FALSE),1),"")</f>
        <v>1</v>
      </c>
      <c r="F1494" s="25">
        <v>951</v>
      </c>
      <c r="G1494" s="28">
        <f>IF(LEFT(D1494,6)="CLIENT",IF(E1494=0,WORKDAY(A1494-1,1,Dias_Sem_Compensacao!$A$2:$A$500),WORKDAY(A1494,E1494,Dias_Sem_Compensacao!$A$2:$A$500)),"")</f>
        <v>46302</v>
      </c>
      <c r="H1494" s="25">
        <v>0</v>
      </c>
      <c r="I1494" s="28">
        <v>46301</v>
      </c>
      <c r="J1494" t="s">
        <v>2030</v>
      </c>
      <c r="K1494" t="s">
        <v>2031</v>
      </c>
    </row>
    <row r="1495" spans="1:11" hidden="1">
      <c r="A1495" s="28">
        <v>46301</v>
      </c>
      <c r="B1495" t="s">
        <v>186</v>
      </c>
      <c r="C1495" t="s">
        <v>203</v>
      </c>
      <c r="D1495" t="s">
        <v>217</v>
      </c>
      <c r="E1495">
        <f>IF(LEFT(D1495,6)="CLIENT",IFERROR(VLOOKUP(C1495,Config_Carteiras!$A:$B,2,FALSE),1),"")</f>
        <v>1</v>
      </c>
      <c r="F1495" s="25">
        <v>4107</v>
      </c>
      <c r="G1495" s="28">
        <f>IF(LEFT(D1495,6)="CLIENT",IF(E1495=0,WORKDAY(A1495-1,1,Dias_Sem_Compensacao!$A$2:$A$500),WORKDAY(A1495,E1495,Dias_Sem_Compensacao!$A$2:$A$500)),"")</f>
        <v>46302</v>
      </c>
      <c r="H1495" s="25">
        <v>0</v>
      </c>
      <c r="I1495" s="28">
        <v>46301</v>
      </c>
      <c r="J1495" t="s">
        <v>2032</v>
      </c>
      <c r="K1495" t="s">
        <v>2033</v>
      </c>
    </row>
    <row r="1496" spans="1:11" hidden="1">
      <c r="A1496" s="28">
        <v>46301</v>
      </c>
      <c r="B1496" t="s">
        <v>186</v>
      </c>
      <c r="C1496" t="s">
        <v>203</v>
      </c>
      <c r="D1496" t="s">
        <v>217</v>
      </c>
      <c r="E1496">
        <f>IF(LEFT(D1496,6)="CLIENT",IFERROR(VLOOKUP(C1496,Config_Carteiras!$A:$B,2,FALSE),1),"")</f>
        <v>1</v>
      </c>
      <c r="F1496" s="25">
        <v>4457</v>
      </c>
      <c r="G1496" s="28">
        <f>IF(LEFT(D1496,6)="CLIENT",IF(E1496=0,WORKDAY(A1496-1,1,Dias_Sem_Compensacao!$A$2:$A$500),WORKDAY(A1496,E1496,Dias_Sem_Compensacao!$A$2:$A$500)),"")</f>
        <v>46302</v>
      </c>
      <c r="H1496" s="25">
        <v>0</v>
      </c>
      <c r="I1496" s="28">
        <v>46301</v>
      </c>
      <c r="J1496" t="s">
        <v>1279</v>
      </c>
      <c r="K1496" t="s">
        <v>1280</v>
      </c>
    </row>
    <row r="1497" spans="1:11" hidden="1">
      <c r="A1497" s="28">
        <v>46301</v>
      </c>
      <c r="B1497" t="s">
        <v>186</v>
      </c>
      <c r="C1497" t="s">
        <v>203</v>
      </c>
      <c r="D1497" t="s">
        <v>217</v>
      </c>
      <c r="E1497">
        <f>IF(LEFT(D1497,6)="CLIENT",IFERROR(VLOOKUP(C1497,Config_Carteiras!$A:$B,2,FALSE),1),"")</f>
        <v>1</v>
      </c>
      <c r="F1497" s="25">
        <v>805.32</v>
      </c>
      <c r="G1497" s="28">
        <f>IF(LEFT(D1497,6)="CLIENT",IF(E1497=0,WORKDAY(A1497-1,1,Dias_Sem_Compensacao!$A$2:$A$500),WORKDAY(A1497,E1497,Dias_Sem_Compensacao!$A$2:$A$500)),"")</f>
        <v>46302</v>
      </c>
      <c r="H1497" s="25">
        <v>0</v>
      </c>
      <c r="I1497" s="28">
        <v>46301</v>
      </c>
      <c r="J1497" t="s">
        <v>1281</v>
      </c>
      <c r="K1497" t="s">
        <v>1282</v>
      </c>
    </row>
    <row r="1498" spans="1:11" hidden="1">
      <c r="A1498" s="28">
        <v>46301</v>
      </c>
      <c r="B1498" t="s">
        <v>186</v>
      </c>
      <c r="C1498" t="s">
        <v>203</v>
      </c>
      <c r="D1498" t="s">
        <v>217</v>
      </c>
      <c r="E1498">
        <f>IF(LEFT(D1498,6)="CLIENT",IFERROR(VLOOKUP(C1498,Config_Carteiras!$A:$B,2,FALSE),1),"")</f>
        <v>1</v>
      </c>
      <c r="F1498" s="25">
        <v>2048.9899999999998</v>
      </c>
      <c r="G1498" s="28">
        <f>IF(LEFT(D1498,6)="CLIENT",IF(E1498=0,WORKDAY(A1498-1,1,Dias_Sem_Compensacao!$A$2:$A$500),WORKDAY(A1498,E1498,Dias_Sem_Compensacao!$A$2:$A$500)),"")</f>
        <v>46302</v>
      </c>
      <c r="H1498" s="25">
        <v>0</v>
      </c>
      <c r="I1498" s="28">
        <v>46301</v>
      </c>
      <c r="J1498" t="s">
        <v>1283</v>
      </c>
      <c r="K1498" t="s">
        <v>1284</v>
      </c>
    </row>
    <row r="1499" spans="1:11" hidden="1">
      <c r="A1499" s="28">
        <v>46301</v>
      </c>
      <c r="B1499" t="s">
        <v>186</v>
      </c>
      <c r="C1499" t="s">
        <v>203</v>
      </c>
      <c r="D1499" t="s">
        <v>217</v>
      </c>
      <c r="E1499">
        <f>IF(LEFT(D1499,6)="CLIENT",IFERROR(VLOOKUP(C1499,Config_Carteiras!$A:$B,2,FALSE),1),"")</f>
        <v>1</v>
      </c>
      <c r="F1499" s="25">
        <v>882</v>
      </c>
      <c r="G1499" s="28">
        <f>IF(LEFT(D1499,6)="CLIENT",IF(E1499=0,WORKDAY(A1499-1,1,Dias_Sem_Compensacao!$A$2:$A$500),WORKDAY(A1499,E1499,Dias_Sem_Compensacao!$A$2:$A$500)),"")</f>
        <v>46302</v>
      </c>
      <c r="H1499" s="25">
        <v>0</v>
      </c>
      <c r="I1499" s="28">
        <v>46301</v>
      </c>
      <c r="J1499" t="s">
        <v>2034</v>
      </c>
      <c r="K1499" t="s">
        <v>2035</v>
      </c>
    </row>
    <row r="1500" spans="1:11" hidden="1">
      <c r="A1500" s="28">
        <v>46301</v>
      </c>
      <c r="B1500" t="s">
        <v>186</v>
      </c>
      <c r="C1500" t="s">
        <v>203</v>
      </c>
      <c r="D1500" t="s">
        <v>217</v>
      </c>
      <c r="E1500">
        <f>IF(LEFT(D1500,6)="CLIENT",IFERROR(VLOOKUP(C1500,Config_Carteiras!$A:$B,2,FALSE),1),"")</f>
        <v>1</v>
      </c>
      <c r="F1500" s="25">
        <v>1434</v>
      </c>
      <c r="G1500" s="28">
        <f>IF(LEFT(D1500,6)="CLIENT",IF(E1500=0,WORKDAY(A1500-1,1,Dias_Sem_Compensacao!$A$2:$A$500),WORKDAY(A1500,E1500,Dias_Sem_Compensacao!$A$2:$A$500)),"")</f>
        <v>46302</v>
      </c>
      <c r="H1500" s="25">
        <v>0</v>
      </c>
      <c r="I1500" s="28">
        <v>46301</v>
      </c>
      <c r="J1500" t="s">
        <v>2036</v>
      </c>
      <c r="K1500" t="s">
        <v>2037</v>
      </c>
    </row>
    <row r="1501" spans="1:11" hidden="1">
      <c r="A1501" s="28">
        <v>46301</v>
      </c>
      <c r="B1501" t="s">
        <v>186</v>
      </c>
      <c r="C1501" t="s">
        <v>203</v>
      </c>
      <c r="D1501" t="s">
        <v>217</v>
      </c>
      <c r="E1501">
        <f>IF(LEFT(D1501,6)="CLIENT",IFERROR(VLOOKUP(C1501,Config_Carteiras!$A:$B,2,FALSE),1),"")</f>
        <v>1</v>
      </c>
      <c r="F1501" s="25">
        <v>761</v>
      </c>
      <c r="G1501" s="28">
        <f>IF(LEFT(D1501,6)="CLIENT",IF(E1501=0,WORKDAY(A1501-1,1,Dias_Sem_Compensacao!$A$2:$A$500),WORKDAY(A1501,E1501,Dias_Sem_Compensacao!$A$2:$A$500)),"")</f>
        <v>46302</v>
      </c>
      <c r="H1501" s="25">
        <v>0</v>
      </c>
      <c r="I1501" s="28">
        <v>46301</v>
      </c>
      <c r="J1501" t="s">
        <v>2038</v>
      </c>
      <c r="K1501" t="s">
        <v>2039</v>
      </c>
    </row>
    <row r="1502" spans="1:11" hidden="1">
      <c r="A1502" s="28">
        <v>46301</v>
      </c>
      <c r="B1502" t="s">
        <v>186</v>
      </c>
      <c r="C1502" t="s">
        <v>203</v>
      </c>
      <c r="D1502" t="s">
        <v>217</v>
      </c>
      <c r="E1502">
        <f>IF(LEFT(D1502,6)="CLIENT",IFERROR(VLOOKUP(C1502,Config_Carteiras!$A:$B,2,FALSE),1),"")</f>
        <v>1</v>
      </c>
      <c r="F1502" s="25">
        <v>792.56</v>
      </c>
      <c r="G1502" s="28">
        <f>IF(LEFT(D1502,6)="CLIENT",IF(E1502=0,WORKDAY(A1502-1,1,Dias_Sem_Compensacao!$A$2:$A$500),WORKDAY(A1502,E1502,Dias_Sem_Compensacao!$A$2:$A$500)),"")</f>
        <v>46302</v>
      </c>
      <c r="H1502" s="25">
        <v>0</v>
      </c>
      <c r="I1502" s="28">
        <v>46301</v>
      </c>
      <c r="J1502" t="s">
        <v>1289</v>
      </c>
      <c r="K1502" t="s">
        <v>1290</v>
      </c>
    </row>
    <row r="1503" spans="1:11" hidden="1">
      <c r="A1503" s="28">
        <v>46302</v>
      </c>
      <c r="B1503" t="s">
        <v>186</v>
      </c>
      <c r="C1503" t="s">
        <v>203</v>
      </c>
      <c r="D1503" t="s">
        <v>217</v>
      </c>
      <c r="E1503">
        <f>IF(LEFT(D1503,6)="CLIENT",IFERROR(VLOOKUP(C1503,Config_Carteiras!$A:$B,2,FALSE),1),"")</f>
        <v>1</v>
      </c>
      <c r="F1503" s="25">
        <v>391</v>
      </c>
      <c r="G1503" s="28">
        <f>IF(LEFT(D1503,6)="CLIENT",IF(E1503=0,WORKDAY(A1503-1,1,Dias_Sem_Compensacao!$A$2:$A$500),WORKDAY(A1503,E1503,Dias_Sem_Compensacao!$A$2:$A$500)),"")</f>
        <v>46303</v>
      </c>
      <c r="H1503" s="25">
        <v>0</v>
      </c>
      <c r="I1503" s="28">
        <v>46302</v>
      </c>
      <c r="J1503" t="s">
        <v>1291</v>
      </c>
      <c r="K1503" t="s">
        <v>1292</v>
      </c>
    </row>
    <row r="1504" spans="1:11" hidden="1">
      <c r="A1504" s="28">
        <v>46302</v>
      </c>
      <c r="B1504" t="s">
        <v>186</v>
      </c>
      <c r="C1504" t="s">
        <v>203</v>
      </c>
      <c r="D1504" t="s">
        <v>217</v>
      </c>
      <c r="E1504">
        <f>IF(LEFT(D1504,6)="CLIENT",IFERROR(VLOOKUP(C1504,Config_Carteiras!$A:$B,2,FALSE),1),"")</f>
        <v>1</v>
      </c>
      <c r="F1504" s="25">
        <v>3315.62</v>
      </c>
      <c r="G1504" s="28">
        <f>IF(LEFT(D1504,6)="CLIENT",IF(E1504=0,WORKDAY(A1504-1,1,Dias_Sem_Compensacao!$A$2:$A$500),WORKDAY(A1504,E1504,Dias_Sem_Compensacao!$A$2:$A$500)),"")</f>
        <v>46303</v>
      </c>
      <c r="H1504" s="25">
        <v>0</v>
      </c>
      <c r="I1504" s="28">
        <v>46302</v>
      </c>
      <c r="J1504" t="s">
        <v>1300</v>
      </c>
      <c r="K1504" t="s">
        <v>1301</v>
      </c>
    </row>
    <row r="1505" spans="1:11" hidden="1">
      <c r="A1505" s="28">
        <v>46302</v>
      </c>
      <c r="B1505" t="s">
        <v>186</v>
      </c>
      <c r="C1505" t="s">
        <v>203</v>
      </c>
      <c r="D1505" t="s">
        <v>217</v>
      </c>
      <c r="E1505">
        <f>IF(LEFT(D1505,6)="CLIENT",IFERROR(VLOOKUP(C1505,Config_Carteiras!$A:$B,2,FALSE),1),"")</f>
        <v>1</v>
      </c>
      <c r="F1505" s="25">
        <v>1120</v>
      </c>
      <c r="G1505" s="28">
        <f>IF(LEFT(D1505,6)="CLIENT",IF(E1505=0,WORKDAY(A1505-1,1,Dias_Sem_Compensacao!$A$2:$A$500),WORKDAY(A1505,E1505,Dias_Sem_Compensacao!$A$2:$A$500)),"")</f>
        <v>46303</v>
      </c>
      <c r="H1505" s="25">
        <v>0</v>
      </c>
      <c r="I1505" s="28">
        <v>46302</v>
      </c>
      <c r="J1505" t="s">
        <v>2040</v>
      </c>
      <c r="K1505" t="s">
        <v>2041</v>
      </c>
    </row>
    <row r="1506" spans="1:11" hidden="1">
      <c r="A1506" s="28">
        <v>46302</v>
      </c>
      <c r="B1506" t="s">
        <v>186</v>
      </c>
      <c r="C1506" t="s">
        <v>203</v>
      </c>
      <c r="D1506" t="s">
        <v>217</v>
      </c>
      <c r="E1506">
        <f>IF(LEFT(D1506,6)="CLIENT",IFERROR(VLOOKUP(C1506,Config_Carteiras!$A:$B,2,FALSE),1),"")</f>
        <v>1</v>
      </c>
      <c r="F1506" s="25">
        <v>1586</v>
      </c>
      <c r="G1506" s="28">
        <f>IF(LEFT(D1506,6)="CLIENT",IF(E1506=0,WORKDAY(A1506-1,1,Dias_Sem_Compensacao!$A$2:$A$500),WORKDAY(A1506,E1506,Dias_Sem_Compensacao!$A$2:$A$500)),"")</f>
        <v>46303</v>
      </c>
      <c r="H1506" s="25">
        <v>0</v>
      </c>
      <c r="I1506" s="28">
        <v>46302</v>
      </c>
      <c r="J1506" t="s">
        <v>2042</v>
      </c>
      <c r="K1506" t="s">
        <v>2043</v>
      </c>
    </row>
    <row r="1507" spans="1:11" hidden="1">
      <c r="A1507" s="28">
        <v>46302</v>
      </c>
      <c r="B1507" t="s">
        <v>186</v>
      </c>
      <c r="C1507" t="s">
        <v>203</v>
      </c>
      <c r="D1507" t="s">
        <v>217</v>
      </c>
      <c r="E1507">
        <f>IF(LEFT(D1507,6)="CLIENT",IFERROR(VLOOKUP(C1507,Config_Carteiras!$A:$B,2,FALSE),1),"")</f>
        <v>1</v>
      </c>
      <c r="F1507" s="25">
        <v>12994</v>
      </c>
      <c r="G1507" s="28">
        <f>IF(LEFT(D1507,6)="CLIENT",IF(E1507=0,WORKDAY(A1507-1,1,Dias_Sem_Compensacao!$A$2:$A$500),WORKDAY(A1507,E1507,Dias_Sem_Compensacao!$A$2:$A$500)),"")</f>
        <v>46303</v>
      </c>
      <c r="H1507" s="25">
        <v>0</v>
      </c>
      <c r="I1507" s="28">
        <v>46302</v>
      </c>
      <c r="J1507" t="s">
        <v>1058</v>
      </c>
      <c r="K1507" t="s">
        <v>1059</v>
      </c>
    </row>
    <row r="1508" spans="1:11" hidden="1">
      <c r="A1508" s="28">
        <v>46302</v>
      </c>
      <c r="B1508" t="s">
        <v>186</v>
      </c>
      <c r="C1508" t="s">
        <v>203</v>
      </c>
      <c r="D1508" t="s">
        <v>217</v>
      </c>
      <c r="E1508">
        <f>IF(LEFT(D1508,6)="CLIENT",IFERROR(VLOOKUP(C1508,Config_Carteiras!$A:$B,2,FALSE),1),"")</f>
        <v>1</v>
      </c>
      <c r="F1508" s="25">
        <v>5618.45</v>
      </c>
      <c r="G1508" s="28">
        <f>IF(LEFT(D1508,6)="CLIENT",IF(E1508=0,WORKDAY(A1508-1,1,Dias_Sem_Compensacao!$A$2:$A$500),WORKDAY(A1508,E1508,Dias_Sem_Compensacao!$A$2:$A$500)),"")</f>
        <v>46303</v>
      </c>
      <c r="H1508" s="25">
        <v>0</v>
      </c>
      <c r="I1508" s="28">
        <v>46302</v>
      </c>
      <c r="J1508" t="s">
        <v>1302</v>
      </c>
      <c r="K1508" t="s">
        <v>1303</v>
      </c>
    </row>
    <row r="1509" spans="1:11" hidden="1">
      <c r="A1509" s="28">
        <v>46302</v>
      </c>
      <c r="B1509" t="s">
        <v>186</v>
      </c>
      <c r="C1509" t="s">
        <v>203</v>
      </c>
      <c r="D1509" t="s">
        <v>217</v>
      </c>
      <c r="E1509">
        <f>IF(LEFT(D1509,6)="CLIENT",IFERROR(VLOOKUP(C1509,Config_Carteiras!$A:$B,2,FALSE),1),"")</f>
        <v>1</v>
      </c>
      <c r="F1509" s="25">
        <v>668.03</v>
      </c>
      <c r="G1509" s="28">
        <f>IF(LEFT(D1509,6)="CLIENT",IF(E1509=0,WORKDAY(A1509-1,1,Dias_Sem_Compensacao!$A$2:$A$500),WORKDAY(A1509,E1509,Dias_Sem_Compensacao!$A$2:$A$500)),"")</f>
        <v>46303</v>
      </c>
      <c r="H1509" s="25">
        <v>0</v>
      </c>
      <c r="I1509" s="28">
        <v>46302</v>
      </c>
      <c r="J1509" t="s">
        <v>1304</v>
      </c>
      <c r="K1509" t="s">
        <v>1305</v>
      </c>
    </row>
    <row r="1510" spans="1:11" hidden="1">
      <c r="A1510" s="28">
        <v>46302</v>
      </c>
      <c r="B1510" t="s">
        <v>186</v>
      </c>
      <c r="C1510" t="s">
        <v>203</v>
      </c>
      <c r="D1510" t="s">
        <v>217</v>
      </c>
      <c r="E1510">
        <f>IF(LEFT(D1510,6)="CLIENT",IFERROR(VLOOKUP(C1510,Config_Carteiras!$A:$B,2,FALSE),1),"")</f>
        <v>1</v>
      </c>
      <c r="F1510" s="25">
        <v>1284</v>
      </c>
      <c r="G1510" s="28">
        <f>IF(LEFT(D1510,6)="CLIENT",IF(E1510=0,WORKDAY(A1510-1,1,Dias_Sem_Compensacao!$A$2:$A$500),WORKDAY(A1510,E1510,Dias_Sem_Compensacao!$A$2:$A$500)),"")</f>
        <v>46303</v>
      </c>
      <c r="H1510" s="25">
        <v>0</v>
      </c>
      <c r="I1510" s="28">
        <v>46302</v>
      </c>
      <c r="J1510" t="s">
        <v>2044</v>
      </c>
      <c r="K1510" t="s">
        <v>2045</v>
      </c>
    </row>
    <row r="1511" spans="1:11" hidden="1">
      <c r="A1511" s="28">
        <v>46302</v>
      </c>
      <c r="B1511" t="s">
        <v>186</v>
      </c>
      <c r="C1511" t="s">
        <v>203</v>
      </c>
      <c r="D1511" t="s">
        <v>217</v>
      </c>
      <c r="E1511">
        <f>IF(LEFT(D1511,6)="CLIENT",IFERROR(VLOOKUP(C1511,Config_Carteiras!$A:$B,2,FALSE),1),"")</f>
        <v>1</v>
      </c>
      <c r="F1511" s="25">
        <v>454.93</v>
      </c>
      <c r="G1511" s="28">
        <f>IF(LEFT(D1511,6)="CLIENT",IF(E1511=0,WORKDAY(A1511-1,1,Dias_Sem_Compensacao!$A$2:$A$500),WORKDAY(A1511,E1511,Dias_Sem_Compensacao!$A$2:$A$500)),"")</f>
        <v>46303</v>
      </c>
      <c r="H1511" s="25">
        <v>0</v>
      </c>
      <c r="I1511" s="28">
        <v>46302</v>
      </c>
      <c r="J1511" t="s">
        <v>1308</v>
      </c>
      <c r="K1511" t="s">
        <v>1309</v>
      </c>
    </row>
    <row r="1512" spans="1:11" hidden="1">
      <c r="A1512" s="28">
        <v>46302</v>
      </c>
      <c r="B1512" t="s">
        <v>186</v>
      </c>
      <c r="C1512" t="s">
        <v>203</v>
      </c>
      <c r="D1512" t="s">
        <v>217</v>
      </c>
      <c r="E1512">
        <f>IF(LEFT(D1512,6)="CLIENT",IFERROR(VLOOKUP(C1512,Config_Carteiras!$A:$B,2,FALSE),1),"")</f>
        <v>1</v>
      </c>
      <c r="F1512" s="25">
        <v>400.29</v>
      </c>
      <c r="G1512" s="28">
        <f>IF(LEFT(D1512,6)="CLIENT",IF(E1512=0,WORKDAY(A1512-1,1,Dias_Sem_Compensacao!$A$2:$A$500),WORKDAY(A1512,E1512,Dias_Sem_Compensacao!$A$2:$A$500)),"")</f>
        <v>46303</v>
      </c>
      <c r="H1512" s="25">
        <v>0</v>
      </c>
      <c r="I1512" s="28">
        <v>46302</v>
      </c>
      <c r="K1512" t="s">
        <v>1310</v>
      </c>
    </row>
    <row r="1513" spans="1:11" hidden="1">
      <c r="A1513" s="28">
        <v>46302</v>
      </c>
      <c r="B1513" t="s">
        <v>186</v>
      </c>
      <c r="C1513" t="s">
        <v>203</v>
      </c>
      <c r="D1513" t="s">
        <v>217</v>
      </c>
      <c r="E1513">
        <f>IF(LEFT(D1513,6)="CLIENT",IFERROR(VLOOKUP(C1513,Config_Carteiras!$A:$B,2,FALSE),1),"")</f>
        <v>1</v>
      </c>
      <c r="F1513" s="25">
        <v>10484</v>
      </c>
      <c r="G1513" s="28">
        <f>IF(LEFT(D1513,6)="CLIENT",IF(E1513=0,WORKDAY(A1513-1,1,Dias_Sem_Compensacao!$A$2:$A$500),WORKDAY(A1513,E1513,Dias_Sem_Compensacao!$A$2:$A$500)),"")</f>
        <v>46303</v>
      </c>
      <c r="H1513" s="25">
        <v>0</v>
      </c>
      <c r="I1513" s="28">
        <v>46302</v>
      </c>
      <c r="J1513" t="s">
        <v>1311</v>
      </c>
      <c r="K1513" t="s">
        <v>1312</v>
      </c>
    </row>
    <row r="1514" spans="1:11" hidden="1">
      <c r="A1514" s="28">
        <v>46302</v>
      </c>
      <c r="B1514" t="s">
        <v>186</v>
      </c>
      <c r="C1514" t="s">
        <v>203</v>
      </c>
      <c r="D1514" t="s">
        <v>217</v>
      </c>
      <c r="E1514">
        <f>IF(LEFT(D1514,6)="CLIENT",IFERROR(VLOOKUP(C1514,Config_Carteiras!$A:$B,2,FALSE),1),"")</f>
        <v>1</v>
      </c>
      <c r="F1514" s="25">
        <v>898.23</v>
      </c>
      <c r="G1514" s="28">
        <f>IF(LEFT(D1514,6)="CLIENT",IF(E1514=0,WORKDAY(A1514-1,1,Dias_Sem_Compensacao!$A$2:$A$500),WORKDAY(A1514,E1514,Dias_Sem_Compensacao!$A$2:$A$500)),"")</f>
        <v>46303</v>
      </c>
      <c r="H1514" s="25">
        <v>0</v>
      </c>
      <c r="I1514" s="28">
        <v>46302</v>
      </c>
      <c r="J1514" t="s">
        <v>1317</v>
      </c>
      <c r="K1514" t="s">
        <v>1318</v>
      </c>
    </row>
    <row r="1515" spans="1:11" hidden="1">
      <c r="A1515" s="28">
        <v>46302</v>
      </c>
      <c r="B1515" t="s">
        <v>186</v>
      </c>
      <c r="C1515" t="s">
        <v>203</v>
      </c>
      <c r="D1515" t="s">
        <v>217</v>
      </c>
      <c r="E1515">
        <f>IF(LEFT(D1515,6)="CLIENT",IFERROR(VLOOKUP(C1515,Config_Carteiras!$A:$B,2,FALSE),1),"")</f>
        <v>1</v>
      </c>
      <c r="F1515" s="25">
        <v>1259.67</v>
      </c>
      <c r="G1515" s="28">
        <f>IF(LEFT(D1515,6)="CLIENT",IF(E1515=0,WORKDAY(A1515-1,1,Dias_Sem_Compensacao!$A$2:$A$500),WORKDAY(A1515,E1515,Dias_Sem_Compensacao!$A$2:$A$500)),"")</f>
        <v>46303</v>
      </c>
      <c r="H1515" s="25">
        <v>0</v>
      </c>
      <c r="I1515" s="28">
        <v>46302</v>
      </c>
      <c r="J1515" t="s">
        <v>1319</v>
      </c>
      <c r="K1515" t="s">
        <v>1320</v>
      </c>
    </row>
    <row r="1516" spans="1:11" hidden="1">
      <c r="A1516" s="28">
        <v>46302</v>
      </c>
      <c r="B1516" t="s">
        <v>186</v>
      </c>
      <c r="C1516" t="s">
        <v>203</v>
      </c>
      <c r="D1516" t="s">
        <v>217</v>
      </c>
      <c r="E1516">
        <f>IF(LEFT(D1516,6)="CLIENT",IFERROR(VLOOKUP(C1516,Config_Carteiras!$A:$B,2,FALSE),1),"")</f>
        <v>1</v>
      </c>
      <c r="F1516" s="25">
        <v>2003</v>
      </c>
      <c r="G1516" s="28">
        <f>IF(LEFT(D1516,6)="CLIENT",IF(E1516=0,WORKDAY(A1516-1,1,Dias_Sem_Compensacao!$A$2:$A$500),WORKDAY(A1516,E1516,Dias_Sem_Compensacao!$A$2:$A$500)),"")</f>
        <v>46303</v>
      </c>
      <c r="H1516" s="25">
        <v>0</v>
      </c>
      <c r="I1516" s="28">
        <v>46302</v>
      </c>
      <c r="J1516" t="s">
        <v>1323</v>
      </c>
      <c r="K1516" t="s">
        <v>1324</v>
      </c>
    </row>
    <row r="1517" spans="1:11" hidden="1">
      <c r="A1517" s="28">
        <v>46302</v>
      </c>
      <c r="B1517" t="s">
        <v>186</v>
      </c>
      <c r="C1517" t="s">
        <v>203</v>
      </c>
      <c r="D1517" t="s">
        <v>217</v>
      </c>
      <c r="E1517">
        <f>IF(LEFT(D1517,6)="CLIENT",IFERROR(VLOOKUP(C1517,Config_Carteiras!$A:$B,2,FALSE),1),"")</f>
        <v>1</v>
      </c>
      <c r="F1517" s="25">
        <v>1520</v>
      </c>
      <c r="G1517" s="28">
        <f>IF(LEFT(D1517,6)="CLIENT",IF(E1517=0,WORKDAY(A1517-1,1,Dias_Sem_Compensacao!$A$2:$A$500),WORKDAY(A1517,E1517,Dias_Sem_Compensacao!$A$2:$A$500)),"")</f>
        <v>46303</v>
      </c>
      <c r="H1517" s="25">
        <v>0</v>
      </c>
      <c r="I1517" s="28">
        <v>46302</v>
      </c>
      <c r="J1517" t="s">
        <v>2046</v>
      </c>
      <c r="K1517" t="s">
        <v>2047</v>
      </c>
    </row>
    <row r="1518" spans="1:11" hidden="1">
      <c r="A1518" s="28">
        <v>46302</v>
      </c>
      <c r="B1518" t="s">
        <v>186</v>
      </c>
      <c r="C1518" t="s">
        <v>203</v>
      </c>
      <c r="D1518" t="s">
        <v>217</v>
      </c>
      <c r="E1518">
        <f>IF(LEFT(D1518,6)="CLIENT",IFERROR(VLOOKUP(C1518,Config_Carteiras!$A:$B,2,FALSE),1),"")</f>
        <v>1</v>
      </c>
      <c r="F1518" s="25">
        <v>1285</v>
      </c>
      <c r="G1518" s="28">
        <f>IF(LEFT(D1518,6)="CLIENT",IF(E1518=0,WORKDAY(A1518-1,1,Dias_Sem_Compensacao!$A$2:$A$500),WORKDAY(A1518,E1518,Dias_Sem_Compensacao!$A$2:$A$500)),"")</f>
        <v>46303</v>
      </c>
      <c r="H1518" s="25">
        <v>0</v>
      </c>
      <c r="I1518" s="28">
        <v>46302</v>
      </c>
      <c r="J1518" t="s">
        <v>1329</v>
      </c>
      <c r="K1518" t="s">
        <v>1330</v>
      </c>
    </row>
    <row r="1519" spans="1:11" hidden="1">
      <c r="A1519" s="28">
        <v>46302</v>
      </c>
      <c r="B1519" t="s">
        <v>186</v>
      </c>
      <c r="C1519" t="s">
        <v>203</v>
      </c>
      <c r="D1519" t="s">
        <v>217</v>
      </c>
      <c r="E1519">
        <f>IF(LEFT(D1519,6)="CLIENT",IFERROR(VLOOKUP(C1519,Config_Carteiras!$A:$B,2,FALSE),1),"")</f>
        <v>1</v>
      </c>
      <c r="F1519" s="25">
        <v>17631</v>
      </c>
      <c r="G1519" s="28">
        <f>IF(LEFT(D1519,6)="CLIENT",IF(E1519=0,WORKDAY(A1519-1,1,Dias_Sem_Compensacao!$A$2:$A$500),WORKDAY(A1519,E1519,Dias_Sem_Compensacao!$A$2:$A$500)),"")</f>
        <v>46303</v>
      </c>
      <c r="H1519" s="25">
        <v>0</v>
      </c>
      <c r="I1519" s="28">
        <v>46302</v>
      </c>
      <c r="J1519" t="s">
        <v>1162</v>
      </c>
      <c r="K1519" t="s">
        <v>2048</v>
      </c>
    </row>
    <row r="1520" spans="1:11" hidden="1">
      <c r="A1520" s="28">
        <v>46302</v>
      </c>
      <c r="B1520" t="s">
        <v>186</v>
      </c>
      <c r="C1520" t="s">
        <v>203</v>
      </c>
      <c r="D1520" t="s">
        <v>217</v>
      </c>
      <c r="E1520">
        <f>IF(LEFT(D1520,6)="CLIENT",IFERROR(VLOOKUP(C1520,Config_Carteiras!$A:$B,2,FALSE),1),"")</f>
        <v>1</v>
      </c>
      <c r="F1520" s="25">
        <v>591.17999999999995</v>
      </c>
      <c r="G1520" s="28">
        <f>IF(LEFT(D1520,6)="CLIENT",IF(E1520=0,WORKDAY(A1520-1,1,Dias_Sem_Compensacao!$A$2:$A$500),WORKDAY(A1520,E1520,Dias_Sem_Compensacao!$A$2:$A$500)),"")</f>
        <v>46303</v>
      </c>
      <c r="H1520" s="25">
        <v>0</v>
      </c>
      <c r="I1520" s="28">
        <v>46302</v>
      </c>
      <c r="J1520" t="s">
        <v>1060</v>
      </c>
      <c r="K1520" t="s">
        <v>1061</v>
      </c>
    </row>
    <row r="1521" spans="1:11" hidden="1">
      <c r="A1521" s="28">
        <v>46302</v>
      </c>
      <c r="B1521" t="s">
        <v>186</v>
      </c>
      <c r="C1521" t="s">
        <v>203</v>
      </c>
      <c r="D1521" t="s">
        <v>217</v>
      </c>
      <c r="E1521">
        <f>IF(LEFT(D1521,6)="CLIENT",IFERROR(VLOOKUP(C1521,Config_Carteiras!$A:$B,2,FALSE),1),"")</f>
        <v>1</v>
      </c>
      <c r="F1521" s="25">
        <v>1209</v>
      </c>
      <c r="G1521" s="28">
        <f>IF(LEFT(D1521,6)="CLIENT",IF(E1521=0,WORKDAY(A1521-1,1,Dias_Sem_Compensacao!$A$2:$A$500),WORKDAY(A1521,E1521,Dias_Sem_Compensacao!$A$2:$A$500)),"")</f>
        <v>46303</v>
      </c>
      <c r="H1521" s="25">
        <v>0</v>
      </c>
      <c r="I1521" s="28">
        <v>46302</v>
      </c>
      <c r="J1521" t="s">
        <v>2049</v>
      </c>
      <c r="K1521" t="s">
        <v>2050</v>
      </c>
    </row>
    <row r="1522" spans="1:11" hidden="1">
      <c r="A1522" s="28">
        <v>46302</v>
      </c>
      <c r="B1522" t="s">
        <v>186</v>
      </c>
      <c r="C1522" t="s">
        <v>203</v>
      </c>
      <c r="D1522" t="s">
        <v>217</v>
      </c>
      <c r="E1522">
        <f>IF(LEFT(D1522,6)="CLIENT",IFERROR(VLOOKUP(C1522,Config_Carteiras!$A:$B,2,FALSE),1),"")</f>
        <v>1</v>
      </c>
      <c r="F1522" s="25">
        <v>902</v>
      </c>
      <c r="G1522" s="28">
        <f>IF(LEFT(D1522,6)="CLIENT",IF(E1522=0,WORKDAY(A1522-1,1,Dias_Sem_Compensacao!$A$2:$A$500),WORKDAY(A1522,E1522,Dias_Sem_Compensacao!$A$2:$A$500)),"")</f>
        <v>46303</v>
      </c>
      <c r="H1522" s="25">
        <v>0</v>
      </c>
      <c r="I1522" s="28">
        <v>46302</v>
      </c>
      <c r="J1522" t="s">
        <v>1338</v>
      </c>
      <c r="K1522" t="s">
        <v>1339</v>
      </c>
    </row>
    <row r="1523" spans="1:11" hidden="1">
      <c r="A1523" s="28">
        <v>46302</v>
      </c>
      <c r="B1523" t="s">
        <v>186</v>
      </c>
      <c r="C1523" t="s">
        <v>203</v>
      </c>
      <c r="D1523" t="s">
        <v>217</v>
      </c>
      <c r="E1523">
        <f>IF(LEFT(D1523,6)="CLIENT",IFERROR(VLOOKUP(C1523,Config_Carteiras!$A:$B,2,FALSE),1),"")</f>
        <v>1</v>
      </c>
      <c r="F1523" s="25">
        <v>1045.4100000000001</v>
      </c>
      <c r="G1523" s="28">
        <f>IF(LEFT(D1523,6)="CLIENT",IF(E1523=0,WORKDAY(A1523-1,1,Dias_Sem_Compensacao!$A$2:$A$500),WORKDAY(A1523,E1523,Dias_Sem_Compensacao!$A$2:$A$500)),"")</f>
        <v>46303</v>
      </c>
      <c r="H1523" s="25">
        <v>0</v>
      </c>
      <c r="I1523" s="28">
        <v>46302</v>
      </c>
      <c r="J1523" t="s">
        <v>2051</v>
      </c>
      <c r="K1523" t="s">
        <v>2052</v>
      </c>
    </row>
    <row r="1524" spans="1:11" hidden="1">
      <c r="A1524" s="28">
        <v>46302</v>
      </c>
      <c r="B1524" t="s">
        <v>186</v>
      </c>
      <c r="C1524" t="s">
        <v>203</v>
      </c>
      <c r="D1524" t="s">
        <v>217</v>
      </c>
      <c r="E1524">
        <f>IF(LEFT(D1524,6)="CLIENT",IFERROR(VLOOKUP(C1524,Config_Carteiras!$A:$B,2,FALSE),1),"")</f>
        <v>1</v>
      </c>
      <c r="F1524" s="25">
        <v>691.58</v>
      </c>
      <c r="G1524" s="28">
        <f>IF(LEFT(D1524,6)="CLIENT",IF(E1524=0,WORKDAY(A1524-1,1,Dias_Sem_Compensacao!$A$2:$A$500),WORKDAY(A1524,E1524,Dias_Sem_Compensacao!$A$2:$A$500)),"")</f>
        <v>46303</v>
      </c>
      <c r="H1524" s="25">
        <v>0</v>
      </c>
      <c r="I1524" s="28">
        <v>46302</v>
      </c>
      <c r="J1524" t="s">
        <v>1342</v>
      </c>
      <c r="K1524" t="s">
        <v>1343</v>
      </c>
    </row>
    <row r="1525" spans="1:11" hidden="1">
      <c r="A1525" s="28">
        <v>46302</v>
      </c>
      <c r="B1525" t="s">
        <v>186</v>
      </c>
      <c r="C1525" t="s">
        <v>203</v>
      </c>
      <c r="D1525" t="s">
        <v>217</v>
      </c>
      <c r="E1525">
        <f>IF(LEFT(D1525,6)="CLIENT",IFERROR(VLOOKUP(C1525,Config_Carteiras!$A:$B,2,FALSE),1),"")</f>
        <v>1</v>
      </c>
      <c r="F1525" s="25">
        <v>1087</v>
      </c>
      <c r="G1525" s="28">
        <f>IF(LEFT(D1525,6)="CLIENT",IF(E1525=0,WORKDAY(A1525-1,1,Dias_Sem_Compensacao!$A$2:$A$500),WORKDAY(A1525,E1525,Dias_Sem_Compensacao!$A$2:$A$500)),"")</f>
        <v>46303</v>
      </c>
      <c r="H1525" s="25">
        <v>0</v>
      </c>
      <c r="I1525" s="28">
        <v>46302</v>
      </c>
      <c r="J1525" t="s">
        <v>2053</v>
      </c>
      <c r="K1525" t="s">
        <v>2054</v>
      </c>
    </row>
    <row r="1526" spans="1:11" hidden="1">
      <c r="A1526" s="28">
        <v>46302</v>
      </c>
      <c r="B1526" t="s">
        <v>186</v>
      </c>
      <c r="C1526" t="s">
        <v>203</v>
      </c>
      <c r="D1526" t="s">
        <v>217</v>
      </c>
      <c r="E1526">
        <f>IF(LEFT(D1526,6)="CLIENT",IFERROR(VLOOKUP(C1526,Config_Carteiras!$A:$B,2,FALSE),1),"")</f>
        <v>1</v>
      </c>
      <c r="F1526" s="25">
        <v>3501</v>
      </c>
      <c r="G1526" s="28">
        <f>IF(LEFT(D1526,6)="CLIENT",IF(E1526=0,WORKDAY(A1526-1,1,Dias_Sem_Compensacao!$A$2:$A$500),WORKDAY(A1526,E1526,Dias_Sem_Compensacao!$A$2:$A$500)),"")</f>
        <v>46303</v>
      </c>
      <c r="H1526" s="25">
        <v>0</v>
      </c>
      <c r="I1526" s="28">
        <v>46302</v>
      </c>
      <c r="J1526" t="s">
        <v>1348</v>
      </c>
      <c r="K1526" t="s">
        <v>1349</v>
      </c>
    </row>
    <row r="1527" spans="1:11" hidden="1">
      <c r="A1527" s="28">
        <v>46302</v>
      </c>
      <c r="B1527" t="s">
        <v>186</v>
      </c>
      <c r="C1527" t="s">
        <v>203</v>
      </c>
      <c r="D1527" t="s">
        <v>217</v>
      </c>
      <c r="E1527">
        <f>IF(LEFT(D1527,6)="CLIENT",IFERROR(VLOOKUP(C1527,Config_Carteiras!$A:$B,2,FALSE),1),"")</f>
        <v>1</v>
      </c>
      <c r="F1527" s="25">
        <v>1024</v>
      </c>
      <c r="G1527" s="28">
        <f>IF(LEFT(D1527,6)="CLIENT",IF(E1527=0,WORKDAY(A1527-1,1,Dias_Sem_Compensacao!$A$2:$A$500),WORKDAY(A1527,E1527,Dias_Sem_Compensacao!$A$2:$A$500)),"")</f>
        <v>46303</v>
      </c>
      <c r="H1527" s="25">
        <v>0</v>
      </c>
      <c r="I1527" s="28">
        <v>46302</v>
      </c>
      <c r="J1527" t="s">
        <v>2055</v>
      </c>
      <c r="K1527" t="s">
        <v>2056</v>
      </c>
    </row>
    <row r="1528" spans="1:11" hidden="1">
      <c r="A1528" s="28">
        <v>46302</v>
      </c>
      <c r="B1528" t="s">
        <v>186</v>
      </c>
      <c r="C1528" t="s">
        <v>203</v>
      </c>
      <c r="D1528" t="s">
        <v>217</v>
      </c>
      <c r="E1528">
        <f>IF(LEFT(D1528,6)="CLIENT",IFERROR(VLOOKUP(C1528,Config_Carteiras!$A:$B,2,FALSE),1),"")</f>
        <v>1</v>
      </c>
      <c r="F1528" s="25">
        <v>1555.21</v>
      </c>
      <c r="G1528" s="28">
        <f>IF(LEFT(D1528,6)="CLIENT",IF(E1528=0,WORKDAY(A1528-1,1,Dias_Sem_Compensacao!$A$2:$A$500),WORKDAY(A1528,E1528,Dias_Sem_Compensacao!$A$2:$A$500)),"")</f>
        <v>46303</v>
      </c>
      <c r="H1528" s="25">
        <v>0</v>
      </c>
      <c r="I1528" s="28">
        <v>46302</v>
      </c>
      <c r="J1528" t="s">
        <v>1350</v>
      </c>
      <c r="K1528" t="s">
        <v>1351</v>
      </c>
    </row>
    <row r="1529" spans="1:11" hidden="1">
      <c r="A1529" s="28">
        <v>46302</v>
      </c>
      <c r="B1529" t="s">
        <v>186</v>
      </c>
      <c r="C1529" t="s">
        <v>203</v>
      </c>
      <c r="D1529" t="s">
        <v>217</v>
      </c>
      <c r="E1529">
        <f>IF(LEFT(D1529,6)="CLIENT",IFERROR(VLOOKUP(C1529,Config_Carteiras!$A:$B,2,FALSE),1),"")</f>
        <v>1</v>
      </c>
      <c r="F1529" s="25">
        <v>1095</v>
      </c>
      <c r="G1529" s="28">
        <f>IF(LEFT(D1529,6)="CLIENT",IF(E1529=0,WORKDAY(A1529-1,1,Dias_Sem_Compensacao!$A$2:$A$500),WORKDAY(A1529,E1529,Dias_Sem_Compensacao!$A$2:$A$500)),"")</f>
        <v>46303</v>
      </c>
      <c r="H1529" s="25">
        <v>0</v>
      </c>
      <c r="I1529" s="28">
        <v>46302</v>
      </c>
      <c r="J1529" t="s">
        <v>403</v>
      </c>
      <c r="K1529" t="s">
        <v>2057</v>
      </c>
    </row>
    <row r="1530" spans="1:11" hidden="1">
      <c r="A1530" s="28">
        <v>46302</v>
      </c>
      <c r="B1530" t="s">
        <v>186</v>
      </c>
      <c r="C1530" t="s">
        <v>203</v>
      </c>
      <c r="D1530" t="s">
        <v>217</v>
      </c>
      <c r="E1530">
        <f>IF(LEFT(D1530,6)="CLIENT",IFERROR(VLOOKUP(C1530,Config_Carteiras!$A:$B,2,FALSE),1),"")</f>
        <v>1</v>
      </c>
      <c r="F1530" s="25">
        <v>4467.72</v>
      </c>
      <c r="G1530" s="28">
        <f>IF(LEFT(D1530,6)="CLIENT",IF(E1530=0,WORKDAY(A1530-1,1,Dias_Sem_Compensacao!$A$2:$A$500),WORKDAY(A1530,E1530,Dias_Sem_Compensacao!$A$2:$A$500)),"")</f>
        <v>46303</v>
      </c>
      <c r="H1530" s="25">
        <v>0</v>
      </c>
      <c r="I1530" s="28">
        <v>46302</v>
      </c>
      <c r="J1530" t="s">
        <v>2058</v>
      </c>
      <c r="K1530" t="s">
        <v>2059</v>
      </c>
    </row>
    <row r="1531" spans="1:11" hidden="1">
      <c r="A1531" s="28">
        <v>46302</v>
      </c>
      <c r="B1531" t="s">
        <v>186</v>
      </c>
      <c r="C1531" t="s">
        <v>203</v>
      </c>
      <c r="D1531" t="s">
        <v>217</v>
      </c>
      <c r="E1531">
        <f>IF(LEFT(D1531,6)="CLIENT",IFERROR(VLOOKUP(C1531,Config_Carteiras!$A:$B,2,FALSE),1),"")</f>
        <v>1</v>
      </c>
      <c r="F1531" s="25">
        <v>1853</v>
      </c>
      <c r="G1531" s="28">
        <f>IF(LEFT(D1531,6)="CLIENT",IF(E1531=0,WORKDAY(A1531-1,1,Dias_Sem_Compensacao!$A$2:$A$500),WORKDAY(A1531,E1531,Dias_Sem_Compensacao!$A$2:$A$500)),"")</f>
        <v>46303</v>
      </c>
      <c r="H1531" s="25">
        <v>0</v>
      </c>
      <c r="I1531" s="28">
        <v>46302</v>
      </c>
      <c r="J1531" t="s">
        <v>2060</v>
      </c>
      <c r="K1531" t="s">
        <v>2061</v>
      </c>
    </row>
    <row r="1532" spans="1:11" hidden="1">
      <c r="A1532" s="28">
        <v>46302</v>
      </c>
      <c r="B1532" t="s">
        <v>186</v>
      </c>
      <c r="C1532" t="s">
        <v>203</v>
      </c>
      <c r="D1532" t="s">
        <v>217</v>
      </c>
      <c r="E1532">
        <f>IF(LEFT(D1532,6)="CLIENT",IFERROR(VLOOKUP(C1532,Config_Carteiras!$A:$B,2,FALSE),1),"")</f>
        <v>1</v>
      </c>
      <c r="F1532" s="25">
        <v>528.05999999999995</v>
      </c>
      <c r="G1532" s="28">
        <f>IF(LEFT(D1532,6)="CLIENT",IF(E1532=0,WORKDAY(A1532-1,1,Dias_Sem_Compensacao!$A$2:$A$500),WORKDAY(A1532,E1532,Dias_Sem_Compensacao!$A$2:$A$500)),"")</f>
        <v>46303</v>
      </c>
      <c r="H1532" s="25">
        <v>0</v>
      </c>
      <c r="I1532" s="28">
        <v>46302</v>
      </c>
      <c r="J1532" t="s">
        <v>2062</v>
      </c>
      <c r="K1532" t="s">
        <v>2063</v>
      </c>
    </row>
    <row r="1533" spans="1:11" hidden="1">
      <c r="A1533" s="28">
        <v>46302</v>
      </c>
      <c r="B1533" t="s">
        <v>186</v>
      </c>
      <c r="C1533" t="s">
        <v>203</v>
      </c>
      <c r="D1533" t="s">
        <v>217</v>
      </c>
      <c r="E1533">
        <f>IF(LEFT(D1533,6)="CLIENT",IFERROR(VLOOKUP(C1533,Config_Carteiras!$A:$B,2,FALSE),1),"")</f>
        <v>1</v>
      </c>
      <c r="F1533" s="25">
        <v>1360</v>
      </c>
      <c r="G1533" s="28">
        <f>IF(LEFT(D1533,6)="CLIENT",IF(E1533=0,WORKDAY(A1533-1,1,Dias_Sem_Compensacao!$A$2:$A$500),WORKDAY(A1533,E1533,Dias_Sem_Compensacao!$A$2:$A$500)),"")</f>
        <v>46303</v>
      </c>
      <c r="H1533" s="25">
        <v>0</v>
      </c>
      <c r="I1533" s="28">
        <v>46302</v>
      </c>
      <c r="J1533" t="s">
        <v>2064</v>
      </c>
      <c r="K1533" t="s">
        <v>2065</v>
      </c>
    </row>
    <row r="1534" spans="1:11" hidden="1">
      <c r="A1534" s="28">
        <v>46302</v>
      </c>
      <c r="B1534" t="s">
        <v>186</v>
      </c>
      <c r="C1534" t="s">
        <v>203</v>
      </c>
      <c r="D1534" t="s">
        <v>217</v>
      </c>
      <c r="E1534">
        <f>IF(LEFT(D1534,6)="CLIENT",IFERROR(VLOOKUP(C1534,Config_Carteiras!$A:$B,2,FALSE),1),"")</f>
        <v>1</v>
      </c>
      <c r="F1534" s="25">
        <v>446</v>
      </c>
      <c r="G1534" s="28">
        <f>IF(LEFT(D1534,6)="CLIENT",IF(E1534=0,WORKDAY(A1534-1,1,Dias_Sem_Compensacao!$A$2:$A$500),WORKDAY(A1534,E1534,Dias_Sem_Compensacao!$A$2:$A$500)),"")</f>
        <v>46303</v>
      </c>
      <c r="H1534" s="25">
        <v>0</v>
      </c>
      <c r="I1534" s="28">
        <v>46302</v>
      </c>
      <c r="J1534" t="s">
        <v>2066</v>
      </c>
      <c r="K1534" t="s">
        <v>2067</v>
      </c>
    </row>
    <row r="1535" spans="1:11" hidden="1">
      <c r="A1535" s="28">
        <v>46302</v>
      </c>
      <c r="B1535" t="s">
        <v>186</v>
      </c>
      <c r="C1535" t="s">
        <v>203</v>
      </c>
      <c r="D1535" t="s">
        <v>217</v>
      </c>
      <c r="E1535">
        <f>IF(LEFT(D1535,6)="CLIENT",IFERROR(VLOOKUP(C1535,Config_Carteiras!$A:$B,2,FALSE),1),"")</f>
        <v>1</v>
      </c>
      <c r="F1535" s="25">
        <v>1216</v>
      </c>
      <c r="G1535" s="28">
        <f>IF(LEFT(D1535,6)="CLIENT",IF(E1535=0,WORKDAY(A1535-1,1,Dias_Sem_Compensacao!$A$2:$A$500),WORKDAY(A1535,E1535,Dias_Sem_Compensacao!$A$2:$A$500)),"")</f>
        <v>46303</v>
      </c>
      <c r="H1535" s="25">
        <v>0</v>
      </c>
      <c r="I1535" s="28">
        <v>46302</v>
      </c>
      <c r="J1535" t="s">
        <v>413</v>
      </c>
      <c r="K1535" t="s">
        <v>2068</v>
      </c>
    </row>
    <row r="1536" spans="1:11" hidden="1">
      <c r="A1536" s="28">
        <v>46302</v>
      </c>
      <c r="B1536" t="s">
        <v>186</v>
      </c>
      <c r="C1536" t="s">
        <v>203</v>
      </c>
      <c r="D1536" t="s">
        <v>217</v>
      </c>
      <c r="E1536">
        <f>IF(LEFT(D1536,6)="CLIENT",IFERROR(VLOOKUP(C1536,Config_Carteiras!$A:$B,2,FALSE),1),"")</f>
        <v>1</v>
      </c>
      <c r="F1536" s="25">
        <v>758</v>
      </c>
      <c r="G1536" s="28">
        <f>IF(LEFT(D1536,6)="CLIENT",IF(E1536=0,WORKDAY(A1536-1,1,Dias_Sem_Compensacao!$A$2:$A$500),WORKDAY(A1536,E1536,Dias_Sem_Compensacao!$A$2:$A$500)),"")</f>
        <v>46303</v>
      </c>
      <c r="H1536" s="25">
        <v>0</v>
      </c>
      <c r="I1536" s="28">
        <v>46302</v>
      </c>
      <c r="J1536" t="s">
        <v>2069</v>
      </c>
      <c r="K1536" t="s">
        <v>2070</v>
      </c>
    </row>
    <row r="1537" spans="1:11" hidden="1">
      <c r="A1537" s="28">
        <v>46302</v>
      </c>
      <c r="B1537" t="s">
        <v>186</v>
      </c>
      <c r="C1537" t="s">
        <v>203</v>
      </c>
      <c r="D1537" t="s">
        <v>217</v>
      </c>
      <c r="E1537">
        <f>IF(LEFT(D1537,6)="CLIENT",IFERROR(VLOOKUP(C1537,Config_Carteiras!$A:$B,2,FALSE),1),"")</f>
        <v>1</v>
      </c>
      <c r="F1537" s="25">
        <v>3143</v>
      </c>
      <c r="G1537" s="28">
        <f>IF(LEFT(D1537,6)="CLIENT",IF(E1537=0,WORKDAY(A1537-1,1,Dias_Sem_Compensacao!$A$2:$A$500),WORKDAY(A1537,E1537,Dias_Sem_Compensacao!$A$2:$A$500)),"")</f>
        <v>46303</v>
      </c>
      <c r="H1537" s="25">
        <v>0</v>
      </c>
      <c r="I1537" s="28">
        <v>46302</v>
      </c>
      <c r="J1537" t="s">
        <v>1361</v>
      </c>
      <c r="K1537" t="s">
        <v>1362</v>
      </c>
    </row>
    <row r="1538" spans="1:11" hidden="1">
      <c r="A1538" s="28">
        <v>46302</v>
      </c>
      <c r="B1538" t="s">
        <v>186</v>
      </c>
      <c r="C1538" t="s">
        <v>203</v>
      </c>
      <c r="D1538" t="s">
        <v>217</v>
      </c>
      <c r="E1538">
        <f>IF(LEFT(D1538,6)="CLIENT",IFERROR(VLOOKUP(C1538,Config_Carteiras!$A:$B,2,FALSE),1),"")</f>
        <v>1</v>
      </c>
      <c r="F1538" s="25">
        <v>314.5</v>
      </c>
      <c r="G1538" s="28">
        <f>IF(LEFT(D1538,6)="CLIENT",IF(E1538=0,WORKDAY(A1538-1,1,Dias_Sem_Compensacao!$A$2:$A$500),WORKDAY(A1538,E1538,Dias_Sem_Compensacao!$A$2:$A$500)),"")</f>
        <v>46303</v>
      </c>
      <c r="H1538" s="25">
        <v>0</v>
      </c>
      <c r="I1538" s="28">
        <v>46302</v>
      </c>
      <c r="J1538" t="s">
        <v>2071</v>
      </c>
      <c r="K1538" t="s">
        <v>2072</v>
      </c>
    </row>
    <row r="1539" spans="1:11" hidden="1">
      <c r="A1539" s="28">
        <v>46302</v>
      </c>
      <c r="B1539" t="s">
        <v>186</v>
      </c>
      <c r="C1539" t="s">
        <v>203</v>
      </c>
      <c r="D1539" t="s">
        <v>217</v>
      </c>
      <c r="E1539">
        <f>IF(LEFT(D1539,6)="CLIENT",IFERROR(VLOOKUP(C1539,Config_Carteiras!$A:$B,2,FALSE),1),"")</f>
        <v>1</v>
      </c>
      <c r="F1539" s="25">
        <v>495</v>
      </c>
      <c r="G1539" s="28">
        <f>IF(LEFT(D1539,6)="CLIENT",IF(E1539=0,WORKDAY(A1539-1,1,Dias_Sem_Compensacao!$A$2:$A$500),WORKDAY(A1539,E1539,Dias_Sem_Compensacao!$A$2:$A$500)),"")</f>
        <v>46303</v>
      </c>
      <c r="H1539" s="25">
        <v>0</v>
      </c>
      <c r="I1539" s="28">
        <v>46302</v>
      </c>
      <c r="J1539" t="s">
        <v>2073</v>
      </c>
      <c r="K1539" t="s">
        <v>2074</v>
      </c>
    </row>
    <row r="1540" spans="1:11" hidden="1">
      <c r="A1540" s="28">
        <v>46302</v>
      </c>
      <c r="B1540" t="s">
        <v>186</v>
      </c>
      <c r="C1540" t="s">
        <v>203</v>
      </c>
      <c r="D1540" t="s">
        <v>217</v>
      </c>
      <c r="E1540">
        <f>IF(LEFT(D1540,6)="CLIENT",IFERROR(VLOOKUP(C1540,Config_Carteiras!$A:$B,2,FALSE),1),"")</f>
        <v>1</v>
      </c>
      <c r="F1540" s="25">
        <v>1941.7</v>
      </c>
      <c r="G1540" s="28">
        <f>IF(LEFT(D1540,6)="CLIENT",IF(E1540=0,WORKDAY(A1540-1,1,Dias_Sem_Compensacao!$A$2:$A$500),WORKDAY(A1540,E1540,Dias_Sem_Compensacao!$A$2:$A$500)),"")</f>
        <v>46303</v>
      </c>
      <c r="H1540" s="25">
        <v>0</v>
      </c>
      <c r="I1540" s="28">
        <v>46302</v>
      </c>
      <c r="J1540" t="s">
        <v>1062</v>
      </c>
      <c r="K1540" t="s">
        <v>1063</v>
      </c>
    </row>
    <row r="1541" spans="1:11" hidden="1">
      <c r="A1541" s="28">
        <v>46302</v>
      </c>
      <c r="B1541" t="s">
        <v>186</v>
      </c>
      <c r="C1541" t="s">
        <v>203</v>
      </c>
      <c r="D1541" t="s">
        <v>217</v>
      </c>
      <c r="E1541">
        <f>IF(LEFT(D1541,6)="CLIENT",IFERROR(VLOOKUP(C1541,Config_Carteiras!$A:$B,2,FALSE),1),"")</f>
        <v>1</v>
      </c>
      <c r="F1541" s="25">
        <v>486</v>
      </c>
      <c r="G1541" s="28">
        <f>IF(LEFT(D1541,6)="CLIENT",IF(E1541=0,WORKDAY(A1541-1,1,Dias_Sem_Compensacao!$A$2:$A$500),WORKDAY(A1541,E1541,Dias_Sem_Compensacao!$A$2:$A$500)),"")</f>
        <v>46303</v>
      </c>
      <c r="H1541" s="25">
        <v>0</v>
      </c>
      <c r="I1541" s="28">
        <v>46302</v>
      </c>
      <c r="J1541" t="s">
        <v>2075</v>
      </c>
      <c r="K1541" t="s">
        <v>2076</v>
      </c>
    </row>
    <row r="1542" spans="1:11" hidden="1">
      <c r="A1542" s="28">
        <v>46302</v>
      </c>
      <c r="B1542" t="s">
        <v>186</v>
      </c>
      <c r="C1542" t="s">
        <v>203</v>
      </c>
      <c r="D1542" t="s">
        <v>217</v>
      </c>
      <c r="E1542">
        <f>IF(LEFT(D1542,6)="CLIENT",IFERROR(VLOOKUP(C1542,Config_Carteiras!$A:$B,2,FALSE),1),"")</f>
        <v>1</v>
      </c>
      <c r="F1542" s="25">
        <v>2857.35</v>
      </c>
      <c r="G1542" s="28">
        <f>IF(LEFT(D1542,6)="CLIENT",IF(E1542=0,WORKDAY(A1542-1,1,Dias_Sem_Compensacao!$A$2:$A$500),WORKDAY(A1542,E1542,Dias_Sem_Compensacao!$A$2:$A$500)),"")</f>
        <v>46303</v>
      </c>
      <c r="H1542" s="25">
        <v>0</v>
      </c>
      <c r="I1542" s="28">
        <v>46302</v>
      </c>
      <c r="J1542" t="s">
        <v>1365</v>
      </c>
      <c r="K1542" t="s">
        <v>2077</v>
      </c>
    </row>
    <row r="1543" spans="1:11" hidden="1">
      <c r="A1543" s="28">
        <v>46302</v>
      </c>
      <c r="B1543" t="s">
        <v>186</v>
      </c>
      <c r="C1543" t="s">
        <v>203</v>
      </c>
      <c r="D1543" t="s">
        <v>217</v>
      </c>
      <c r="E1543">
        <f>IF(LEFT(D1543,6)="CLIENT",IFERROR(VLOOKUP(C1543,Config_Carteiras!$A:$B,2,FALSE),1),"")</f>
        <v>1</v>
      </c>
      <c r="F1543" s="25">
        <v>2282.7399999999998</v>
      </c>
      <c r="G1543" s="28">
        <f>IF(LEFT(D1543,6)="CLIENT",IF(E1543=0,WORKDAY(A1543-1,1,Dias_Sem_Compensacao!$A$2:$A$500),WORKDAY(A1543,E1543,Dias_Sem_Compensacao!$A$2:$A$500)),"")</f>
        <v>46303</v>
      </c>
      <c r="H1543" s="25">
        <v>0</v>
      </c>
      <c r="I1543" s="28">
        <v>46302</v>
      </c>
      <c r="J1543" t="s">
        <v>1367</v>
      </c>
      <c r="K1543" t="s">
        <v>1368</v>
      </c>
    </row>
    <row r="1544" spans="1:11" hidden="1">
      <c r="A1544" s="28">
        <v>46302</v>
      </c>
      <c r="B1544" t="s">
        <v>186</v>
      </c>
      <c r="C1544" t="s">
        <v>203</v>
      </c>
      <c r="D1544" t="s">
        <v>217</v>
      </c>
      <c r="E1544">
        <f>IF(LEFT(D1544,6)="CLIENT",IFERROR(VLOOKUP(C1544,Config_Carteiras!$A:$B,2,FALSE),1),"")</f>
        <v>1</v>
      </c>
      <c r="F1544" s="25">
        <v>212.1</v>
      </c>
      <c r="G1544" s="28">
        <f>IF(LEFT(D1544,6)="CLIENT",IF(E1544=0,WORKDAY(A1544-1,1,Dias_Sem_Compensacao!$A$2:$A$500),WORKDAY(A1544,E1544,Dias_Sem_Compensacao!$A$2:$A$500)),"")</f>
        <v>46303</v>
      </c>
      <c r="H1544" s="25">
        <v>0</v>
      </c>
      <c r="I1544" s="28">
        <v>46302</v>
      </c>
      <c r="J1544" t="s">
        <v>894</v>
      </c>
      <c r="K1544" t="s">
        <v>2078</v>
      </c>
    </row>
    <row r="1545" spans="1:11" hidden="1">
      <c r="A1545" s="28">
        <v>46302</v>
      </c>
      <c r="B1545" t="s">
        <v>186</v>
      </c>
      <c r="C1545" t="s">
        <v>203</v>
      </c>
      <c r="D1545" t="s">
        <v>217</v>
      </c>
      <c r="E1545">
        <f>IF(LEFT(D1545,6)="CLIENT",IFERROR(VLOOKUP(C1545,Config_Carteiras!$A:$B,2,FALSE),1),"")</f>
        <v>1</v>
      </c>
      <c r="F1545" s="25">
        <v>137.4</v>
      </c>
      <c r="G1545" s="28">
        <f>IF(LEFT(D1545,6)="CLIENT",IF(E1545=0,WORKDAY(A1545-1,1,Dias_Sem_Compensacao!$A$2:$A$500),WORKDAY(A1545,E1545,Dias_Sem_Compensacao!$A$2:$A$500)),"")</f>
        <v>46303</v>
      </c>
      <c r="H1545" s="25">
        <v>0</v>
      </c>
      <c r="I1545" s="28">
        <v>46302</v>
      </c>
      <c r="J1545" t="s">
        <v>2079</v>
      </c>
      <c r="K1545" t="s">
        <v>2080</v>
      </c>
    </row>
    <row r="1546" spans="1:11" hidden="1">
      <c r="A1546" s="28">
        <v>46302</v>
      </c>
      <c r="B1546" t="s">
        <v>186</v>
      </c>
      <c r="C1546" t="s">
        <v>203</v>
      </c>
      <c r="D1546" t="s">
        <v>217</v>
      </c>
      <c r="E1546">
        <f>IF(LEFT(D1546,6)="CLIENT",IFERROR(VLOOKUP(C1546,Config_Carteiras!$A:$B,2,FALSE),1),"")</f>
        <v>1</v>
      </c>
      <c r="F1546" s="25">
        <v>1999</v>
      </c>
      <c r="G1546" s="28">
        <f>IF(LEFT(D1546,6)="CLIENT",IF(E1546=0,WORKDAY(A1546-1,1,Dias_Sem_Compensacao!$A$2:$A$500),WORKDAY(A1546,E1546,Dias_Sem_Compensacao!$A$2:$A$500)),"")</f>
        <v>46303</v>
      </c>
      <c r="H1546" s="25">
        <v>0</v>
      </c>
      <c r="I1546" s="28">
        <v>46302</v>
      </c>
      <c r="J1546" t="s">
        <v>2081</v>
      </c>
      <c r="K1546" t="s">
        <v>2082</v>
      </c>
    </row>
    <row r="1547" spans="1:11" hidden="1">
      <c r="A1547" s="28">
        <v>46302</v>
      </c>
      <c r="B1547" t="s">
        <v>186</v>
      </c>
      <c r="C1547" t="s">
        <v>203</v>
      </c>
      <c r="D1547" t="s">
        <v>217</v>
      </c>
      <c r="E1547">
        <f>IF(LEFT(D1547,6)="CLIENT",IFERROR(VLOOKUP(C1547,Config_Carteiras!$A:$B,2,FALSE),1),"")</f>
        <v>1</v>
      </c>
      <c r="F1547" s="25">
        <v>4683.13</v>
      </c>
      <c r="G1547" s="28">
        <f>IF(LEFT(D1547,6)="CLIENT",IF(E1547=0,WORKDAY(A1547-1,1,Dias_Sem_Compensacao!$A$2:$A$500),WORKDAY(A1547,E1547,Dias_Sem_Compensacao!$A$2:$A$500)),"")</f>
        <v>46303</v>
      </c>
      <c r="H1547" s="25">
        <v>0</v>
      </c>
      <c r="I1547" s="28">
        <v>46302</v>
      </c>
      <c r="J1547" t="s">
        <v>2083</v>
      </c>
      <c r="K1547" t="s">
        <v>2084</v>
      </c>
    </row>
    <row r="1548" spans="1:11" hidden="1">
      <c r="A1548" s="28">
        <v>46302</v>
      </c>
      <c r="B1548" t="s">
        <v>186</v>
      </c>
      <c r="C1548" t="s">
        <v>203</v>
      </c>
      <c r="D1548" t="s">
        <v>217</v>
      </c>
      <c r="E1548">
        <f>IF(LEFT(D1548,6)="CLIENT",IFERROR(VLOOKUP(C1548,Config_Carteiras!$A:$B,2,FALSE),1),"")</f>
        <v>1</v>
      </c>
      <c r="F1548" s="25">
        <v>5496.53</v>
      </c>
      <c r="G1548" s="28">
        <f>IF(LEFT(D1548,6)="CLIENT",IF(E1548=0,WORKDAY(A1548-1,1,Dias_Sem_Compensacao!$A$2:$A$500),WORKDAY(A1548,E1548,Dias_Sem_Compensacao!$A$2:$A$500)),"")</f>
        <v>46303</v>
      </c>
      <c r="H1548" s="25">
        <v>0</v>
      </c>
      <c r="I1548" s="28">
        <v>46302</v>
      </c>
      <c r="J1548" t="s">
        <v>2085</v>
      </c>
      <c r="K1548" t="s">
        <v>2086</v>
      </c>
    </row>
    <row r="1549" spans="1:11" hidden="1">
      <c r="A1549" s="28">
        <v>46302</v>
      </c>
      <c r="B1549" t="s">
        <v>186</v>
      </c>
      <c r="C1549" t="s">
        <v>203</v>
      </c>
      <c r="D1549" t="s">
        <v>217</v>
      </c>
      <c r="E1549">
        <f>IF(LEFT(D1549,6)="CLIENT",IFERROR(VLOOKUP(C1549,Config_Carteiras!$A:$B,2,FALSE),1),"")</f>
        <v>1</v>
      </c>
      <c r="F1549" s="25">
        <v>13937.9</v>
      </c>
      <c r="G1549" s="28">
        <f>IF(LEFT(D1549,6)="CLIENT",IF(E1549=0,WORKDAY(A1549-1,1,Dias_Sem_Compensacao!$A$2:$A$500),WORKDAY(A1549,E1549,Dias_Sem_Compensacao!$A$2:$A$500)),"")</f>
        <v>46303</v>
      </c>
      <c r="H1549" s="25">
        <v>0</v>
      </c>
      <c r="I1549" s="28">
        <v>46302</v>
      </c>
      <c r="K1549" t="s">
        <v>2087</v>
      </c>
    </row>
    <row r="1550" spans="1:11" hidden="1">
      <c r="A1550" s="28">
        <v>46302</v>
      </c>
      <c r="B1550" t="s">
        <v>186</v>
      </c>
      <c r="C1550" t="s">
        <v>203</v>
      </c>
      <c r="D1550" t="s">
        <v>217</v>
      </c>
      <c r="E1550">
        <f>IF(LEFT(D1550,6)="CLIENT",IFERROR(VLOOKUP(C1550,Config_Carteiras!$A:$B,2,FALSE),1),"")</f>
        <v>1</v>
      </c>
      <c r="F1550" s="25">
        <v>876</v>
      </c>
      <c r="G1550" s="28">
        <f>IF(LEFT(D1550,6)="CLIENT",IF(E1550=0,WORKDAY(A1550-1,1,Dias_Sem_Compensacao!$A$2:$A$500),WORKDAY(A1550,E1550,Dias_Sem_Compensacao!$A$2:$A$500)),"")</f>
        <v>46303</v>
      </c>
      <c r="H1550" s="25">
        <v>0</v>
      </c>
      <c r="I1550" s="28">
        <v>46302</v>
      </c>
      <c r="J1550" t="s">
        <v>421</v>
      </c>
      <c r="K1550" t="s">
        <v>2088</v>
      </c>
    </row>
    <row r="1551" spans="1:11" hidden="1">
      <c r="A1551" s="28">
        <v>46302</v>
      </c>
      <c r="B1551" t="s">
        <v>186</v>
      </c>
      <c r="C1551" t="s">
        <v>203</v>
      </c>
      <c r="D1551" t="s">
        <v>217</v>
      </c>
      <c r="E1551">
        <f>IF(LEFT(D1551,6)="CLIENT",IFERROR(VLOOKUP(C1551,Config_Carteiras!$A:$B,2,FALSE),1),"")</f>
        <v>1</v>
      </c>
      <c r="F1551" s="25">
        <v>1007</v>
      </c>
      <c r="G1551" s="28">
        <f>IF(LEFT(D1551,6)="CLIENT",IF(E1551=0,WORKDAY(A1551-1,1,Dias_Sem_Compensacao!$A$2:$A$500),WORKDAY(A1551,E1551,Dias_Sem_Compensacao!$A$2:$A$500)),"")</f>
        <v>46303</v>
      </c>
      <c r="H1551" s="25">
        <v>0</v>
      </c>
      <c r="I1551" s="28">
        <v>46302</v>
      </c>
      <c r="J1551" t="s">
        <v>2089</v>
      </c>
      <c r="K1551" t="s">
        <v>2090</v>
      </c>
    </row>
    <row r="1552" spans="1:11" hidden="1">
      <c r="A1552" s="28">
        <v>46302</v>
      </c>
      <c r="B1552" t="s">
        <v>186</v>
      </c>
      <c r="C1552" t="s">
        <v>203</v>
      </c>
      <c r="D1552" t="s">
        <v>217</v>
      </c>
      <c r="E1552">
        <f>IF(LEFT(D1552,6)="CLIENT",IFERROR(VLOOKUP(C1552,Config_Carteiras!$A:$B,2,FALSE),1),"")</f>
        <v>1</v>
      </c>
      <c r="F1552" s="25">
        <v>3199</v>
      </c>
      <c r="G1552" s="28">
        <f>IF(LEFT(D1552,6)="CLIENT",IF(E1552=0,WORKDAY(A1552-1,1,Dias_Sem_Compensacao!$A$2:$A$500),WORKDAY(A1552,E1552,Dias_Sem_Compensacao!$A$2:$A$500)),"")</f>
        <v>46303</v>
      </c>
      <c r="H1552" s="25">
        <v>0</v>
      </c>
      <c r="I1552" s="28">
        <v>46302</v>
      </c>
      <c r="J1552" t="s">
        <v>2091</v>
      </c>
      <c r="K1552" t="s">
        <v>2092</v>
      </c>
    </row>
    <row r="1553" spans="1:11" hidden="1">
      <c r="A1553" s="28">
        <v>46302</v>
      </c>
      <c r="B1553" t="s">
        <v>186</v>
      </c>
      <c r="C1553" t="s">
        <v>203</v>
      </c>
      <c r="D1553" t="s">
        <v>217</v>
      </c>
      <c r="E1553">
        <f>IF(LEFT(D1553,6)="CLIENT",IFERROR(VLOOKUP(C1553,Config_Carteiras!$A:$B,2,FALSE),1),"")</f>
        <v>1</v>
      </c>
      <c r="F1553" s="25">
        <v>1040</v>
      </c>
      <c r="G1553" s="28">
        <f>IF(LEFT(D1553,6)="CLIENT",IF(E1553=0,WORKDAY(A1553-1,1,Dias_Sem_Compensacao!$A$2:$A$500),WORKDAY(A1553,E1553,Dias_Sem_Compensacao!$A$2:$A$500)),"")</f>
        <v>46303</v>
      </c>
      <c r="H1553" s="25">
        <v>0</v>
      </c>
      <c r="I1553" s="28">
        <v>46302</v>
      </c>
      <c r="J1553" t="s">
        <v>1373</v>
      </c>
      <c r="K1553" t="s">
        <v>1374</v>
      </c>
    </row>
    <row r="1554" spans="1:11" hidden="1">
      <c r="A1554" s="28">
        <v>46302</v>
      </c>
      <c r="B1554" t="s">
        <v>186</v>
      </c>
      <c r="C1554" t="s">
        <v>203</v>
      </c>
      <c r="D1554" t="s">
        <v>217</v>
      </c>
      <c r="E1554">
        <f>IF(LEFT(D1554,6)="CLIENT",IFERROR(VLOOKUP(C1554,Config_Carteiras!$A:$B,2,FALSE),1),"")</f>
        <v>1</v>
      </c>
      <c r="F1554" s="25">
        <v>2720</v>
      </c>
      <c r="G1554" s="28">
        <f>IF(LEFT(D1554,6)="CLIENT",IF(E1554=0,WORKDAY(A1554-1,1,Dias_Sem_Compensacao!$A$2:$A$500),WORKDAY(A1554,E1554,Dias_Sem_Compensacao!$A$2:$A$500)),"")</f>
        <v>46303</v>
      </c>
      <c r="H1554" s="25">
        <v>0</v>
      </c>
      <c r="I1554" s="28">
        <v>46302</v>
      </c>
      <c r="J1554" t="s">
        <v>1375</v>
      </c>
      <c r="K1554" t="s">
        <v>2093</v>
      </c>
    </row>
    <row r="1555" spans="1:11" hidden="1">
      <c r="A1555" s="28">
        <v>46302</v>
      </c>
      <c r="B1555" t="s">
        <v>186</v>
      </c>
      <c r="C1555" t="s">
        <v>203</v>
      </c>
      <c r="D1555" t="s">
        <v>217</v>
      </c>
      <c r="E1555">
        <f>IF(LEFT(D1555,6)="CLIENT",IFERROR(VLOOKUP(C1555,Config_Carteiras!$A:$B,2,FALSE),1),"")</f>
        <v>1</v>
      </c>
      <c r="F1555" s="25">
        <v>1700</v>
      </c>
      <c r="G1555" s="28">
        <f>IF(LEFT(D1555,6)="CLIENT",IF(E1555=0,WORKDAY(A1555-1,1,Dias_Sem_Compensacao!$A$2:$A$500),WORKDAY(A1555,E1555,Dias_Sem_Compensacao!$A$2:$A$500)),"")</f>
        <v>46303</v>
      </c>
      <c r="H1555" s="25">
        <v>0</v>
      </c>
      <c r="I1555" s="28">
        <v>46302</v>
      </c>
      <c r="K1555" t="s">
        <v>1376</v>
      </c>
    </row>
    <row r="1556" spans="1:11" hidden="1">
      <c r="A1556" s="28">
        <v>46302</v>
      </c>
      <c r="B1556" t="s">
        <v>186</v>
      </c>
      <c r="C1556" t="s">
        <v>203</v>
      </c>
      <c r="D1556" t="s">
        <v>217</v>
      </c>
      <c r="E1556">
        <f>IF(LEFT(D1556,6)="CLIENT",IFERROR(VLOOKUP(C1556,Config_Carteiras!$A:$B,2,FALSE),1),"")</f>
        <v>1</v>
      </c>
      <c r="F1556" s="25">
        <v>1203</v>
      </c>
      <c r="G1556" s="28">
        <f>IF(LEFT(D1556,6)="CLIENT",IF(E1556=0,WORKDAY(A1556-1,1,Dias_Sem_Compensacao!$A$2:$A$500),WORKDAY(A1556,E1556,Dias_Sem_Compensacao!$A$2:$A$500)),"")</f>
        <v>46303</v>
      </c>
      <c r="H1556" s="25">
        <v>0</v>
      </c>
      <c r="I1556" s="28">
        <v>46302</v>
      </c>
      <c r="J1556" t="s">
        <v>1380</v>
      </c>
      <c r="K1556" t="s">
        <v>1381</v>
      </c>
    </row>
    <row r="1557" spans="1:11" hidden="1">
      <c r="A1557" s="28">
        <v>46302</v>
      </c>
      <c r="B1557" t="s">
        <v>186</v>
      </c>
      <c r="C1557" t="s">
        <v>203</v>
      </c>
      <c r="D1557" t="s">
        <v>217</v>
      </c>
      <c r="E1557">
        <f>IF(LEFT(D1557,6)="CLIENT",IFERROR(VLOOKUP(C1557,Config_Carteiras!$A:$B,2,FALSE),1),"")</f>
        <v>1</v>
      </c>
      <c r="F1557" s="25">
        <v>636</v>
      </c>
      <c r="G1557" s="28">
        <f>IF(LEFT(D1557,6)="CLIENT",IF(E1557=0,WORKDAY(A1557-1,1,Dias_Sem_Compensacao!$A$2:$A$500),WORKDAY(A1557,E1557,Dias_Sem_Compensacao!$A$2:$A$500)),"")</f>
        <v>46303</v>
      </c>
      <c r="H1557" s="25">
        <v>0</v>
      </c>
      <c r="I1557" s="28">
        <v>46302</v>
      </c>
      <c r="J1557" t="s">
        <v>2094</v>
      </c>
      <c r="K1557" t="s">
        <v>2095</v>
      </c>
    </row>
    <row r="1558" spans="1:11" hidden="1">
      <c r="A1558" s="28">
        <v>46302</v>
      </c>
      <c r="B1558" t="s">
        <v>186</v>
      </c>
      <c r="C1558" t="s">
        <v>203</v>
      </c>
      <c r="D1558" t="s">
        <v>217</v>
      </c>
      <c r="E1558">
        <f>IF(LEFT(D1558,6)="CLIENT",IFERROR(VLOOKUP(C1558,Config_Carteiras!$A:$B,2,FALSE),1),"")</f>
        <v>1</v>
      </c>
      <c r="F1558" s="25">
        <v>1447</v>
      </c>
      <c r="G1558" s="28">
        <f>IF(LEFT(D1558,6)="CLIENT",IF(E1558=0,WORKDAY(A1558-1,1,Dias_Sem_Compensacao!$A$2:$A$500),WORKDAY(A1558,E1558,Dias_Sem_Compensacao!$A$2:$A$500)),"")</f>
        <v>46303</v>
      </c>
      <c r="H1558" s="25">
        <v>0</v>
      </c>
      <c r="I1558" s="28">
        <v>46302</v>
      </c>
      <c r="J1558" t="s">
        <v>2096</v>
      </c>
      <c r="K1558" t="s">
        <v>2097</v>
      </c>
    </row>
    <row r="1559" spans="1:11" hidden="1">
      <c r="A1559" s="28">
        <v>46302</v>
      </c>
      <c r="B1559" t="s">
        <v>186</v>
      </c>
      <c r="C1559" t="s">
        <v>203</v>
      </c>
      <c r="D1559" t="s">
        <v>217</v>
      </c>
      <c r="E1559">
        <f>IF(LEFT(D1559,6)="CLIENT",IFERROR(VLOOKUP(C1559,Config_Carteiras!$A:$B,2,FALSE),1),"")</f>
        <v>1</v>
      </c>
      <c r="F1559" s="25">
        <v>354</v>
      </c>
      <c r="G1559" s="28">
        <f>IF(LEFT(D1559,6)="CLIENT",IF(E1559=0,WORKDAY(A1559-1,1,Dias_Sem_Compensacao!$A$2:$A$500),WORKDAY(A1559,E1559,Dias_Sem_Compensacao!$A$2:$A$500)),"")</f>
        <v>46303</v>
      </c>
      <c r="H1559" s="25">
        <v>0</v>
      </c>
      <c r="I1559" s="28">
        <v>46302</v>
      </c>
      <c r="J1559" t="s">
        <v>2098</v>
      </c>
      <c r="K1559" t="s">
        <v>2099</v>
      </c>
    </row>
    <row r="1560" spans="1:11" hidden="1">
      <c r="A1560" s="28">
        <v>46302</v>
      </c>
      <c r="B1560" t="s">
        <v>186</v>
      </c>
      <c r="C1560" t="s">
        <v>203</v>
      </c>
      <c r="D1560" t="s">
        <v>217</v>
      </c>
      <c r="E1560">
        <f>IF(LEFT(D1560,6)="CLIENT",IFERROR(VLOOKUP(C1560,Config_Carteiras!$A:$B,2,FALSE),1),"")</f>
        <v>1</v>
      </c>
      <c r="F1560" s="25">
        <v>1034</v>
      </c>
      <c r="G1560" s="28">
        <f>IF(LEFT(D1560,6)="CLIENT",IF(E1560=0,WORKDAY(A1560-1,1,Dias_Sem_Compensacao!$A$2:$A$500),WORKDAY(A1560,E1560,Dias_Sem_Compensacao!$A$2:$A$500)),"")</f>
        <v>46303</v>
      </c>
      <c r="H1560" s="25">
        <v>0</v>
      </c>
      <c r="I1560" s="28">
        <v>46302</v>
      </c>
      <c r="J1560" t="s">
        <v>1382</v>
      </c>
      <c r="K1560" t="s">
        <v>1383</v>
      </c>
    </row>
    <row r="1561" spans="1:11" hidden="1">
      <c r="A1561" s="28">
        <v>46302</v>
      </c>
      <c r="B1561" t="s">
        <v>186</v>
      </c>
      <c r="C1561" t="s">
        <v>203</v>
      </c>
      <c r="D1561" t="s">
        <v>217</v>
      </c>
      <c r="E1561">
        <f>IF(LEFT(D1561,6)="CLIENT",IFERROR(VLOOKUP(C1561,Config_Carteiras!$A:$B,2,FALSE),1),"")</f>
        <v>1</v>
      </c>
      <c r="F1561" s="25">
        <v>1034</v>
      </c>
      <c r="G1561" s="28">
        <f>IF(LEFT(D1561,6)="CLIENT",IF(E1561=0,WORKDAY(A1561-1,1,Dias_Sem_Compensacao!$A$2:$A$500),WORKDAY(A1561,E1561,Dias_Sem_Compensacao!$A$2:$A$500)),"")</f>
        <v>46303</v>
      </c>
      <c r="H1561" s="25">
        <v>0</v>
      </c>
      <c r="I1561" s="28">
        <v>46302</v>
      </c>
      <c r="J1561" t="s">
        <v>1384</v>
      </c>
      <c r="K1561" t="s">
        <v>1385</v>
      </c>
    </row>
    <row r="1562" spans="1:11" hidden="1">
      <c r="A1562" s="28">
        <v>46302</v>
      </c>
      <c r="B1562" t="s">
        <v>186</v>
      </c>
      <c r="C1562" t="s">
        <v>203</v>
      </c>
      <c r="D1562" t="s">
        <v>217</v>
      </c>
      <c r="E1562">
        <f>IF(LEFT(D1562,6)="CLIENT",IFERROR(VLOOKUP(C1562,Config_Carteiras!$A:$B,2,FALSE),1),"")</f>
        <v>1</v>
      </c>
      <c r="F1562" s="25">
        <v>3267</v>
      </c>
      <c r="G1562" s="28">
        <f>IF(LEFT(D1562,6)="CLIENT",IF(E1562=0,WORKDAY(A1562-1,1,Dias_Sem_Compensacao!$A$2:$A$500),WORKDAY(A1562,E1562,Dias_Sem_Compensacao!$A$2:$A$500)),"")</f>
        <v>46303</v>
      </c>
      <c r="H1562" s="25">
        <v>0</v>
      </c>
      <c r="I1562" s="28">
        <v>46302</v>
      </c>
      <c r="J1562" t="s">
        <v>2100</v>
      </c>
      <c r="K1562" t="s">
        <v>2101</v>
      </c>
    </row>
    <row r="1563" spans="1:11" hidden="1">
      <c r="A1563" s="28">
        <v>46302</v>
      </c>
      <c r="B1563" t="s">
        <v>186</v>
      </c>
      <c r="C1563" t="s">
        <v>203</v>
      </c>
      <c r="D1563" t="s">
        <v>217</v>
      </c>
      <c r="E1563">
        <f>IF(LEFT(D1563,6)="CLIENT",IFERROR(VLOOKUP(C1563,Config_Carteiras!$A:$B,2,FALSE),1),"")</f>
        <v>1</v>
      </c>
      <c r="F1563" s="25">
        <v>5771</v>
      </c>
      <c r="G1563" s="28">
        <f>IF(LEFT(D1563,6)="CLIENT",IF(E1563=0,WORKDAY(A1563-1,1,Dias_Sem_Compensacao!$A$2:$A$500),WORKDAY(A1563,E1563,Dias_Sem_Compensacao!$A$2:$A$500)),"")</f>
        <v>46303</v>
      </c>
      <c r="H1563" s="25">
        <v>0</v>
      </c>
      <c r="I1563" s="28">
        <v>46302</v>
      </c>
      <c r="J1563" t="s">
        <v>1386</v>
      </c>
      <c r="K1563" t="s">
        <v>1387</v>
      </c>
    </row>
    <row r="1564" spans="1:11" hidden="1">
      <c r="A1564" s="28">
        <v>46302</v>
      </c>
      <c r="B1564" t="s">
        <v>186</v>
      </c>
      <c r="C1564" t="s">
        <v>203</v>
      </c>
      <c r="D1564" t="s">
        <v>217</v>
      </c>
      <c r="E1564">
        <f>IF(LEFT(D1564,6)="CLIENT",IFERROR(VLOOKUP(C1564,Config_Carteiras!$A:$B,2,FALSE),1),"")</f>
        <v>1</v>
      </c>
      <c r="F1564" s="25">
        <v>24318</v>
      </c>
      <c r="G1564" s="28">
        <f>IF(LEFT(D1564,6)="CLIENT",IF(E1564=0,WORKDAY(A1564-1,1,Dias_Sem_Compensacao!$A$2:$A$500),WORKDAY(A1564,E1564,Dias_Sem_Compensacao!$A$2:$A$500)),"")</f>
        <v>46303</v>
      </c>
      <c r="H1564" s="25">
        <v>0</v>
      </c>
      <c r="I1564" s="28">
        <v>46302</v>
      </c>
      <c r="J1564" t="s">
        <v>2102</v>
      </c>
      <c r="K1564" t="s">
        <v>2103</v>
      </c>
    </row>
    <row r="1565" spans="1:11" hidden="1">
      <c r="A1565" s="28">
        <v>46302</v>
      </c>
      <c r="B1565" t="s">
        <v>186</v>
      </c>
      <c r="C1565" t="s">
        <v>203</v>
      </c>
      <c r="D1565" t="s">
        <v>217</v>
      </c>
      <c r="E1565">
        <f>IF(LEFT(D1565,6)="CLIENT",IFERROR(VLOOKUP(C1565,Config_Carteiras!$A:$B,2,FALSE),1),"")</f>
        <v>1</v>
      </c>
      <c r="F1565" s="25">
        <v>422.12</v>
      </c>
      <c r="G1565" s="28">
        <f>IF(LEFT(D1565,6)="CLIENT",IF(E1565=0,WORKDAY(A1565-1,1,Dias_Sem_Compensacao!$A$2:$A$500),WORKDAY(A1565,E1565,Dias_Sem_Compensacao!$A$2:$A$500)),"")</f>
        <v>46303</v>
      </c>
      <c r="H1565" s="25">
        <v>0</v>
      </c>
      <c r="I1565" s="28">
        <v>46302</v>
      </c>
      <c r="J1565" t="s">
        <v>1388</v>
      </c>
      <c r="K1565" t="s">
        <v>1389</v>
      </c>
    </row>
    <row r="1566" spans="1:11" hidden="1">
      <c r="A1566" s="28">
        <v>46302</v>
      </c>
      <c r="B1566" t="s">
        <v>186</v>
      </c>
      <c r="C1566" t="s">
        <v>203</v>
      </c>
      <c r="D1566" t="s">
        <v>217</v>
      </c>
      <c r="E1566">
        <f>IF(LEFT(D1566,6)="CLIENT",IFERROR(VLOOKUP(C1566,Config_Carteiras!$A:$B,2,FALSE),1),"")</f>
        <v>1</v>
      </c>
      <c r="F1566" s="25">
        <v>455</v>
      </c>
      <c r="G1566" s="28">
        <f>IF(LEFT(D1566,6)="CLIENT",IF(E1566=0,WORKDAY(A1566-1,1,Dias_Sem_Compensacao!$A$2:$A$500),WORKDAY(A1566,E1566,Dias_Sem_Compensacao!$A$2:$A$500)),"")</f>
        <v>46303</v>
      </c>
      <c r="H1566" s="25">
        <v>0</v>
      </c>
      <c r="I1566" s="28">
        <v>46302</v>
      </c>
      <c r="J1566" t="s">
        <v>2104</v>
      </c>
      <c r="K1566" t="s">
        <v>2105</v>
      </c>
    </row>
    <row r="1567" spans="1:11" hidden="1">
      <c r="A1567" s="28">
        <v>46302</v>
      </c>
      <c r="B1567" t="s">
        <v>186</v>
      </c>
      <c r="C1567" t="s">
        <v>203</v>
      </c>
      <c r="D1567" t="s">
        <v>217</v>
      </c>
      <c r="E1567">
        <f>IF(LEFT(D1567,6)="CLIENT",IFERROR(VLOOKUP(C1567,Config_Carteiras!$A:$B,2,FALSE),1),"")</f>
        <v>1</v>
      </c>
      <c r="F1567" s="25">
        <v>1811</v>
      </c>
      <c r="G1567" s="28">
        <f>IF(LEFT(D1567,6)="CLIENT",IF(E1567=0,WORKDAY(A1567-1,1,Dias_Sem_Compensacao!$A$2:$A$500),WORKDAY(A1567,E1567,Dias_Sem_Compensacao!$A$2:$A$500)),"")</f>
        <v>46303</v>
      </c>
      <c r="H1567" s="25">
        <v>0</v>
      </c>
      <c r="I1567" s="28">
        <v>46302</v>
      </c>
      <c r="J1567" t="s">
        <v>2106</v>
      </c>
      <c r="K1567" t="s">
        <v>2107</v>
      </c>
    </row>
    <row r="1568" spans="1:11" hidden="1">
      <c r="A1568" s="28">
        <v>46302</v>
      </c>
      <c r="B1568" t="s">
        <v>186</v>
      </c>
      <c r="C1568" t="s">
        <v>203</v>
      </c>
      <c r="D1568" t="s">
        <v>217</v>
      </c>
      <c r="E1568">
        <f>IF(LEFT(D1568,6)="CLIENT",IFERROR(VLOOKUP(C1568,Config_Carteiras!$A:$B,2,FALSE),1),"")</f>
        <v>1</v>
      </c>
      <c r="F1568" s="25">
        <v>1447.06</v>
      </c>
      <c r="G1568" s="28">
        <f>IF(LEFT(D1568,6)="CLIENT",IF(E1568=0,WORKDAY(A1568-1,1,Dias_Sem_Compensacao!$A$2:$A$500),WORKDAY(A1568,E1568,Dias_Sem_Compensacao!$A$2:$A$500)),"")</f>
        <v>46303</v>
      </c>
      <c r="H1568" s="25">
        <v>0</v>
      </c>
      <c r="I1568" s="28">
        <v>46302</v>
      </c>
      <c r="J1568" t="s">
        <v>2108</v>
      </c>
      <c r="K1568" t="s">
        <v>2109</v>
      </c>
    </row>
    <row r="1569" spans="1:11" hidden="1">
      <c r="A1569" s="28">
        <v>46302</v>
      </c>
      <c r="B1569" t="s">
        <v>186</v>
      </c>
      <c r="C1569" t="s">
        <v>203</v>
      </c>
      <c r="D1569" t="s">
        <v>217</v>
      </c>
      <c r="E1569">
        <f>IF(LEFT(D1569,6)="CLIENT",IFERROR(VLOOKUP(C1569,Config_Carteiras!$A:$B,2,FALSE),1),"")</f>
        <v>1</v>
      </c>
      <c r="F1569" s="25">
        <v>18240</v>
      </c>
      <c r="G1569" s="28">
        <f>IF(LEFT(D1569,6)="CLIENT",IF(E1569=0,WORKDAY(A1569-1,1,Dias_Sem_Compensacao!$A$2:$A$500),WORKDAY(A1569,E1569,Dias_Sem_Compensacao!$A$2:$A$500)),"")</f>
        <v>46303</v>
      </c>
      <c r="H1569" s="25">
        <v>0</v>
      </c>
      <c r="I1569" s="28">
        <v>46302</v>
      </c>
      <c r="J1569" t="s">
        <v>1392</v>
      </c>
      <c r="K1569" t="s">
        <v>1393</v>
      </c>
    </row>
    <row r="1570" spans="1:11" hidden="1">
      <c r="A1570" s="28">
        <v>46302</v>
      </c>
      <c r="B1570" t="s">
        <v>186</v>
      </c>
      <c r="C1570" t="s">
        <v>203</v>
      </c>
      <c r="D1570" t="s">
        <v>217</v>
      </c>
      <c r="E1570">
        <f>IF(LEFT(D1570,6)="CLIENT",IFERROR(VLOOKUP(C1570,Config_Carteiras!$A:$B,2,FALSE),1),"")</f>
        <v>1</v>
      </c>
      <c r="F1570" s="25">
        <v>519</v>
      </c>
      <c r="G1570" s="28">
        <f>IF(LEFT(D1570,6)="CLIENT",IF(E1570=0,WORKDAY(A1570-1,1,Dias_Sem_Compensacao!$A$2:$A$500),WORKDAY(A1570,E1570,Dias_Sem_Compensacao!$A$2:$A$500)),"")</f>
        <v>46303</v>
      </c>
      <c r="H1570" s="25">
        <v>0</v>
      </c>
      <c r="I1570" s="28">
        <v>46302</v>
      </c>
      <c r="J1570" t="s">
        <v>2110</v>
      </c>
      <c r="K1570" t="s">
        <v>2111</v>
      </c>
    </row>
    <row r="1571" spans="1:11" hidden="1">
      <c r="A1571" s="28">
        <v>46302</v>
      </c>
      <c r="B1571" t="s">
        <v>186</v>
      </c>
      <c r="C1571" t="s">
        <v>203</v>
      </c>
      <c r="D1571" t="s">
        <v>217</v>
      </c>
      <c r="E1571">
        <f>IF(LEFT(D1571,6)="CLIENT",IFERROR(VLOOKUP(C1571,Config_Carteiras!$A:$B,2,FALSE),1),"")</f>
        <v>1</v>
      </c>
      <c r="F1571" s="25">
        <v>1911.7</v>
      </c>
      <c r="G1571" s="28">
        <f>IF(LEFT(D1571,6)="CLIENT",IF(E1571=0,WORKDAY(A1571-1,1,Dias_Sem_Compensacao!$A$2:$A$500),WORKDAY(A1571,E1571,Dias_Sem_Compensacao!$A$2:$A$500)),"")</f>
        <v>46303</v>
      </c>
      <c r="H1571" s="25">
        <v>0</v>
      </c>
      <c r="I1571" s="28">
        <v>46302</v>
      </c>
      <c r="J1571" t="s">
        <v>433</v>
      </c>
      <c r="K1571" t="s">
        <v>1394</v>
      </c>
    </row>
    <row r="1572" spans="1:11" hidden="1">
      <c r="A1572" s="28">
        <v>46302</v>
      </c>
      <c r="B1572" t="s">
        <v>186</v>
      </c>
      <c r="C1572" t="s">
        <v>203</v>
      </c>
      <c r="D1572" t="s">
        <v>217</v>
      </c>
      <c r="E1572">
        <f>IF(LEFT(D1572,6)="CLIENT",IFERROR(VLOOKUP(C1572,Config_Carteiras!$A:$B,2,FALSE),1),"")</f>
        <v>1</v>
      </c>
      <c r="F1572" s="25">
        <v>846.87</v>
      </c>
      <c r="G1572" s="28">
        <f>IF(LEFT(D1572,6)="CLIENT",IF(E1572=0,WORKDAY(A1572-1,1,Dias_Sem_Compensacao!$A$2:$A$500),WORKDAY(A1572,E1572,Dias_Sem_Compensacao!$A$2:$A$500)),"")</f>
        <v>46303</v>
      </c>
      <c r="H1572" s="25">
        <v>0</v>
      </c>
      <c r="I1572" s="28">
        <v>46302</v>
      </c>
      <c r="J1572" t="s">
        <v>1395</v>
      </c>
      <c r="K1572" t="s">
        <v>1396</v>
      </c>
    </row>
    <row r="1573" spans="1:11" hidden="1">
      <c r="A1573" s="28">
        <v>46302</v>
      </c>
      <c r="B1573" t="s">
        <v>186</v>
      </c>
      <c r="C1573" t="s">
        <v>203</v>
      </c>
      <c r="D1573" t="s">
        <v>217</v>
      </c>
      <c r="E1573">
        <f>IF(LEFT(D1573,6)="CLIENT",IFERROR(VLOOKUP(C1573,Config_Carteiras!$A:$B,2,FALSE),1),"")</f>
        <v>1</v>
      </c>
      <c r="F1573" s="25">
        <v>511</v>
      </c>
      <c r="G1573" s="28">
        <f>IF(LEFT(D1573,6)="CLIENT",IF(E1573=0,WORKDAY(A1573-1,1,Dias_Sem_Compensacao!$A$2:$A$500),WORKDAY(A1573,E1573,Dias_Sem_Compensacao!$A$2:$A$500)),"")</f>
        <v>46303</v>
      </c>
      <c r="H1573" s="25">
        <v>0</v>
      </c>
      <c r="I1573" s="28">
        <v>46302</v>
      </c>
      <c r="J1573" t="s">
        <v>2112</v>
      </c>
      <c r="K1573" t="s">
        <v>2113</v>
      </c>
    </row>
    <row r="1574" spans="1:11" hidden="1">
      <c r="A1574" s="28">
        <v>46302</v>
      </c>
      <c r="B1574" t="s">
        <v>186</v>
      </c>
      <c r="C1574" t="s">
        <v>203</v>
      </c>
      <c r="D1574" t="s">
        <v>217</v>
      </c>
      <c r="E1574">
        <f>IF(LEFT(D1574,6)="CLIENT",IFERROR(VLOOKUP(C1574,Config_Carteiras!$A:$B,2,FALSE),1),"")</f>
        <v>1</v>
      </c>
      <c r="F1574" s="25">
        <v>1763</v>
      </c>
      <c r="G1574" s="28">
        <f>IF(LEFT(D1574,6)="CLIENT",IF(E1574=0,WORKDAY(A1574-1,1,Dias_Sem_Compensacao!$A$2:$A$500),WORKDAY(A1574,E1574,Dias_Sem_Compensacao!$A$2:$A$500)),"")</f>
        <v>46303</v>
      </c>
      <c r="H1574" s="25">
        <v>0</v>
      </c>
      <c r="I1574" s="28">
        <v>46302</v>
      </c>
      <c r="J1574" t="s">
        <v>1397</v>
      </c>
      <c r="K1574" t="s">
        <v>1398</v>
      </c>
    </row>
    <row r="1575" spans="1:11" hidden="1">
      <c r="A1575" s="28">
        <v>46302</v>
      </c>
      <c r="B1575" t="s">
        <v>186</v>
      </c>
      <c r="C1575" t="s">
        <v>203</v>
      </c>
      <c r="D1575" t="s">
        <v>217</v>
      </c>
      <c r="E1575">
        <f>IF(LEFT(D1575,6)="CLIENT",IFERROR(VLOOKUP(C1575,Config_Carteiras!$A:$B,2,FALSE),1),"")</f>
        <v>1</v>
      </c>
      <c r="F1575" s="25">
        <v>1309.5</v>
      </c>
      <c r="G1575" s="28">
        <f>IF(LEFT(D1575,6)="CLIENT",IF(E1575=0,WORKDAY(A1575-1,1,Dias_Sem_Compensacao!$A$2:$A$500),WORKDAY(A1575,E1575,Dias_Sem_Compensacao!$A$2:$A$500)),"")</f>
        <v>46303</v>
      </c>
      <c r="H1575" s="25">
        <v>0</v>
      </c>
      <c r="I1575" s="28">
        <v>46302</v>
      </c>
      <c r="J1575" t="s">
        <v>2114</v>
      </c>
      <c r="K1575" t="s">
        <v>2115</v>
      </c>
    </row>
    <row r="1576" spans="1:11" hidden="1">
      <c r="A1576" s="28">
        <v>46302</v>
      </c>
      <c r="B1576" t="s">
        <v>186</v>
      </c>
      <c r="C1576" t="s">
        <v>203</v>
      </c>
      <c r="D1576" t="s">
        <v>217</v>
      </c>
      <c r="E1576">
        <f>IF(LEFT(D1576,6)="CLIENT",IFERROR(VLOOKUP(C1576,Config_Carteiras!$A:$B,2,FALSE),1),"")</f>
        <v>1</v>
      </c>
      <c r="F1576" s="25">
        <v>1313.53</v>
      </c>
      <c r="G1576" s="28">
        <f>IF(LEFT(D1576,6)="CLIENT",IF(E1576=0,WORKDAY(A1576-1,1,Dias_Sem_Compensacao!$A$2:$A$500),WORKDAY(A1576,E1576,Dias_Sem_Compensacao!$A$2:$A$500)),"")</f>
        <v>46303</v>
      </c>
      <c r="H1576" s="25">
        <v>0</v>
      </c>
      <c r="I1576" s="28">
        <v>46302</v>
      </c>
      <c r="J1576" t="s">
        <v>1399</v>
      </c>
      <c r="K1576" t="s">
        <v>1400</v>
      </c>
    </row>
    <row r="1577" spans="1:11" hidden="1">
      <c r="A1577" s="28">
        <v>46302</v>
      </c>
      <c r="B1577" t="s">
        <v>186</v>
      </c>
      <c r="C1577" t="s">
        <v>203</v>
      </c>
      <c r="D1577" t="s">
        <v>217</v>
      </c>
      <c r="E1577">
        <f>IF(LEFT(D1577,6)="CLIENT",IFERROR(VLOOKUP(C1577,Config_Carteiras!$A:$B,2,FALSE),1),"")</f>
        <v>1</v>
      </c>
      <c r="F1577" s="25">
        <v>4249</v>
      </c>
      <c r="G1577" s="28">
        <f>IF(LEFT(D1577,6)="CLIENT",IF(E1577=0,WORKDAY(A1577-1,1,Dias_Sem_Compensacao!$A$2:$A$500),WORKDAY(A1577,E1577,Dias_Sem_Compensacao!$A$2:$A$500)),"")</f>
        <v>46303</v>
      </c>
      <c r="H1577" s="25">
        <v>0</v>
      </c>
      <c r="I1577" s="28">
        <v>46302</v>
      </c>
      <c r="J1577" t="s">
        <v>1401</v>
      </c>
      <c r="K1577" t="s">
        <v>1402</v>
      </c>
    </row>
    <row r="1578" spans="1:11" hidden="1">
      <c r="A1578" s="28">
        <v>46302</v>
      </c>
      <c r="B1578" t="s">
        <v>186</v>
      </c>
      <c r="C1578" t="s">
        <v>203</v>
      </c>
      <c r="D1578" t="s">
        <v>217</v>
      </c>
      <c r="E1578">
        <f>IF(LEFT(D1578,6)="CLIENT",IFERROR(VLOOKUP(C1578,Config_Carteiras!$A:$B,2,FALSE),1),"")</f>
        <v>1</v>
      </c>
      <c r="F1578" s="25">
        <v>1144</v>
      </c>
      <c r="G1578" s="28">
        <f>IF(LEFT(D1578,6)="CLIENT",IF(E1578=0,WORKDAY(A1578-1,1,Dias_Sem_Compensacao!$A$2:$A$500),WORKDAY(A1578,E1578,Dias_Sem_Compensacao!$A$2:$A$500)),"")</f>
        <v>46303</v>
      </c>
      <c r="H1578" s="25">
        <v>0</v>
      </c>
      <c r="I1578" s="28">
        <v>46302</v>
      </c>
      <c r="J1578" t="s">
        <v>2116</v>
      </c>
      <c r="K1578" t="s">
        <v>2117</v>
      </c>
    </row>
    <row r="1579" spans="1:11" hidden="1">
      <c r="A1579" s="28">
        <v>46302</v>
      </c>
      <c r="B1579" t="s">
        <v>186</v>
      </c>
      <c r="C1579" t="s">
        <v>203</v>
      </c>
      <c r="D1579" t="s">
        <v>217</v>
      </c>
      <c r="E1579">
        <f>IF(LEFT(D1579,6)="CLIENT",IFERROR(VLOOKUP(C1579,Config_Carteiras!$A:$B,2,FALSE),1),"")</f>
        <v>1</v>
      </c>
      <c r="F1579" s="25">
        <v>1156.8900000000001</v>
      </c>
      <c r="G1579" s="28">
        <f>IF(LEFT(D1579,6)="CLIENT",IF(E1579=0,WORKDAY(A1579-1,1,Dias_Sem_Compensacao!$A$2:$A$500),WORKDAY(A1579,E1579,Dias_Sem_Compensacao!$A$2:$A$500)),"")</f>
        <v>46303</v>
      </c>
      <c r="H1579" s="25">
        <v>0</v>
      </c>
      <c r="I1579" s="28">
        <v>46302</v>
      </c>
      <c r="J1579" t="s">
        <v>1403</v>
      </c>
      <c r="K1579" t="s">
        <v>1404</v>
      </c>
    </row>
    <row r="1580" spans="1:11" hidden="1">
      <c r="A1580" s="28">
        <v>46302</v>
      </c>
      <c r="B1580" t="s">
        <v>186</v>
      </c>
      <c r="C1580" t="s">
        <v>203</v>
      </c>
      <c r="D1580" t="s">
        <v>217</v>
      </c>
      <c r="E1580">
        <f>IF(LEFT(D1580,6)="CLIENT",IFERROR(VLOOKUP(C1580,Config_Carteiras!$A:$B,2,FALSE),1),"")</f>
        <v>1</v>
      </c>
      <c r="F1580" s="25">
        <v>761</v>
      </c>
      <c r="G1580" s="28">
        <f>IF(LEFT(D1580,6)="CLIENT",IF(E1580=0,WORKDAY(A1580-1,1,Dias_Sem_Compensacao!$A$2:$A$500),WORKDAY(A1580,E1580,Dias_Sem_Compensacao!$A$2:$A$500)),"")</f>
        <v>46303</v>
      </c>
      <c r="H1580" s="25">
        <v>0</v>
      </c>
      <c r="I1580" s="28">
        <v>46302</v>
      </c>
      <c r="J1580" t="s">
        <v>1065</v>
      </c>
      <c r="K1580" t="s">
        <v>1066</v>
      </c>
    </row>
    <row r="1581" spans="1:11" hidden="1">
      <c r="A1581" s="28">
        <v>46302</v>
      </c>
      <c r="B1581" t="s">
        <v>186</v>
      </c>
      <c r="C1581" t="s">
        <v>203</v>
      </c>
      <c r="D1581" t="s">
        <v>217</v>
      </c>
      <c r="E1581">
        <f>IF(LEFT(D1581,6)="CLIENT",IFERROR(VLOOKUP(C1581,Config_Carteiras!$A:$B,2,FALSE),1),"")</f>
        <v>1</v>
      </c>
      <c r="F1581" s="25">
        <v>2591.77</v>
      </c>
      <c r="G1581" s="28">
        <f>IF(LEFT(D1581,6)="CLIENT",IF(E1581=0,WORKDAY(A1581-1,1,Dias_Sem_Compensacao!$A$2:$A$500),WORKDAY(A1581,E1581,Dias_Sem_Compensacao!$A$2:$A$500)),"")</f>
        <v>46303</v>
      </c>
      <c r="H1581" s="25">
        <v>0</v>
      </c>
      <c r="I1581" s="28">
        <v>46302</v>
      </c>
      <c r="J1581" t="s">
        <v>918</v>
      </c>
      <c r="K1581" t="s">
        <v>1405</v>
      </c>
    </row>
    <row r="1582" spans="1:11" hidden="1">
      <c r="A1582" s="28">
        <v>46302</v>
      </c>
      <c r="B1582" t="s">
        <v>186</v>
      </c>
      <c r="C1582" t="s">
        <v>203</v>
      </c>
      <c r="D1582" t="s">
        <v>217</v>
      </c>
      <c r="E1582">
        <f>IF(LEFT(D1582,6)="CLIENT",IFERROR(VLOOKUP(C1582,Config_Carteiras!$A:$B,2,FALSE),1),"")</f>
        <v>1</v>
      </c>
      <c r="F1582" s="25">
        <v>942</v>
      </c>
      <c r="G1582" s="28">
        <f>IF(LEFT(D1582,6)="CLIENT",IF(E1582=0,WORKDAY(A1582-1,1,Dias_Sem_Compensacao!$A$2:$A$500),WORKDAY(A1582,E1582,Dias_Sem_Compensacao!$A$2:$A$500)),"")</f>
        <v>46303</v>
      </c>
      <c r="H1582" s="25">
        <v>0</v>
      </c>
      <c r="I1582" s="28">
        <v>46302</v>
      </c>
      <c r="J1582" t="s">
        <v>2118</v>
      </c>
      <c r="K1582" t="s">
        <v>2119</v>
      </c>
    </row>
    <row r="1583" spans="1:11" hidden="1">
      <c r="A1583" s="28">
        <v>46302</v>
      </c>
      <c r="B1583" t="s">
        <v>186</v>
      </c>
      <c r="C1583" t="s">
        <v>203</v>
      </c>
      <c r="D1583" t="s">
        <v>217</v>
      </c>
      <c r="E1583">
        <f>IF(LEFT(D1583,6)="CLIENT",IFERROR(VLOOKUP(C1583,Config_Carteiras!$A:$B,2,FALSE),1),"")</f>
        <v>1</v>
      </c>
      <c r="F1583" s="25">
        <v>888</v>
      </c>
      <c r="G1583" s="28">
        <f>IF(LEFT(D1583,6)="CLIENT",IF(E1583=0,WORKDAY(A1583-1,1,Dias_Sem_Compensacao!$A$2:$A$500),WORKDAY(A1583,E1583,Dias_Sem_Compensacao!$A$2:$A$500)),"")</f>
        <v>46303</v>
      </c>
      <c r="H1583" s="25">
        <v>0</v>
      </c>
      <c r="I1583" s="28">
        <v>46302</v>
      </c>
      <c r="J1583" t="s">
        <v>2120</v>
      </c>
      <c r="K1583" t="s">
        <v>2121</v>
      </c>
    </row>
    <row r="1584" spans="1:11" hidden="1">
      <c r="A1584" s="28">
        <v>46302</v>
      </c>
      <c r="B1584" t="s">
        <v>186</v>
      </c>
      <c r="C1584" t="s">
        <v>203</v>
      </c>
      <c r="D1584" t="s">
        <v>217</v>
      </c>
      <c r="E1584">
        <f>IF(LEFT(D1584,6)="CLIENT",IFERROR(VLOOKUP(C1584,Config_Carteiras!$A:$B,2,FALSE),1),"")</f>
        <v>1</v>
      </c>
      <c r="F1584" s="25">
        <v>1364</v>
      </c>
      <c r="G1584" s="28">
        <f>IF(LEFT(D1584,6)="CLIENT",IF(E1584=0,WORKDAY(A1584-1,1,Dias_Sem_Compensacao!$A$2:$A$500),WORKDAY(A1584,E1584,Dias_Sem_Compensacao!$A$2:$A$500)),"")</f>
        <v>46303</v>
      </c>
      <c r="H1584" s="25">
        <v>0</v>
      </c>
      <c r="I1584" s="28">
        <v>46302</v>
      </c>
      <c r="J1584" t="s">
        <v>2122</v>
      </c>
      <c r="K1584" t="s">
        <v>2123</v>
      </c>
    </row>
    <row r="1585" spans="1:11" hidden="1">
      <c r="A1585" s="28">
        <v>46302</v>
      </c>
      <c r="B1585" t="s">
        <v>186</v>
      </c>
      <c r="C1585" t="s">
        <v>203</v>
      </c>
      <c r="D1585" t="s">
        <v>217</v>
      </c>
      <c r="E1585">
        <f>IF(LEFT(D1585,6)="CLIENT",IFERROR(VLOOKUP(C1585,Config_Carteiras!$A:$B,2,FALSE),1),"")</f>
        <v>1</v>
      </c>
      <c r="F1585" s="25">
        <v>18240</v>
      </c>
      <c r="G1585" s="28">
        <f>IF(LEFT(D1585,6)="CLIENT",IF(E1585=0,WORKDAY(A1585-1,1,Dias_Sem_Compensacao!$A$2:$A$500),WORKDAY(A1585,E1585,Dias_Sem_Compensacao!$A$2:$A$500)),"")</f>
        <v>46303</v>
      </c>
      <c r="H1585" s="25">
        <v>0</v>
      </c>
      <c r="I1585" s="28">
        <v>46302</v>
      </c>
      <c r="J1585" t="s">
        <v>1406</v>
      </c>
      <c r="K1585" t="s">
        <v>1407</v>
      </c>
    </row>
    <row r="1586" spans="1:11" hidden="1">
      <c r="A1586" s="28">
        <v>46302</v>
      </c>
      <c r="B1586" t="s">
        <v>186</v>
      </c>
      <c r="C1586" t="s">
        <v>203</v>
      </c>
      <c r="D1586" t="s">
        <v>217</v>
      </c>
      <c r="E1586">
        <f>IF(LEFT(D1586,6)="CLIENT",IFERROR(VLOOKUP(C1586,Config_Carteiras!$A:$B,2,FALSE),1),"")</f>
        <v>1</v>
      </c>
      <c r="F1586" s="25">
        <v>730</v>
      </c>
      <c r="G1586" s="28">
        <f>IF(LEFT(D1586,6)="CLIENT",IF(E1586=0,WORKDAY(A1586-1,1,Dias_Sem_Compensacao!$A$2:$A$500),WORKDAY(A1586,E1586,Dias_Sem_Compensacao!$A$2:$A$500)),"")</f>
        <v>46303</v>
      </c>
      <c r="H1586" s="25">
        <v>0</v>
      </c>
      <c r="I1586" s="28">
        <v>46302</v>
      </c>
      <c r="J1586" t="s">
        <v>984</v>
      </c>
      <c r="K1586" t="s">
        <v>2124</v>
      </c>
    </row>
    <row r="1587" spans="1:11" hidden="1">
      <c r="A1587" s="28">
        <v>46302</v>
      </c>
      <c r="B1587" t="s">
        <v>186</v>
      </c>
      <c r="C1587" t="s">
        <v>203</v>
      </c>
      <c r="D1587" t="s">
        <v>217</v>
      </c>
      <c r="E1587">
        <f>IF(LEFT(D1587,6)="CLIENT",IFERROR(VLOOKUP(C1587,Config_Carteiras!$A:$B,2,FALSE),1),"")</f>
        <v>1</v>
      </c>
      <c r="F1587" s="25">
        <v>438.41</v>
      </c>
      <c r="G1587" s="28">
        <f>IF(LEFT(D1587,6)="CLIENT",IF(E1587=0,WORKDAY(A1587-1,1,Dias_Sem_Compensacao!$A$2:$A$500),WORKDAY(A1587,E1587,Dias_Sem_Compensacao!$A$2:$A$500)),"")</f>
        <v>46303</v>
      </c>
      <c r="H1587" s="25">
        <v>0</v>
      </c>
      <c r="I1587" s="28">
        <v>46302</v>
      </c>
      <c r="J1587" t="s">
        <v>98</v>
      </c>
      <c r="K1587" t="s">
        <v>1409</v>
      </c>
    </row>
    <row r="1588" spans="1:11" hidden="1">
      <c r="A1588" s="28">
        <v>46302</v>
      </c>
      <c r="B1588" t="s">
        <v>186</v>
      </c>
      <c r="C1588" t="s">
        <v>203</v>
      </c>
      <c r="D1588" t="s">
        <v>217</v>
      </c>
      <c r="E1588">
        <f>IF(LEFT(D1588,6)="CLIENT",IFERROR(VLOOKUP(C1588,Config_Carteiras!$A:$B,2,FALSE),1),"")</f>
        <v>1</v>
      </c>
      <c r="F1588" s="25">
        <v>6526.18</v>
      </c>
      <c r="G1588" s="28">
        <f>IF(LEFT(D1588,6)="CLIENT",IF(E1588=0,WORKDAY(A1588-1,1,Dias_Sem_Compensacao!$A$2:$A$500),WORKDAY(A1588,E1588,Dias_Sem_Compensacao!$A$2:$A$500)),"")</f>
        <v>46303</v>
      </c>
      <c r="H1588" s="25">
        <v>0</v>
      </c>
      <c r="I1588" s="28">
        <v>46302</v>
      </c>
      <c r="K1588" t="s">
        <v>1410</v>
      </c>
    </row>
    <row r="1589" spans="1:11" hidden="1">
      <c r="A1589" s="28">
        <v>46302</v>
      </c>
      <c r="B1589" t="s">
        <v>186</v>
      </c>
      <c r="C1589" t="s">
        <v>203</v>
      </c>
      <c r="D1589" t="s">
        <v>217</v>
      </c>
      <c r="E1589">
        <f>IF(LEFT(D1589,6)="CLIENT",IFERROR(VLOOKUP(C1589,Config_Carteiras!$A:$B,2,FALSE),1),"")</f>
        <v>1</v>
      </c>
      <c r="F1589" s="25">
        <v>456</v>
      </c>
      <c r="G1589" s="28">
        <f>IF(LEFT(D1589,6)="CLIENT",IF(E1589=0,WORKDAY(A1589-1,1,Dias_Sem_Compensacao!$A$2:$A$500),WORKDAY(A1589,E1589,Dias_Sem_Compensacao!$A$2:$A$500)),"")</f>
        <v>46303</v>
      </c>
      <c r="H1589" s="25">
        <v>0</v>
      </c>
      <c r="I1589" s="28">
        <v>46302</v>
      </c>
      <c r="K1589" t="s">
        <v>1411</v>
      </c>
    </row>
    <row r="1590" spans="1:11" hidden="1">
      <c r="A1590" s="28">
        <v>46302</v>
      </c>
      <c r="B1590" t="s">
        <v>186</v>
      </c>
      <c r="C1590" t="s">
        <v>203</v>
      </c>
      <c r="D1590" t="s">
        <v>217</v>
      </c>
      <c r="E1590">
        <f>IF(LEFT(D1590,6)="CLIENT",IFERROR(VLOOKUP(C1590,Config_Carteiras!$A:$B,2,FALSE),1),"")</f>
        <v>1</v>
      </c>
      <c r="F1590" s="25">
        <v>2417</v>
      </c>
      <c r="G1590" s="28">
        <f>IF(LEFT(D1590,6)="CLIENT",IF(E1590=0,WORKDAY(A1590-1,1,Dias_Sem_Compensacao!$A$2:$A$500),WORKDAY(A1590,E1590,Dias_Sem_Compensacao!$A$2:$A$500)),"")</f>
        <v>46303</v>
      </c>
      <c r="H1590" s="25">
        <v>0</v>
      </c>
      <c r="I1590" s="28">
        <v>46302</v>
      </c>
      <c r="J1590" t="s">
        <v>2125</v>
      </c>
      <c r="K1590" t="s">
        <v>2126</v>
      </c>
    </row>
    <row r="1591" spans="1:11" hidden="1">
      <c r="A1591" s="28">
        <v>46302</v>
      </c>
      <c r="B1591" t="s">
        <v>186</v>
      </c>
      <c r="C1591" t="s">
        <v>203</v>
      </c>
      <c r="D1591" t="s">
        <v>217</v>
      </c>
      <c r="E1591">
        <f>IF(LEFT(D1591,6)="CLIENT",IFERROR(VLOOKUP(C1591,Config_Carteiras!$A:$B,2,FALSE),1),"")</f>
        <v>1</v>
      </c>
      <c r="F1591" s="25">
        <v>1336.07</v>
      </c>
      <c r="G1591" s="28">
        <f>IF(LEFT(D1591,6)="CLIENT",IF(E1591=0,WORKDAY(A1591-1,1,Dias_Sem_Compensacao!$A$2:$A$500),WORKDAY(A1591,E1591,Dias_Sem_Compensacao!$A$2:$A$500)),"")</f>
        <v>46303</v>
      </c>
      <c r="H1591" s="25">
        <v>0</v>
      </c>
      <c r="I1591" s="28">
        <v>46302</v>
      </c>
      <c r="J1591" t="s">
        <v>2127</v>
      </c>
      <c r="K1591" t="s">
        <v>2128</v>
      </c>
    </row>
    <row r="1592" spans="1:11" hidden="1">
      <c r="A1592" s="28">
        <v>46302</v>
      </c>
      <c r="B1592" t="s">
        <v>186</v>
      </c>
      <c r="C1592" t="s">
        <v>203</v>
      </c>
      <c r="D1592" t="s">
        <v>217</v>
      </c>
      <c r="E1592">
        <f>IF(LEFT(D1592,6)="CLIENT",IFERROR(VLOOKUP(C1592,Config_Carteiras!$A:$B,2,FALSE),1),"")</f>
        <v>1</v>
      </c>
      <c r="F1592" s="25">
        <v>661.33</v>
      </c>
      <c r="G1592" s="28">
        <f>IF(LEFT(D1592,6)="CLIENT",IF(E1592=0,WORKDAY(A1592-1,1,Dias_Sem_Compensacao!$A$2:$A$500),WORKDAY(A1592,E1592,Dias_Sem_Compensacao!$A$2:$A$500)),"")</f>
        <v>46303</v>
      </c>
      <c r="H1592" s="25">
        <v>0</v>
      </c>
      <c r="I1592" s="28">
        <v>46302</v>
      </c>
      <c r="J1592" t="s">
        <v>1416</v>
      </c>
      <c r="K1592" t="s">
        <v>1417</v>
      </c>
    </row>
    <row r="1593" spans="1:11" hidden="1">
      <c r="A1593" s="28">
        <v>46302</v>
      </c>
      <c r="B1593" t="s">
        <v>186</v>
      </c>
      <c r="C1593" t="s">
        <v>203</v>
      </c>
      <c r="D1593" t="s">
        <v>217</v>
      </c>
      <c r="E1593">
        <f>IF(LEFT(D1593,6)="CLIENT",IFERROR(VLOOKUP(C1593,Config_Carteiras!$A:$B,2,FALSE),1),"")</f>
        <v>1</v>
      </c>
      <c r="F1593" s="25">
        <v>905</v>
      </c>
      <c r="G1593" s="28">
        <f>IF(LEFT(D1593,6)="CLIENT",IF(E1593=0,WORKDAY(A1593-1,1,Dias_Sem_Compensacao!$A$2:$A$500),WORKDAY(A1593,E1593,Dias_Sem_Compensacao!$A$2:$A$500)),"")</f>
        <v>46303</v>
      </c>
      <c r="H1593" s="25">
        <v>0</v>
      </c>
      <c r="I1593" s="28">
        <v>46302</v>
      </c>
      <c r="J1593" t="s">
        <v>2129</v>
      </c>
      <c r="K1593" t="s">
        <v>2130</v>
      </c>
    </row>
    <row r="1594" spans="1:11" hidden="1">
      <c r="A1594" s="28">
        <v>46302</v>
      </c>
      <c r="B1594" t="s">
        <v>186</v>
      </c>
      <c r="C1594" t="s">
        <v>203</v>
      </c>
      <c r="D1594" t="s">
        <v>217</v>
      </c>
      <c r="E1594">
        <f>IF(LEFT(D1594,6)="CLIENT",IFERROR(VLOOKUP(C1594,Config_Carteiras!$A:$B,2,FALSE),1),"")</f>
        <v>1</v>
      </c>
      <c r="F1594" s="25">
        <v>500</v>
      </c>
      <c r="G1594" s="28">
        <f>IF(LEFT(D1594,6)="CLIENT",IF(E1594=0,WORKDAY(A1594-1,1,Dias_Sem_Compensacao!$A$2:$A$500),WORKDAY(A1594,E1594,Dias_Sem_Compensacao!$A$2:$A$500)),"")</f>
        <v>46303</v>
      </c>
      <c r="H1594" s="25">
        <v>0</v>
      </c>
      <c r="I1594" s="28">
        <v>46302</v>
      </c>
      <c r="J1594" t="s">
        <v>1076</v>
      </c>
      <c r="K1594" t="s">
        <v>1419</v>
      </c>
    </row>
    <row r="1595" spans="1:11" hidden="1">
      <c r="A1595" s="28">
        <v>46302</v>
      </c>
      <c r="B1595" t="s">
        <v>186</v>
      </c>
      <c r="C1595" t="s">
        <v>203</v>
      </c>
      <c r="D1595" t="s">
        <v>217</v>
      </c>
      <c r="E1595">
        <f>IF(LEFT(D1595,6)="CLIENT",IFERROR(VLOOKUP(C1595,Config_Carteiras!$A:$B,2,FALSE),1),"")</f>
        <v>1</v>
      </c>
      <c r="F1595" s="25">
        <v>1076</v>
      </c>
      <c r="G1595" s="28">
        <f>IF(LEFT(D1595,6)="CLIENT",IF(E1595=0,WORKDAY(A1595-1,1,Dias_Sem_Compensacao!$A$2:$A$500),WORKDAY(A1595,E1595,Dias_Sem_Compensacao!$A$2:$A$500)),"")</f>
        <v>46303</v>
      </c>
      <c r="H1595" s="25">
        <v>0</v>
      </c>
      <c r="I1595" s="28">
        <v>46302</v>
      </c>
      <c r="J1595" t="s">
        <v>2131</v>
      </c>
      <c r="K1595" t="s">
        <v>2132</v>
      </c>
    </row>
    <row r="1596" spans="1:11" hidden="1">
      <c r="A1596" s="28">
        <v>46302</v>
      </c>
      <c r="B1596" t="s">
        <v>186</v>
      </c>
      <c r="C1596" t="s">
        <v>203</v>
      </c>
      <c r="D1596" t="s">
        <v>217</v>
      </c>
      <c r="E1596">
        <f>IF(LEFT(D1596,6)="CLIENT",IFERROR(VLOOKUP(C1596,Config_Carteiras!$A:$B,2,FALSE),1),"")</f>
        <v>1</v>
      </c>
      <c r="F1596" s="25">
        <v>1191</v>
      </c>
      <c r="G1596" s="28">
        <f>IF(LEFT(D1596,6)="CLIENT",IF(E1596=0,WORKDAY(A1596-1,1,Dias_Sem_Compensacao!$A$2:$A$500),WORKDAY(A1596,E1596,Dias_Sem_Compensacao!$A$2:$A$500)),"")</f>
        <v>46303</v>
      </c>
      <c r="H1596" s="25">
        <v>0</v>
      </c>
      <c r="I1596" s="28">
        <v>46302</v>
      </c>
      <c r="J1596" t="s">
        <v>1420</v>
      </c>
      <c r="K1596" t="s">
        <v>1421</v>
      </c>
    </row>
    <row r="1597" spans="1:11" hidden="1">
      <c r="A1597" s="28">
        <v>46302</v>
      </c>
      <c r="B1597" t="s">
        <v>186</v>
      </c>
      <c r="C1597" t="s">
        <v>203</v>
      </c>
      <c r="D1597" t="s">
        <v>217</v>
      </c>
      <c r="E1597">
        <f>IF(LEFT(D1597,6)="CLIENT",IFERROR(VLOOKUP(C1597,Config_Carteiras!$A:$B,2,FALSE),1),"")</f>
        <v>1</v>
      </c>
      <c r="F1597" s="25">
        <v>1317.33</v>
      </c>
      <c r="G1597" s="28">
        <f>IF(LEFT(D1597,6)="CLIENT",IF(E1597=0,WORKDAY(A1597-1,1,Dias_Sem_Compensacao!$A$2:$A$500),WORKDAY(A1597,E1597,Dias_Sem_Compensacao!$A$2:$A$500)),"")</f>
        <v>46303</v>
      </c>
      <c r="H1597" s="25">
        <v>0</v>
      </c>
      <c r="I1597" s="28">
        <v>46302</v>
      </c>
      <c r="J1597" t="s">
        <v>1422</v>
      </c>
      <c r="K1597" t="s">
        <v>1423</v>
      </c>
    </row>
    <row r="1598" spans="1:11" hidden="1">
      <c r="A1598" s="28">
        <v>46302</v>
      </c>
      <c r="B1598" t="s">
        <v>186</v>
      </c>
      <c r="C1598" t="s">
        <v>203</v>
      </c>
      <c r="D1598" t="s">
        <v>217</v>
      </c>
      <c r="E1598">
        <f>IF(LEFT(D1598,6)="CLIENT",IFERROR(VLOOKUP(C1598,Config_Carteiras!$A:$B,2,FALSE),1),"")</f>
        <v>1</v>
      </c>
      <c r="F1598" s="25">
        <v>3246.54</v>
      </c>
      <c r="G1598" s="28">
        <f>IF(LEFT(D1598,6)="CLIENT",IF(E1598=0,WORKDAY(A1598-1,1,Dias_Sem_Compensacao!$A$2:$A$500),WORKDAY(A1598,E1598,Dias_Sem_Compensacao!$A$2:$A$500)),"")</f>
        <v>46303</v>
      </c>
      <c r="H1598" s="25">
        <v>0</v>
      </c>
      <c r="I1598" s="28">
        <v>46302</v>
      </c>
      <c r="J1598" t="s">
        <v>1424</v>
      </c>
      <c r="K1598" t="s">
        <v>1425</v>
      </c>
    </row>
    <row r="1599" spans="1:11" hidden="1">
      <c r="A1599" s="28">
        <v>46302</v>
      </c>
      <c r="B1599" t="s">
        <v>186</v>
      </c>
      <c r="C1599" t="s">
        <v>203</v>
      </c>
      <c r="D1599" t="s">
        <v>217</v>
      </c>
      <c r="E1599">
        <f>IF(LEFT(D1599,6)="CLIENT",IFERROR(VLOOKUP(C1599,Config_Carteiras!$A:$B,2,FALSE),1),"")</f>
        <v>1</v>
      </c>
      <c r="F1599" s="25">
        <v>577.98</v>
      </c>
      <c r="G1599" s="28">
        <f>IF(LEFT(D1599,6)="CLIENT",IF(E1599=0,WORKDAY(A1599-1,1,Dias_Sem_Compensacao!$A$2:$A$500),WORKDAY(A1599,E1599,Dias_Sem_Compensacao!$A$2:$A$500)),"")</f>
        <v>46303</v>
      </c>
      <c r="H1599" s="25">
        <v>0</v>
      </c>
      <c r="I1599" s="28">
        <v>46302</v>
      </c>
      <c r="J1599" t="s">
        <v>1426</v>
      </c>
      <c r="K1599" t="s">
        <v>1427</v>
      </c>
    </row>
    <row r="1600" spans="1:11" hidden="1">
      <c r="A1600" s="28">
        <v>46302</v>
      </c>
      <c r="B1600" t="s">
        <v>186</v>
      </c>
      <c r="C1600" t="s">
        <v>203</v>
      </c>
      <c r="D1600" t="s">
        <v>217</v>
      </c>
      <c r="E1600">
        <f>IF(LEFT(D1600,6)="CLIENT",IFERROR(VLOOKUP(C1600,Config_Carteiras!$A:$B,2,FALSE),1),"")</f>
        <v>1</v>
      </c>
      <c r="F1600" s="25">
        <v>589</v>
      </c>
      <c r="G1600" s="28">
        <f>IF(LEFT(D1600,6)="CLIENT",IF(E1600=0,WORKDAY(A1600-1,1,Dias_Sem_Compensacao!$A$2:$A$500),WORKDAY(A1600,E1600,Dias_Sem_Compensacao!$A$2:$A$500)),"")</f>
        <v>46303</v>
      </c>
      <c r="H1600" s="25">
        <v>0</v>
      </c>
      <c r="I1600" s="28">
        <v>46302</v>
      </c>
      <c r="J1600" t="s">
        <v>2133</v>
      </c>
      <c r="K1600" t="s">
        <v>2134</v>
      </c>
    </row>
    <row r="1601" spans="1:11" hidden="1">
      <c r="A1601" s="28">
        <v>46303</v>
      </c>
      <c r="B1601" t="s">
        <v>186</v>
      </c>
      <c r="C1601" t="s">
        <v>203</v>
      </c>
      <c r="D1601" t="s">
        <v>217</v>
      </c>
      <c r="E1601">
        <f>IF(LEFT(D1601,6)="CLIENT",IFERROR(VLOOKUP(C1601,Config_Carteiras!$A:$B,2,FALSE),1),"")</f>
        <v>1</v>
      </c>
      <c r="F1601" s="25">
        <v>962.87</v>
      </c>
      <c r="G1601" s="28">
        <f>IF(LEFT(D1601,6)="CLIENT",IF(E1601=0,WORKDAY(A1601-1,1,Dias_Sem_Compensacao!$A$2:$A$500),WORKDAY(A1601,E1601,Dias_Sem_Compensacao!$A$2:$A$500)),"")</f>
        <v>46304</v>
      </c>
      <c r="H1601" s="25">
        <v>0</v>
      </c>
      <c r="I1601" s="28">
        <v>46303</v>
      </c>
      <c r="J1601" t="s">
        <v>1430</v>
      </c>
      <c r="K1601" t="s">
        <v>1431</v>
      </c>
    </row>
    <row r="1602" spans="1:11" hidden="1">
      <c r="A1602" s="28">
        <v>46303</v>
      </c>
      <c r="B1602" t="s">
        <v>186</v>
      </c>
      <c r="C1602" t="s">
        <v>203</v>
      </c>
      <c r="D1602" t="s">
        <v>217</v>
      </c>
      <c r="E1602">
        <f>IF(LEFT(D1602,6)="CLIENT",IFERROR(VLOOKUP(C1602,Config_Carteiras!$A:$B,2,FALSE),1),"")</f>
        <v>1</v>
      </c>
      <c r="F1602" s="25">
        <v>441.5</v>
      </c>
      <c r="G1602" s="28">
        <f>IF(LEFT(D1602,6)="CLIENT",IF(E1602=0,WORKDAY(A1602-1,1,Dias_Sem_Compensacao!$A$2:$A$500),WORKDAY(A1602,E1602,Dias_Sem_Compensacao!$A$2:$A$500)),"")</f>
        <v>46304</v>
      </c>
      <c r="H1602" s="25">
        <v>0</v>
      </c>
      <c r="I1602" s="28">
        <v>46303</v>
      </c>
      <c r="J1602" t="s">
        <v>1298</v>
      </c>
      <c r="K1602" t="s">
        <v>1434</v>
      </c>
    </row>
    <row r="1603" spans="1:11" hidden="1">
      <c r="A1603" s="28">
        <v>46303</v>
      </c>
      <c r="B1603" t="s">
        <v>186</v>
      </c>
      <c r="C1603" t="s">
        <v>203</v>
      </c>
      <c r="D1603" t="s">
        <v>217</v>
      </c>
      <c r="E1603">
        <f>IF(LEFT(D1603,6)="CLIENT",IFERROR(VLOOKUP(C1603,Config_Carteiras!$A:$B,2,FALSE),1),"")</f>
        <v>1</v>
      </c>
      <c r="F1603" s="25">
        <v>14592</v>
      </c>
      <c r="G1603" s="28">
        <f>IF(LEFT(D1603,6)="CLIENT",IF(E1603=0,WORKDAY(A1603-1,1,Dias_Sem_Compensacao!$A$2:$A$500),WORKDAY(A1603,E1603,Dias_Sem_Compensacao!$A$2:$A$500)),"")</f>
        <v>46304</v>
      </c>
      <c r="H1603" s="25">
        <v>0</v>
      </c>
      <c r="I1603" s="28">
        <v>46303</v>
      </c>
      <c r="J1603" t="s">
        <v>2135</v>
      </c>
      <c r="K1603" t="s">
        <v>2136</v>
      </c>
    </row>
    <row r="1604" spans="1:11" hidden="1">
      <c r="A1604" s="28">
        <v>46303</v>
      </c>
      <c r="B1604" t="s">
        <v>186</v>
      </c>
      <c r="C1604" t="s">
        <v>203</v>
      </c>
      <c r="D1604" t="s">
        <v>217</v>
      </c>
      <c r="E1604">
        <f>IF(LEFT(D1604,6)="CLIENT",IFERROR(VLOOKUP(C1604,Config_Carteiras!$A:$B,2,FALSE),1),"")</f>
        <v>1</v>
      </c>
      <c r="F1604" s="25">
        <v>532</v>
      </c>
      <c r="G1604" s="28">
        <f>IF(LEFT(D1604,6)="CLIENT",IF(E1604=0,WORKDAY(A1604-1,1,Dias_Sem_Compensacao!$A$2:$A$500),WORKDAY(A1604,E1604,Dias_Sem_Compensacao!$A$2:$A$500)),"")</f>
        <v>46304</v>
      </c>
      <c r="H1604" s="25">
        <v>0</v>
      </c>
      <c r="I1604" s="28">
        <v>46303</v>
      </c>
      <c r="J1604" t="s">
        <v>2137</v>
      </c>
      <c r="K1604" t="s">
        <v>2138</v>
      </c>
    </row>
    <row r="1605" spans="1:11" hidden="1">
      <c r="A1605" s="28">
        <v>46303</v>
      </c>
      <c r="B1605" t="s">
        <v>186</v>
      </c>
      <c r="C1605" t="s">
        <v>203</v>
      </c>
      <c r="D1605" t="s">
        <v>217</v>
      </c>
      <c r="E1605">
        <f>IF(LEFT(D1605,6)="CLIENT",IFERROR(VLOOKUP(C1605,Config_Carteiras!$A:$B,2,FALSE),1),"")</f>
        <v>1</v>
      </c>
      <c r="F1605" s="25">
        <v>510</v>
      </c>
      <c r="G1605" s="28">
        <f>IF(LEFT(D1605,6)="CLIENT",IF(E1605=0,WORKDAY(A1605-1,1,Dias_Sem_Compensacao!$A$2:$A$500),WORKDAY(A1605,E1605,Dias_Sem_Compensacao!$A$2:$A$500)),"")</f>
        <v>46304</v>
      </c>
      <c r="H1605" s="25">
        <v>0</v>
      </c>
      <c r="I1605" s="28">
        <v>46303</v>
      </c>
      <c r="J1605" t="s">
        <v>2139</v>
      </c>
      <c r="K1605" t="s">
        <v>2140</v>
      </c>
    </row>
    <row r="1606" spans="1:11" hidden="1">
      <c r="A1606" s="28">
        <v>46303</v>
      </c>
      <c r="B1606" t="s">
        <v>186</v>
      </c>
      <c r="C1606" t="s">
        <v>203</v>
      </c>
      <c r="D1606" t="s">
        <v>217</v>
      </c>
      <c r="E1606">
        <f>IF(LEFT(D1606,6)="CLIENT",IFERROR(VLOOKUP(C1606,Config_Carteiras!$A:$B,2,FALSE),1),"")</f>
        <v>1</v>
      </c>
      <c r="F1606" s="25">
        <v>822</v>
      </c>
      <c r="G1606" s="28">
        <f>IF(LEFT(D1606,6)="CLIENT",IF(E1606=0,WORKDAY(A1606-1,1,Dias_Sem_Compensacao!$A$2:$A$500),WORKDAY(A1606,E1606,Dias_Sem_Compensacao!$A$2:$A$500)),"")</f>
        <v>46304</v>
      </c>
      <c r="H1606" s="25">
        <v>0</v>
      </c>
      <c r="I1606" s="28">
        <v>46303</v>
      </c>
      <c r="J1606" t="s">
        <v>2141</v>
      </c>
      <c r="K1606" t="s">
        <v>2142</v>
      </c>
    </row>
    <row r="1607" spans="1:11" hidden="1">
      <c r="A1607" s="28">
        <v>46303</v>
      </c>
      <c r="B1607" t="s">
        <v>186</v>
      </c>
      <c r="C1607" t="s">
        <v>203</v>
      </c>
      <c r="D1607" t="s">
        <v>217</v>
      </c>
      <c r="E1607">
        <f>IF(LEFT(D1607,6)="CLIENT",IFERROR(VLOOKUP(C1607,Config_Carteiras!$A:$B,2,FALSE),1),"")</f>
        <v>1</v>
      </c>
      <c r="F1607" s="25">
        <v>1206.3499999999999</v>
      </c>
      <c r="G1607" s="28">
        <f>IF(LEFT(D1607,6)="CLIENT",IF(E1607=0,WORKDAY(A1607-1,1,Dias_Sem_Compensacao!$A$2:$A$500),WORKDAY(A1607,E1607,Dias_Sem_Compensacao!$A$2:$A$500)),"")</f>
        <v>46304</v>
      </c>
      <c r="H1607" s="25">
        <v>0</v>
      </c>
      <c r="I1607" s="28">
        <v>46303</v>
      </c>
      <c r="J1607" t="s">
        <v>1437</v>
      </c>
      <c r="K1607" t="s">
        <v>1438</v>
      </c>
    </row>
    <row r="1608" spans="1:11" hidden="1">
      <c r="A1608" s="28">
        <v>46303</v>
      </c>
      <c r="B1608" t="s">
        <v>186</v>
      </c>
      <c r="C1608" t="s">
        <v>203</v>
      </c>
      <c r="D1608" t="s">
        <v>217</v>
      </c>
      <c r="E1608">
        <f>IF(LEFT(D1608,6)="CLIENT",IFERROR(VLOOKUP(C1608,Config_Carteiras!$A:$B,2,FALSE),1),"")</f>
        <v>1</v>
      </c>
      <c r="F1608" s="25">
        <v>1428.6</v>
      </c>
      <c r="G1608" s="28">
        <f>IF(LEFT(D1608,6)="CLIENT",IF(E1608=0,WORKDAY(A1608-1,1,Dias_Sem_Compensacao!$A$2:$A$500),WORKDAY(A1608,E1608,Dias_Sem_Compensacao!$A$2:$A$500)),"")</f>
        <v>46304</v>
      </c>
      <c r="H1608" s="25">
        <v>0</v>
      </c>
      <c r="I1608" s="28">
        <v>46303</v>
      </c>
      <c r="J1608" t="s">
        <v>2143</v>
      </c>
      <c r="K1608" t="s">
        <v>2144</v>
      </c>
    </row>
    <row r="1609" spans="1:11" hidden="1">
      <c r="A1609" s="28">
        <v>46303</v>
      </c>
      <c r="B1609" t="s">
        <v>186</v>
      </c>
      <c r="C1609" t="s">
        <v>203</v>
      </c>
      <c r="D1609" t="s">
        <v>217</v>
      </c>
      <c r="E1609">
        <f>IF(LEFT(D1609,6)="CLIENT",IFERROR(VLOOKUP(C1609,Config_Carteiras!$A:$B,2,FALSE),1),"")</f>
        <v>1</v>
      </c>
      <c r="F1609" s="25">
        <v>2677.53</v>
      </c>
      <c r="G1609" s="28">
        <f>IF(LEFT(D1609,6)="CLIENT",IF(E1609=0,WORKDAY(A1609-1,1,Dias_Sem_Compensacao!$A$2:$A$500),WORKDAY(A1609,E1609,Dias_Sem_Compensacao!$A$2:$A$500)),"")</f>
        <v>46304</v>
      </c>
      <c r="H1609" s="25">
        <v>0</v>
      </c>
      <c r="I1609" s="28">
        <v>46303</v>
      </c>
      <c r="J1609" t="s">
        <v>1439</v>
      </c>
      <c r="K1609" t="s">
        <v>1440</v>
      </c>
    </row>
    <row r="1610" spans="1:11" hidden="1">
      <c r="A1610" s="28">
        <v>46303</v>
      </c>
      <c r="B1610" t="s">
        <v>186</v>
      </c>
      <c r="C1610" t="s">
        <v>203</v>
      </c>
      <c r="D1610" t="s">
        <v>217</v>
      </c>
      <c r="E1610">
        <f>IF(LEFT(D1610,6)="CLIENT",IFERROR(VLOOKUP(C1610,Config_Carteiras!$A:$B,2,FALSE),1),"")</f>
        <v>1</v>
      </c>
      <c r="F1610" s="25">
        <v>1442.05</v>
      </c>
      <c r="G1610" s="28">
        <f>IF(LEFT(D1610,6)="CLIENT",IF(E1610=0,WORKDAY(A1610-1,1,Dias_Sem_Compensacao!$A$2:$A$500),WORKDAY(A1610,E1610,Dias_Sem_Compensacao!$A$2:$A$500)),"")</f>
        <v>46304</v>
      </c>
      <c r="H1610" s="25">
        <v>0</v>
      </c>
      <c r="I1610" s="28">
        <v>46303</v>
      </c>
      <c r="J1610" t="s">
        <v>1447</v>
      </c>
      <c r="K1610" t="s">
        <v>1448</v>
      </c>
    </row>
    <row r="1611" spans="1:11" hidden="1">
      <c r="A1611" s="28">
        <v>46303</v>
      </c>
      <c r="B1611" t="s">
        <v>186</v>
      </c>
      <c r="C1611" t="s">
        <v>203</v>
      </c>
      <c r="D1611" t="s">
        <v>217</v>
      </c>
      <c r="E1611">
        <f>IF(LEFT(D1611,6)="CLIENT",IFERROR(VLOOKUP(C1611,Config_Carteiras!$A:$B,2,FALSE),1),"")</f>
        <v>1</v>
      </c>
      <c r="F1611" s="25">
        <v>1693.33</v>
      </c>
      <c r="G1611" s="28">
        <f>IF(LEFT(D1611,6)="CLIENT",IF(E1611=0,WORKDAY(A1611-1,1,Dias_Sem_Compensacao!$A$2:$A$500),WORKDAY(A1611,E1611,Dias_Sem_Compensacao!$A$2:$A$500)),"")</f>
        <v>46304</v>
      </c>
      <c r="H1611" s="25">
        <v>0</v>
      </c>
      <c r="I1611" s="28">
        <v>46303</v>
      </c>
      <c r="J1611" t="s">
        <v>1449</v>
      </c>
      <c r="K1611" t="s">
        <v>1450</v>
      </c>
    </row>
    <row r="1612" spans="1:11" hidden="1">
      <c r="A1612" s="28">
        <v>46303</v>
      </c>
      <c r="B1612" t="s">
        <v>186</v>
      </c>
      <c r="C1612" t="s">
        <v>203</v>
      </c>
      <c r="D1612" t="s">
        <v>217</v>
      </c>
      <c r="E1612">
        <f>IF(LEFT(D1612,6)="CLIENT",IFERROR(VLOOKUP(C1612,Config_Carteiras!$A:$B,2,FALSE),1),"")</f>
        <v>1</v>
      </c>
      <c r="F1612" s="25">
        <v>878</v>
      </c>
      <c r="G1612" s="28">
        <f>IF(LEFT(D1612,6)="CLIENT",IF(E1612=0,WORKDAY(A1612-1,1,Dias_Sem_Compensacao!$A$2:$A$500),WORKDAY(A1612,E1612,Dias_Sem_Compensacao!$A$2:$A$500)),"")</f>
        <v>46304</v>
      </c>
      <c r="H1612" s="25">
        <v>0</v>
      </c>
      <c r="I1612" s="28">
        <v>46303</v>
      </c>
      <c r="J1612" t="s">
        <v>1451</v>
      </c>
      <c r="K1612" t="s">
        <v>1452</v>
      </c>
    </row>
    <row r="1613" spans="1:11" hidden="1">
      <c r="A1613" s="28">
        <v>46303</v>
      </c>
      <c r="B1613" t="s">
        <v>186</v>
      </c>
      <c r="C1613" t="s">
        <v>203</v>
      </c>
      <c r="D1613" t="s">
        <v>217</v>
      </c>
      <c r="E1613">
        <f>IF(LEFT(D1613,6)="CLIENT",IFERROR(VLOOKUP(C1613,Config_Carteiras!$A:$B,2,FALSE),1),"")</f>
        <v>1</v>
      </c>
      <c r="F1613" s="25">
        <v>2192.9499999999998</v>
      </c>
      <c r="G1613" s="28">
        <f>IF(LEFT(D1613,6)="CLIENT",IF(E1613=0,WORKDAY(A1613-1,1,Dias_Sem_Compensacao!$A$2:$A$500),WORKDAY(A1613,E1613,Dias_Sem_Compensacao!$A$2:$A$500)),"")</f>
        <v>46304</v>
      </c>
      <c r="H1613" s="25">
        <v>0</v>
      </c>
      <c r="I1613" s="28">
        <v>46303</v>
      </c>
      <c r="J1613" t="s">
        <v>1455</v>
      </c>
      <c r="K1613" t="s">
        <v>1456</v>
      </c>
    </row>
    <row r="1614" spans="1:11" hidden="1">
      <c r="A1614" s="28">
        <v>46303</v>
      </c>
      <c r="B1614" t="s">
        <v>186</v>
      </c>
      <c r="C1614" t="s">
        <v>203</v>
      </c>
      <c r="D1614" t="s">
        <v>217</v>
      </c>
      <c r="E1614">
        <f>IF(LEFT(D1614,6)="CLIENT",IFERROR(VLOOKUP(C1614,Config_Carteiras!$A:$B,2,FALSE),1),"")</f>
        <v>1</v>
      </c>
      <c r="F1614" s="25">
        <v>1593.67</v>
      </c>
      <c r="G1614" s="28">
        <f>IF(LEFT(D1614,6)="CLIENT",IF(E1614=0,WORKDAY(A1614-1,1,Dias_Sem_Compensacao!$A$2:$A$500),WORKDAY(A1614,E1614,Dias_Sem_Compensacao!$A$2:$A$500)),"")</f>
        <v>46304</v>
      </c>
      <c r="H1614" s="25">
        <v>0</v>
      </c>
      <c r="I1614" s="28">
        <v>46303</v>
      </c>
      <c r="J1614" t="s">
        <v>1461</v>
      </c>
      <c r="K1614" t="s">
        <v>1462</v>
      </c>
    </row>
    <row r="1615" spans="1:11" hidden="1">
      <c r="A1615" s="28">
        <v>46303</v>
      </c>
      <c r="B1615" t="s">
        <v>186</v>
      </c>
      <c r="C1615" t="s">
        <v>203</v>
      </c>
      <c r="D1615" t="s">
        <v>217</v>
      </c>
      <c r="E1615">
        <f>IF(LEFT(D1615,6)="CLIENT",IFERROR(VLOOKUP(C1615,Config_Carteiras!$A:$B,2,FALSE),1),"")</f>
        <v>1</v>
      </c>
      <c r="F1615" s="25">
        <v>810</v>
      </c>
      <c r="G1615" s="28">
        <f>IF(LEFT(D1615,6)="CLIENT",IF(E1615=0,WORKDAY(A1615-1,1,Dias_Sem_Compensacao!$A$2:$A$500),WORKDAY(A1615,E1615,Dias_Sem_Compensacao!$A$2:$A$500)),"")</f>
        <v>46304</v>
      </c>
      <c r="H1615" s="25">
        <v>0</v>
      </c>
      <c r="I1615" s="28">
        <v>46303</v>
      </c>
      <c r="J1615" t="s">
        <v>1463</v>
      </c>
      <c r="K1615" t="s">
        <v>1464</v>
      </c>
    </row>
    <row r="1616" spans="1:11" hidden="1">
      <c r="A1616" s="28">
        <v>46303</v>
      </c>
      <c r="B1616" t="s">
        <v>186</v>
      </c>
      <c r="C1616" t="s">
        <v>203</v>
      </c>
      <c r="D1616" t="s">
        <v>217</v>
      </c>
      <c r="E1616">
        <f>IF(LEFT(D1616,6)="CLIENT",IFERROR(VLOOKUP(C1616,Config_Carteiras!$A:$B,2,FALSE),1),"")</f>
        <v>1</v>
      </c>
      <c r="F1616" s="25">
        <v>5180.1400000000003</v>
      </c>
      <c r="G1616" s="28">
        <f>IF(LEFT(D1616,6)="CLIENT",IF(E1616=0,WORKDAY(A1616-1,1,Dias_Sem_Compensacao!$A$2:$A$500),WORKDAY(A1616,E1616,Dias_Sem_Compensacao!$A$2:$A$500)),"")</f>
        <v>46304</v>
      </c>
      <c r="H1616" s="25">
        <v>0</v>
      </c>
      <c r="I1616" s="28">
        <v>46303</v>
      </c>
      <c r="J1616" t="s">
        <v>1465</v>
      </c>
      <c r="K1616" t="s">
        <v>1466</v>
      </c>
    </row>
    <row r="1617" spans="1:11" hidden="1">
      <c r="A1617" s="28">
        <v>46303</v>
      </c>
      <c r="B1617" t="s">
        <v>186</v>
      </c>
      <c r="C1617" t="s">
        <v>203</v>
      </c>
      <c r="D1617" t="s">
        <v>217</v>
      </c>
      <c r="E1617">
        <f>IF(LEFT(D1617,6)="CLIENT",IFERROR(VLOOKUP(C1617,Config_Carteiras!$A:$B,2,FALSE),1),"")</f>
        <v>1</v>
      </c>
      <c r="F1617" s="25">
        <v>853.88</v>
      </c>
      <c r="G1617" s="28">
        <f>IF(LEFT(D1617,6)="CLIENT",IF(E1617=0,WORKDAY(A1617-1,1,Dias_Sem_Compensacao!$A$2:$A$500),WORKDAY(A1617,E1617,Dias_Sem_Compensacao!$A$2:$A$500)),"")</f>
        <v>46304</v>
      </c>
      <c r="H1617" s="25">
        <v>0</v>
      </c>
      <c r="I1617" s="28">
        <v>46303</v>
      </c>
      <c r="J1617" t="s">
        <v>2145</v>
      </c>
      <c r="K1617" t="s">
        <v>2146</v>
      </c>
    </row>
    <row r="1618" spans="1:11" hidden="1">
      <c r="A1618" s="28">
        <v>46303</v>
      </c>
      <c r="B1618" t="s">
        <v>186</v>
      </c>
      <c r="C1618" t="s">
        <v>203</v>
      </c>
      <c r="D1618" t="s">
        <v>217</v>
      </c>
      <c r="E1618">
        <f>IF(LEFT(D1618,6)="CLIENT",IFERROR(VLOOKUP(C1618,Config_Carteiras!$A:$B,2,FALSE),1),"")</f>
        <v>1</v>
      </c>
      <c r="F1618" s="25">
        <v>1641.46</v>
      </c>
      <c r="G1618" s="28">
        <f>IF(LEFT(D1618,6)="CLIENT",IF(E1618=0,WORKDAY(A1618-1,1,Dias_Sem_Compensacao!$A$2:$A$500),WORKDAY(A1618,E1618,Dias_Sem_Compensacao!$A$2:$A$500)),"")</f>
        <v>46304</v>
      </c>
      <c r="H1618" s="25">
        <v>0</v>
      </c>
      <c r="I1618" s="28">
        <v>46303</v>
      </c>
      <c r="J1618" t="s">
        <v>1467</v>
      </c>
      <c r="K1618" t="s">
        <v>1468</v>
      </c>
    </row>
    <row r="1619" spans="1:11" hidden="1">
      <c r="A1619" s="28">
        <v>46303</v>
      </c>
      <c r="B1619" t="s">
        <v>186</v>
      </c>
      <c r="C1619" t="s">
        <v>203</v>
      </c>
      <c r="D1619" t="s">
        <v>217</v>
      </c>
      <c r="E1619">
        <f>IF(LEFT(D1619,6)="CLIENT",IFERROR(VLOOKUP(C1619,Config_Carteiras!$A:$B,2,FALSE),1),"")</f>
        <v>1</v>
      </c>
      <c r="F1619" s="25">
        <v>4725</v>
      </c>
      <c r="G1619" s="28">
        <f>IF(LEFT(D1619,6)="CLIENT",IF(E1619=0,WORKDAY(A1619-1,1,Dias_Sem_Compensacao!$A$2:$A$500),WORKDAY(A1619,E1619,Dias_Sem_Compensacao!$A$2:$A$500)),"")</f>
        <v>46304</v>
      </c>
      <c r="H1619" s="25">
        <v>0</v>
      </c>
      <c r="I1619" s="28">
        <v>46303</v>
      </c>
      <c r="J1619" t="s">
        <v>2147</v>
      </c>
      <c r="K1619" t="s">
        <v>2148</v>
      </c>
    </row>
    <row r="1620" spans="1:11" hidden="1">
      <c r="A1620" s="28">
        <v>46303</v>
      </c>
      <c r="B1620" t="s">
        <v>186</v>
      </c>
      <c r="C1620" t="s">
        <v>203</v>
      </c>
      <c r="D1620" t="s">
        <v>217</v>
      </c>
      <c r="E1620">
        <f>IF(LEFT(D1620,6)="CLIENT",IFERROR(VLOOKUP(C1620,Config_Carteiras!$A:$B,2,FALSE),1),"")</f>
        <v>1</v>
      </c>
      <c r="F1620" s="25">
        <v>561</v>
      </c>
      <c r="G1620" s="28">
        <f>IF(LEFT(D1620,6)="CLIENT",IF(E1620=0,WORKDAY(A1620-1,1,Dias_Sem_Compensacao!$A$2:$A$500),WORKDAY(A1620,E1620,Dias_Sem_Compensacao!$A$2:$A$500)),"")</f>
        <v>46304</v>
      </c>
      <c r="H1620" s="25">
        <v>0</v>
      </c>
      <c r="I1620" s="28">
        <v>46303</v>
      </c>
      <c r="J1620" t="s">
        <v>1469</v>
      </c>
      <c r="K1620" t="s">
        <v>1470</v>
      </c>
    </row>
    <row r="1621" spans="1:11" hidden="1">
      <c r="A1621" s="28">
        <v>46303</v>
      </c>
      <c r="B1621" t="s">
        <v>186</v>
      </c>
      <c r="C1621" t="s">
        <v>203</v>
      </c>
      <c r="D1621" t="s">
        <v>217</v>
      </c>
      <c r="E1621">
        <f>IF(LEFT(D1621,6)="CLIENT",IFERROR(VLOOKUP(C1621,Config_Carteiras!$A:$B,2,FALSE),1),"")</f>
        <v>1</v>
      </c>
      <c r="F1621" s="25">
        <v>530.6</v>
      </c>
      <c r="G1621" s="28">
        <f>IF(LEFT(D1621,6)="CLIENT",IF(E1621=0,WORKDAY(A1621-1,1,Dias_Sem_Compensacao!$A$2:$A$500),WORKDAY(A1621,E1621,Dias_Sem_Compensacao!$A$2:$A$500)),"")</f>
        <v>46304</v>
      </c>
      <c r="H1621" s="25">
        <v>0</v>
      </c>
      <c r="I1621" s="28">
        <v>46303</v>
      </c>
      <c r="J1621" t="s">
        <v>2149</v>
      </c>
      <c r="K1621" t="s">
        <v>2150</v>
      </c>
    </row>
    <row r="1622" spans="1:11" hidden="1">
      <c r="A1622" s="28">
        <v>46303</v>
      </c>
      <c r="B1622" t="s">
        <v>186</v>
      </c>
      <c r="C1622" t="s">
        <v>203</v>
      </c>
      <c r="D1622" t="s">
        <v>217</v>
      </c>
      <c r="E1622">
        <f>IF(LEFT(D1622,6)="CLIENT",IFERROR(VLOOKUP(C1622,Config_Carteiras!$A:$B,2,FALSE),1),"")</f>
        <v>1</v>
      </c>
      <c r="F1622" s="25">
        <v>265.8</v>
      </c>
      <c r="G1622" s="28">
        <f>IF(LEFT(D1622,6)="CLIENT",IF(E1622=0,WORKDAY(A1622-1,1,Dias_Sem_Compensacao!$A$2:$A$500),WORKDAY(A1622,E1622,Dias_Sem_Compensacao!$A$2:$A$500)),"")</f>
        <v>46304</v>
      </c>
      <c r="H1622" s="25">
        <v>0</v>
      </c>
      <c r="I1622" s="28">
        <v>46303</v>
      </c>
      <c r="J1622" t="s">
        <v>878</v>
      </c>
      <c r="K1622" t="s">
        <v>2151</v>
      </c>
    </row>
    <row r="1623" spans="1:11" hidden="1">
      <c r="A1623" s="28">
        <v>46303</v>
      </c>
      <c r="B1623" t="s">
        <v>186</v>
      </c>
      <c r="C1623" t="s">
        <v>203</v>
      </c>
      <c r="D1623" t="s">
        <v>217</v>
      </c>
      <c r="E1623">
        <f>IF(LEFT(D1623,6)="CLIENT",IFERROR(VLOOKUP(C1623,Config_Carteiras!$A:$B,2,FALSE),1),"")</f>
        <v>1</v>
      </c>
      <c r="F1623" s="25">
        <v>423</v>
      </c>
      <c r="G1623" s="28">
        <f>IF(LEFT(D1623,6)="CLIENT",IF(E1623=0,WORKDAY(A1623-1,1,Dias_Sem_Compensacao!$A$2:$A$500),WORKDAY(A1623,E1623,Dias_Sem_Compensacao!$A$2:$A$500)),"")</f>
        <v>46304</v>
      </c>
      <c r="H1623" s="25">
        <v>0</v>
      </c>
      <c r="I1623" s="28">
        <v>46303</v>
      </c>
      <c r="J1623" t="s">
        <v>967</v>
      </c>
      <c r="K1623" t="s">
        <v>1471</v>
      </c>
    </row>
    <row r="1624" spans="1:11" hidden="1">
      <c r="A1624" s="28">
        <v>46303</v>
      </c>
      <c r="B1624" t="s">
        <v>186</v>
      </c>
      <c r="C1624" t="s">
        <v>203</v>
      </c>
      <c r="D1624" t="s">
        <v>217</v>
      </c>
      <c r="E1624">
        <f>IF(LEFT(D1624,6)="CLIENT",IFERROR(VLOOKUP(C1624,Config_Carteiras!$A:$B,2,FALSE),1),"")</f>
        <v>1</v>
      </c>
      <c r="F1624" s="25">
        <v>2105</v>
      </c>
      <c r="G1624" s="28">
        <f>IF(LEFT(D1624,6)="CLIENT",IF(E1624=0,WORKDAY(A1624-1,1,Dias_Sem_Compensacao!$A$2:$A$500),WORKDAY(A1624,E1624,Dias_Sem_Compensacao!$A$2:$A$500)),"")</f>
        <v>46304</v>
      </c>
      <c r="H1624" s="25">
        <v>0</v>
      </c>
      <c r="I1624" s="28">
        <v>46303</v>
      </c>
      <c r="J1624" t="s">
        <v>1472</v>
      </c>
      <c r="K1624" t="s">
        <v>1473</v>
      </c>
    </row>
    <row r="1625" spans="1:11" hidden="1">
      <c r="A1625" s="28">
        <v>46303</v>
      </c>
      <c r="B1625" t="s">
        <v>186</v>
      </c>
      <c r="C1625" t="s">
        <v>203</v>
      </c>
      <c r="D1625" t="s">
        <v>217</v>
      </c>
      <c r="E1625">
        <f>IF(LEFT(D1625,6)="CLIENT",IFERROR(VLOOKUP(C1625,Config_Carteiras!$A:$B,2,FALSE),1),"")</f>
        <v>1</v>
      </c>
      <c r="F1625" s="25">
        <v>569.54</v>
      </c>
      <c r="G1625" s="28">
        <f>IF(LEFT(D1625,6)="CLIENT",IF(E1625=0,WORKDAY(A1625-1,1,Dias_Sem_Compensacao!$A$2:$A$500),WORKDAY(A1625,E1625,Dias_Sem_Compensacao!$A$2:$A$500)),"")</f>
        <v>46304</v>
      </c>
      <c r="H1625" s="25">
        <v>0</v>
      </c>
      <c r="I1625" s="28">
        <v>46303</v>
      </c>
      <c r="J1625" t="s">
        <v>1474</v>
      </c>
      <c r="K1625" t="s">
        <v>1475</v>
      </c>
    </row>
    <row r="1626" spans="1:11" hidden="1">
      <c r="A1626" s="28">
        <v>46303</v>
      </c>
      <c r="B1626" t="s">
        <v>186</v>
      </c>
      <c r="C1626" t="s">
        <v>203</v>
      </c>
      <c r="D1626" t="s">
        <v>217</v>
      </c>
      <c r="E1626">
        <f>IF(LEFT(D1626,6)="CLIENT",IFERROR(VLOOKUP(C1626,Config_Carteiras!$A:$B,2,FALSE),1),"")</f>
        <v>1</v>
      </c>
      <c r="F1626" s="25">
        <v>1200</v>
      </c>
      <c r="G1626" s="28">
        <f>IF(LEFT(D1626,6)="CLIENT",IF(E1626=0,WORKDAY(A1626-1,1,Dias_Sem_Compensacao!$A$2:$A$500),WORKDAY(A1626,E1626,Dias_Sem_Compensacao!$A$2:$A$500)),"")</f>
        <v>46304</v>
      </c>
      <c r="H1626" s="25">
        <v>0</v>
      </c>
      <c r="I1626" s="28">
        <v>46303</v>
      </c>
      <c r="J1626" t="s">
        <v>2152</v>
      </c>
      <c r="K1626" t="s">
        <v>2153</v>
      </c>
    </row>
    <row r="1627" spans="1:11" hidden="1">
      <c r="A1627" s="28">
        <v>46303</v>
      </c>
      <c r="B1627" t="s">
        <v>186</v>
      </c>
      <c r="C1627" t="s">
        <v>203</v>
      </c>
      <c r="D1627" t="s">
        <v>217</v>
      </c>
      <c r="E1627">
        <f>IF(LEFT(D1627,6)="CLIENT",IFERROR(VLOOKUP(C1627,Config_Carteiras!$A:$B,2,FALSE),1),"")</f>
        <v>1</v>
      </c>
      <c r="F1627" s="25">
        <v>828</v>
      </c>
      <c r="G1627" s="28">
        <f>IF(LEFT(D1627,6)="CLIENT",IF(E1627=0,WORKDAY(A1627-1,1,Dias_Sem_Compensacao!$A$2:$A$500),WORKDAY(A1627,E1627,Dias_Sem_Compensacao!$A$2:$A$500)),"")</f>
        <v>46304</v>
      </c>
      <c r="H1627" s="25">
        <v>0</v>
      </c>
      <c r="I1627" s="28">
        <v>46303</v>
      </c>
      <c r="J1627" t="s">
        <v>2154</v>
      </c>
      <c r="K1627" t="s">
        <v>2155</v>
      </c>
    </row>
    <row r="1628" spans="1:11" hidden="1">
      <c r="A1628" s="28">
        <v>46303</v>
      </c>
      <c r="B1628" t="s">
        <v>186</v>
      </c>
      <c r="C1628" t="s">
        <v>203</v>
      </c>
      <c r="D1628" t="s">
        <v>217</v>
      </c>
      <c r="E1628">
        <f>IF(LEFT(D1628,6)="CLIENT",IFERROR(VLOOKUP(C1628,Config_Carteiras!$A:$B,2,FALSE),1),"")</f>
        <v>1</v>
      </c>
      <c r="F1628" s="25">
        <v>1745</v>
      </c>
      <c r="G1628" s="28">
        <f>IF(LEFT(D1628,6)="CLIENT",IF(E1628=0,WORKDAY(A1628-1,1,Dias_Sem_Compensacao!$A$2:$A$500),WORKDAY(A1628,E1628,Dias_Sem_Compensacao!$A$2:$A$500)),"")</f>
        <v>46304</v>
      </c>
      <c r="H1628" s="25">
        <v>0</v>
      </c>
      <c r="I1628" s="28">
        <v>46303</v>
      </c>
      <c r="J1628" t="s">
        <v>2156</v>
      </c>
      <c r="K1628" t="s">
        <v>2157</v>
      </c>
    </row>
    <row r="1629" spans="1:11" hidden="1">
      <c r="A1629" s="28">
        <v>46303</v>
      </c>
      <c r="B1629" t="s">
        <v>186</v>
      </c>
      <c r="C1629" t="s">
        <v>203</v>
      </c>
      <c r="D1629" t="s">
        <v>217</v>
      </c>
      <c r="E1629">
        <f>IF(LEFT(D1629,6)="CLIENT",IFERROR(VLOOKUP(C1629,Config_Carteiras!$A:$B,2,FALSE),1),"")</f>
        <v>1</v>
      </c>
      <c r="F1629" s="25">
        <v>934</v>
      </c>
      <c r="G1629" s="28">
        <f>IF(LEFT(D1629,6)="CLIENT",IF(E1629=0,WORKDAY(A1629-1,1,Dias_Sem_Compensacao!$A$2:$A$500),WORKDAY(A1629,E1629,Dias_Sem_Compensacao!$A$2:$A$500)),"")</f>
        <v>46304</v>
      </c>
      <c r="H1629" s="25">
        <v>0</v>
      </c>
      <c r="I1629" s="28">
        <v>46303</v>
      </c>
      <c r="J1629" t="s">
        <v>2158</v>
      </c>
      <c r="K1629" t="s">
        <v>2159</v>
      </c>
    </row>
    <row r="1630" spans="1:11" hidden="1">
      <c r="A1630" s="28">
        <v>46303</v>
      </c>
      <c r="B1630" t="s">
        <v>186</v>
      </c>
      <c r="C1630" t="s">
        <v>203</v>
      </c>
      <c r="D1630" t="s">
        <v>217</v>
      </c>
      <c r="E1630">
        <f>IF(LEFT(D1630,6)="CLIENT",IFERROR(VLOOKUP(C1630,Config_Carteiras!$A:$B,2,FALSE),1),"")</f>
        <v>1</v>
      </c>
      <c r="F1630" s="25">
        <v>1143</v>
      </c>
      <c r="G1630" s="28">
        <f>IF(LEFT(D1630,6)="CLIENT",IF(E1630=0,WORKDAY(A1630-1,1,Dias_Sem_Compensacao!$A$2:$A$500),WORKDAY(A1630,E1630,Dias_Sem_Compensacao!$A$2:$A$500)),"")</f>
        <v>46304</v>
      </c>
      <c r="H1630" s="25">
        <v>0</v>
      </c>
      <c r="I1630" s="28">
        <v>46303</v>
      </c>
      <c r="K1630" t="s">
        <v>2160</v>
      </c>
    </row>
    <row r="1631" spans="1:11" hidden="1">
      <c r="A1631" s="28">
        <v>46303</v>
      </c>
      <c r="B1631" t="s">
        <v>186</v>
      </c>
      <c r="C1631" t="s">
        <v>203</v>
      </c>
      <c r="D1631" t="s">
        <v>217</v>
      </c>
      <c r="E1631">
        <f>IF(LEFT(D1631,6)="CLIENT",IFERROR(VLOOKUP(C1631,Config_Carteiras!$A:$B,2,FALSE),1),"")</f>
        <v>1</v>
      </c>
      <c r="F1631" s="25">
        <v>1115</v>
      </c>
      <c r="G1631" s="28">
        <f>IF(LEFT(D1631,6)="CLIENT",IF(E1631=0,WORKDAY(A1631-1,1,Dias_Sem_Compensacao!$A$2:$A$500),WORKDAY(A1631,E1631,Dias_Sem_Compensacao!$A$2:$A$500)),"")</f>
        <v>46304</v>
      </c>
      <c r="H1631" s="25">
        <v>0</v>
      </c>
      <c r="I1631" s="28">
        <v>46303</v>
      </c>
      <c r="J1631" t="s">
        <v>1476</v>
      </c>
      <c r="K1631" t="s">
        <v>1477</v>
      </c>
    </row>
    <row r="1632" spans="1:11" hidden="1">
      <c r="A1632" s="28">
        <v>46303</v>
      </c>
      <c r="B1632" t="s">
        <v>186</v>
      </c>
      <c r="C1632" t="s">
        <v>203</v>
      </c>
      <c r="D1632" t="s">
        <v>217</v>
      </c>
      <c r="E1632">
        <f>IF(LEFT(D1632,6)="CLIENT",IFERROR(VLOOKUP(C1632,Config_Carteiras!$A:$B,2,FALSE),1),"")</f>
        <v>1</v>
      </c>
      <c r="F1632" s="25">
        <v>7906</v>
      </c>
      <c r="G1632" s="28">
        <f>IF(LEFT(D1632,6)="CLIENT",IF(E1632=0,WORKDAY(A1632-1,1,Dias_Sem_Compensacao!$A$2:$A$500),WORKDAY(A1632,E1632,Dias_Sem_Compensacao!$A$2:$A$500)),"")</f>
        <v>46304</v>
      </c>
      <c r="H1632" s="25">
        <v>0</v>
      </c>
      <c r="I1632" s="28">
        <v>46303</v>
      </c>
      <c r="J1632" t="s">
        <v>1478</v>
      </c>
      <c r="K1632" t="s">
        <v>1479</v>
      </c>
    </row>
    <row r="1633" spans="1:11" hidden="1">
      <c r="A1633" s="28">
        <v>46303</v>
      </c>
      <c r="B1633" t="s">
        <v>186</v>
      </c>
      <c r="C1633" t="s">
        <v>203</v>
      </c>
      <c r="D1633" t="s">
        <v>217</v>
      </c>
      <c r="E1633">
        <f>IF(LEFT(D1633,6)="CLIENT",IFERROR(VLOOKUP(C1633,Config_Carteiras!$A:$B,2,FALSE),1),"")</f>
        <v>1</v>
      </c>
      <c r="F1633" s="25">
        <v>3438</v>
      </c>
      <c r="G1633" s="28">
        <f>IF(LEFT(D1633,6)="CLIENT",IF(E1633=0,WORKDAY(A1633-1,1,Dias_Sem_Compensacao!$A$2:$A$500),WORKDAY(A1633,E1633,Dias_Sem_Compensacao!$A$2:$A$500)),"")</f>
        <v>46304</v>
      </c>
      <c r="H1633" s="25">
        <v>0</v>
      </c>
      <c r="I1633" s="28">
        <v>46303</v>
      </c>
      <c r="J1633" t="s">
        <v>2161</v>
      </c>
      <c r="K1633" t="s">
        <v>2162</v>
      </c>
    </row>
    <row r="1634" spans="1:11" hidden="1">
      <c r="A1634" s="28">
        <v>46303</v>
      </c>
      <c r="B1634" t="s">
        <v>186</v>
      </c>
      <c r="C1634" t="s">
        <v>203</v>
      </c>
      <c r="D1634" t="s">
        <v>217</v>
      </c>
      <c r="E1634">
        <f>IF(LEFT(D1634,6)="CLIENT",IFERROR(VLOOKUP(C1634,Config_Carteiras!$A:$B,2,FALSE),1),"")</f>
        <v>1</v>
      </c>
      <c r="F1634" s="25">
        <v>17991</v>
      </c>
      <c r="G1634" s="28">
        <f>IF(LEFT(D1634,6)="CLIENT",IF(E1634=0,WORKDAY(A1634-1,1,Dias_Sem_Compensacao!$A$2:$A$500),WORKDAY(A1634,E1634,Dias_Sem_Compensacao!$A$2:$A$500)),"")</f>
        <v>46304</v>
      </c>
      <c r="H1634" s="25">
        <v>0</v>
      </c>
      <c r="I1634" s="28">
        <v>46303</v>
      </c>
      <c r="J1634" t="s">
        <v>2163</v>
      </c>
      <c r="K1634" t="s">
        <v>2164</v>
      </c>
    </row>
    <row r="1635" spans="1:11" hidden="1">
      <c r="A1635" s="28">
        <v>46303</v>
      </c>
      <c r="B1635" t="s">
        <v>186</v>
      </c>
      <c r="C1635" t="s">
        <v>203</v>
      </c>
      <c r="D1635" t="s">
        <v>217</v>
      </c>
      <c r="E1635">
        <f>IF(LEFT(D1635,6)="CLIENT",IFERROR(VLOOKUP(C1635,Config_Carteiras!$A:$B,2,FALSE),1),"")</f>
        <v>1</v>
      </c>
      <c r="F1635" s="25">
        <v>1489.3</v>
      </c>
      <c r="G1635" s="28">
        <f>IF(LEFT(D1635,6)="CLIENT",IF(E1635=0,WORKDAY(A1635-1,1,Dias_Sem_Compensacao!$A$2:$A$500),WORKDAY(A1635,E1635,Dias_Sem_Compensacao!$A$2:$A$500)),"")</f>
        <v>46304</v>
      </c>
      <c r="H1635" s="25">
        <v>0</v>
      </c>
      <c r="I1635" s="28">
        <v>46303</v>
      </c>
      <c r="J1635" t="s">
        <v>2165</v>
      </c>
      <c r="K1635" t="s">
        <v>2166</v>
      </c>
    </row>
    <row r="1636" spans="1:11" hidden="1">
      <c r="A1636" s="28">
        <v>46303</v>
      </c>
      <c r="B1636" t="s">
        <v>186</v>
      </c>
      <c r="C1636" t="s">
        <v>203</v>
      </c>
      <c r="D1636" t="s">
        <v>217</v>
      </c>
      <c r="E1636">
        <f>IF(LEFT(D1636,6)="CLIENT",IFERROR(VLOOKUP(C1636,Config_Carteiras!$A:$B,2,FALSE),1),"")</f>
        <v>1</v>
      </c>
      <c r="F1636" s="25">
        <v>479</v>
      </c>
      <c r="G1636" s="28">
        <f>IF(LEFT(D1636,6)="CLIENT",IF(E1636=0,WORKDAY(A1636-1,1,Dias_Sem_Compensacao!$A$2:$A$500),WORKDAY(A1636,E1636,Dias_Sem_Compensacao!$A$2:$A$500)),"")</f>
        <v>46304</v>
      </c>
      <c r="H1636" s="25">
        <v>0</v>
      </c>
      <c r="I1636" s="28">
        <v>46303</v>
      </c>
      <c r="J1636" t="s">
        <v>1485</v>
      </c>
      <c r="K1636" t="s">
        <v>1486</v>
      </c>
    </row>
    <row r="1637" spans="1:11" hidden="1">
      <c r="A1637" s="28">
        <v>46303</v>
      </c>
      <c r="B1637" t="s">
        <v>186</v>
      </c>
      <c r="C1637" t="s">
        <v>203</v>
      </c>
      <c r="D1637" t="s">
        <v>217</v>
      </c>
      <c r="E1637">
        <f>IF(LEFT(D1637,6)="CLIENT",IFERROR(VLOOKUP(C1637,Config_Carteiras!$A:$B,2,FALSE),1),"")</f>
        <v>1</v>
      </c>
      <c r="F1637" s="25">
        <v>730</v>
      </c>
      <c r="G1637" s="28">
        <f>IF(LEFT(D1637,6)="CLIENT",IF(E1637=0,WORKDAY(A1637-1,1,Dias_Sem_Compensacao!$A$2:$A$500),WORKDAY(A1637,E1637,Dias_Sem_Compensacao!$A$2:$A$500)),"")</f>
        <v>46304</v>
      </c>
      <c r="H1637" s="25">
        <v>0</v>
      </c>
      <c r="I1637" s="28">
        <v>46303</v>
      </c>
      <c r="J1637" t="s">
        <v>1164</v>
      </c>
      <c r="K1637" t="s">
        <v>2167</v>
      </c>
    </row>
    <row r="1638" spans="1:11" hidden="1">
      <c r="A1638" s="28">
        <v>46303</v>
      </c>
      <c r="B1638" t="s">
        <v>186</v>
      </c>
      <c r="C1638" t="s">
        <v>203</v>
      </c>
      <c r="D1638" t="s">
        <v>217</v>
      </c>
      <c r="E1638">
        <f>IF(LEFT(D1638,6)="CLIENT",IFERROR(VLOOKUP(C1638,Config_Carteiras!$A:$B,2,FALSE),1),"")</f>
        <v>1</v>
      </c>
      <c r="F1638" s="25">
        <v>644</v>
      </c>
      <c r="G1638" s="28">
        <f>IF(LEFT(D1638,6)="CLIENT",IF(E1638=0,WORKDAY(A1638-1,1,Dias_Sem_Compensacao!$A$2:$A$500),WORKDAY(A1638,E1638,Dias_Sem_Compensacao!$A$2:$A$500)),"")</f>
        <v>46304</v>
      </c>
      <c r="H1638" s="25">
        <v>0</v>
      </c>
      <c r="I1638" s="28">
        <v>46303</v>
      </c>
      <c r="J1638" t="s">
        <v>1493</v>
      </c>
      <c r="K1638" t="s">
        <v>1494</v>
      </c>
    </row>
    <row r="1639" spans="1:11" hidden="1">
      <c r="A1639" s="28">
        <v>46303</v>
      </c>
      <c r="B1639" t="s">
        <v>186</v>
      </c>
      <c r="C1639" t="s">
        <v>203</v>
      </c>
      <c r="D1639" t="s">
        <v>217</v>
      </c>
      <c r="E1639">
        <f>IF(LEFT(D1639,6)="CLIENT",IFERROR(VLOOKUP(C1639,Config_Carteiras!$A:$B,2,FALSE),1),"")</f>
        <v>1</v>
      </c>
      <c r="F1639" s="25">
        <v>2732</v>
      </c>
      <c r="G1639" s="28">
        <f>IF(LEFT(D1639,6)="CLIENT",IF(E1639=0,WORKDAY(A1639-1,1,Dias_Sem_Compensacao!$A$2:$A$500),WORKDAY(A1639,E1639,Dias_Sem_Compensacao!$A$2:$A$500)),"")</f>
        <v>46304</v>
      </c>
      <c r="H1639" s="25">
        <v>0</v>
      </c>
      <c r="I1639" s="28">
        <v>46303</v>
      </c>
      <c r="J1639" t="s">
        <v>1495</v>
      </c>
      <c r="K1639" t="s">
        <v>1496</v>
      </c>
    </row>
    <row r="1640" spans="1:11" hidden="1">
      <c r="A1640" s="28">
        <v>46303</v>
      </c>
      <c r="B1640" t="s">
        <v>186</v>
      </c>
      <c r="C1640" t="s">
        <v>203</v>
      </c>
      <c r="D1640" t="s">
        <v>217</v>
      </c>
      <c r="E1640">
        <f>IF(LEFT(D1640,6)="CLIENT",IFERROR(VLOOKUP(C1640,Config_Carteiras!$A:$B,2,FALSE),1),"")</f>
        <v>1</v>
      </c>
      <c r="F1640" s="25">
        <v>598</v>
      </c>
      <c r="G1640" s="28">
        <f>IF(LEFT(D1640,6)="CLIENT",IF(E1640=0,WORKDAY(A1640-1,1,Dias_Sem_Compensacao!$A$2:$A$500),WORKDAY(A1640,E1640,Dias_Sem_Compensacao!$A$2:$A$500)),"")</f>
        <v>46304</v>
      </c>
      <c r="H1640" s="25">
        <v>0</v>
      </c>
      <c r="I1640" s="28">
        <v>46303</v>
      </c>
      <c r="J1640" t="s">
        <v>1497</v>
      </c>
      <c r="K1640" t="s">
        <v>1498</v>
      </c>
    </row>
    <row r="1641" spans="1:11" hidden="1">
      <c r="A1641" s="28">
        <v>46303</v>
      </c>
      <c r="B1641" t="s">
        <v>186</v>
      </c>
      <c r="C1641" t="s">
        <v>203</v>
      </c>
      <c r="D1641" t="s">
        <v>217</v>
      </c>
      <c r="E1641">
        <f>IF(LEFT(D1641,6)="CLIENT",IFERROR(VLOOKUP(C1641,Config_Carteiras!$A:$B,2,FALSE),1),"")</f>
        <v>1</v>
      </c>
      <c r="F1641" s="25">
        <v>1295.5</v>
      </c>
      <c r="G1641" s="28">
        <f>IF(LEFT(D1641,6)="CLIENT",IF(E1641=0,WORKDAY(A1641-1,1,Dias_Sem_Compensacao!$A$2:$A$500),WORKDAY(A1641,E1641,Dias_Sem_Compensacao!$A$2:$A$500)),"")</f>
        <v>46304</v>
      </c>
      <c r="H1641" s="25">
        <v>0</v>
      </c>
      <c r="I1641" s="28">
        <v>46303</v>
      </c>
      <c r="J1641" t="s">
        <v>2168</v>
      </c>
      <c r="K1641" t="s">
        <v>2169</v>
      </c>
    </row>
    <row r="1642" spans="1:11" hidden="1">
      <c r="A1642" s="28">
        <v>46303</v>
      </c>
      <c r="B1642" t="s">
        <v>186</v>
      </c>
      <c r="C1642" t="s">
        <v>203</v>
      </c>
      <c r="D1642" t="s">
        <v>217</v>
      </c>
      <c r="E1642">
        <f>IF(LEFT(D1642,6)="CLIENT",IFERROR(VLOOKUP(C1642,Config_Carteiras!$A:$B,2,FALSE),1),"")</f>
        <v>1</v>
      </c>
      <c r="F1642" s="25">
        <v>712</v>
      </c>
      <c r="G1642" s="28">
        <f>IF(LEFT(D1642,6)="CLIENT",IF(E1642=0,WORKDAY(A1642-1,1,Dias_Sem_Compensacao!$A$2:$A$500),WORKDAY(A1642,E1642,Dias_Sem_Compensacao!$A$2:$A$500)),"")</f>
        <v>46304</v>
      </c>
      <c r="H1642" s="25">
        <v>0</v>
      </c>
      <c r="I1642" s="28">
        <v>46303</v>
      </c>
      <c r="J1642" t="s">
        <v>1499</v>
      </c>
      <c r="K1642" t="s">
        <v>1500</v>
      </c>
    </row>
    <row r="1643" spans="1:11" hidden="1">
      <c r="A1643" s="28">
        <v>46303</v>
      </c>
      <c r="B1643" t="s">
        <v>186</v>
      </c>
      <c r="C1643" t="s">
        <v>203</v>
      </c>
      <c r="D1643" t="s">
        <v>217</v>
      </c>
      <c r="E1643">
        <f>IF(LEFT(D1643,6)="CLIENT",IFERROR(VLOOKUP(C1643,Config_Carteiras!$A:$B,2,FALSE),1),"")</f>
        <v>1</v>
      </c>
      <c r="F1643" s="25">
        <v>1512.02</v>
      </c>
      <c r="G1643" s="28">
        <f>IF(LEFT(D1643,6)="CLIENT",IF(E1643=0,WORKDAY(A1643-1,1,Dias_Sem_Compensacao!$A$2:$A$500),WORKDAY(A1643,E1643,Dias_Sem_Compensacao!$A$2:$A$500)),"")</f>
        <v>46304</v>
      </c>
      <c r="H1643" s="25">
        <v>0</v>
      </c>
      <c r="I1643" s="28">
        <v>46303</v>
      </c>
      <c r="J1643" t="s">
        <v>1501</v>
      </c>
      <c r="K1643" t="s">
        <v>1502</v>
      </c>
    </row>
    <row r="1644" spans="1:11" hidden="1">
      <c r="A1644" s="28">
        <v>46303</v>
      </c>
      <c r="B1644" t="s">
        <v>186</v>
      </c>
      <c r="C1644" t="s">
        <v>203</v>
      </c>
      <c r="D1644" t="s">
        <v>217</v>
      </c>
      <c r="E1644">
        <f>IF(LEFT(D1644,6)="CLIENT",IFERROR(VLOOKUP(C1644,Config_Carteiras!$A:$B,2,FALSE),1),"")</f>
        <v>1</v>
      </c>
      <c r="F1644" s="25">
        <v>764</v>
      </c>
      <c r="G1644" s="28">
        <f>IF(LEFT(D1644,6)="CLIENT",IF(E1644=0,WORKDAY(A1644-1,1,Dias_Sem_Compensacao!$A$2:$A$500),WORKDAY(A1644,E1644,Dias_Sem_Compensacao!$A$2:$A$500)),"")</f>
        <v>46304</v>
      </c>
      <c r="H1644" s="25">
        <v>0</v>
      </c>
      <c r="I1644" s="28">
        <v>46303</v>
      </c>
      <c r="J1644" t="s">
        <v>1503</v>
      </c>
      <c r="K1644" t="s">
        <v>2170</v>
      </c>
    </row>
    <row r="1645" spans="1:11" hidden="1">
      <c r="A1645" s="28">
        <v>46303</v>
      </c>
      <c r="B1645" t="s">
        <v>186</v>
      </c>
      <c r="C1645" t="s">
        <v>203</v>
      </c>
      <c r="D1645" t="s">
        <v>217</v>
      </c>
      <c r="E1645">
        <f>IF(LEFT(D1645,6)="CLIENT",IFERROR(VLOOKUP(C1645,Config_Carteiras!$A:$B,2,FALSE),1),"")</f>
        <v>1</v>
      </c>
      <c r="F1645" s="25">
        <v>466</v>
      </c>
      <c r="G1645" s="28">
        <f>IF(LEFT(D1645,6)="CLIENT",IF(E1645=0,WORKDAY(A1645-1,1,Dias_Sem_Compensacao!$A$2:$A$500),WORKDAY(A1645,E1645,Dias_Sem_Compensacao!$A$2:$A$500)),"")</f>
        <v>46304</v>
      </c>
      <c r="H1645" s="25">
        <v>0</v>
      </c>
      <c r="I1645" s="28">
        <v>46303</v>
      </c>
      <c r="J1645" t="s">
        <v>1506</v>
      </c>
      <c r="K1645" t="s">
        <v>1507</v>
      </c>
    </row>
    <row r="1646" spans="1:11" hidden="1">
      <c r="A1646" s="28">
        <v>46303</v>
      </c>
      <c r="B1646" t="s">
        <v>186</v>
      </c>
      <c r="C1646" t="s">
        <v>203</v>
      </c>
      <c r="D1646" t="s">
        <v>217</v>
      </c>
      <c r="E1646">
        <f>IF(LEFT(D1646,6)="CLIENT",IFERROR(VLOOKUP(C1646,Config_Carteiras!$A:$B,2,FALSE),1),"")</f>
        <v>1</v>
      </c>
      <c r="F1646" s="25">
        <v>3656.38</v>
      </c>
      <c r="G1646" s="28">
        <f>IF(LEFT(D1646,6)="CLIENT",IF(E1646=0,WORKDAY(A1646-1,1,Dias_Sem_Compensacao!$A$2:$A$500),WORKDAY(A1646,E1646,Dias_Sem_Compensacao!$A$2:$A$500)),"")</f>
        <v>46304</v>
      </c>
      <c r="H1646" s="25">
        <v>0</v>
      </c>
      <c r="I1646" s="28">
        <v>46303</v>
      </c>
      <c r="J1646" t="s">
        <v>1170</v>
      </c>
      <c r="K1646" t="s">
        <v>1508</v>
      </c>
    </row>
    <row r="1647" spans="1:11" hidden="1">
      <c r="A1647" s="28">
        <v>46303</v>
      </c>
      <c r="B1647" t="s">
        <v>186</v>
      </c>
      <c r="C1647" t="s">
        <v>203</v>
      </c>
      <c r="D1647" t="s">
        <v>217</v>
      </c>
      <c r="E1647">
        <f>IF(LEFT(D1647,6)="CLIENT",IFERROR(VLOOKUP(C1647,Config_Carteiras!$A:$B,2,FALSE),1),"")</f>
        <v>1</v>
      </c>
      <c r="F1647" s="25">
        <v>511.42</v>
      </c>
      <c r="G1647" s="28">
        <f>IF(LEFT(D1647,6)="CLIENT",IF(E1647=0,WORKDAY(A1647-1,1,Dias_Sem_Compensacao!$A$2:$A$500),WORKDAY(A1647,E1647,Dias_Sem_Compensacao!$A$2:$A$500)),"")</f>
        <v>46304</v>
      </c>
      <c r="H1647" s="25">
        <v>0</v>
      </c>
      <c r="I1647" s="28">
        <v>46303</v>
      </c>
      <c r="J1647" t="s">
        <v>2171</v>
      </c>
      <c r="K1647" t="s">
        <v>2172</v>
      </c>
    </row>
    <row r="1648" spans="1:11" hidden="1">
      <c r="A1648" s="28">
        <v>46303</v>
      </c>
      <c r="B1648" t="s">
        <v>186</v>
      </c>
      <c r="C1648" t="s">
        <v>203</v>
      </c>
      <c r="D1648" t="s">
        <v>217</v>
      </c>
      <c r="E1648">
        <f>IF(LEFT(D1648,6)="CLIENT",IFERROR(VLOOKUP(C1648,Config_Carteiras!$A:$B,2,FALSE),1),"")</f>
        <v>1</v>
      </c>
      <c r="F1648" s="25">
        <v>1960.43</v>
      </c>
      <c r="G1648" s="28">
        <f>IF(LEFT(D1648,6)="CLIENT",IF(E1648=0,WORKDAY(A1648-1,1,Dias_Sem_Compensacao!$A$2:$A$500),WORKDAY(A1648,E1648,Dias_Sem_Compensacao!$A$2:$A$500)),"")</f>
        <v>46304</v>
      </c>
      <c r="H1648" s="25">
        <v>0</v>
      </c>
      <c r="I1648" s="28">
        <v>46303</v>
      </c>
      <c r="J1648" t="s">
        <v>2173</v>
      </c>
      <c r="K1648" t="s">
        <v>2174</v>
      </c>
    </row>
    <row r="1649" spans="1:11" hidden="1">
      <c r="A1649" s="28">
        <v>46303</v>
      </c>
      <c r="B1649" t="s">
        <v>186</v>
      </c>
      <c r="C1649" t="s">
        <v>203</v>
      </c>
      <c r="D1649" t="s">
        <v>217</v>
      </c>
      <c r="E1649">
        <f>IF(LEFT(D1649,6)="CLIENT",IFERROR(VLOOKUP(C1649,Config_Carteiras!$A:$B,2,FALSE),1),"")</f>
        <v>1</v>
      </c>
      <c r="F1649" s="25">
        <v>2211.75</v>
      </c>
      <c r="G1649" s="28">
        <f>IF(LEFT(D1649,6)="CLIENT",IF(E1649=0,WORKDAY(A1649-1,1,Dias_Sem_Compensacao!$A$2:$A$500),WORKDAY(A1649,E1649,Dias_Sem_Compensacao!$A$2:$A$500)),"")</f>
        <v>46304</v>
      </c>
      <c r="H1649" s="25">
        <v>0</v>
      </c>
      <c r="I1649" s="28">
        <v>46303</v>
      </c>
      <c r="J1649" t="s">
        <v>2175</v>
      </c>
      <c r="K1649" t="s">
        <v>2176</v>
      </c>
    </row>
    <row r="1650" spans="1:11" hidden="1">
      <c r="A1650" s="28">
        <v>46303</v>
      </c>
      <c r="B1650" t="s">
        <v>186</v>
      </c>
      <c r="C1650" t="s">
        <v>203</v>
      </c>
      <c r="D1650" t="s">
        <v>217</v>
      </c>
      <c r="E1650">
        <f>IF(LEFT(D1650,6)="CLIENT",IFERROR(VLOOKUP(C1650,Config_Carteiras!$A:$B,2,FALSE),1),"")</f>
        <v>1</v>
      </c>
      <c r="F1650" s="25">
        <v>751.52</v>
      </c>
      <c r="G1650" s="28">
        <f>IF(LEFT(D1650,6)="CLIENT",IF(E1650=0,WORKDAY(A1650-1,1,Dias_Sem_Compensacao!$A$2:$A$500),WORKDAY(A1650,E1650,Dias_Sem_Compensacao!$A$2:$A$500)),"")</f>
        <v>46304</v>
      </c>
      <c r="H1650" s="25">
        <v>0</v>
      </c>
      <c r="I1650" s="28">
        <v>46303</v>
      </c>
      <c r="J1650" t="s">
        <v>1509</v>
      </c>
      <c r="K1650" t="s">
        <v>1510</v>
      </c>
    </row>
    <row r="1651" spans="1:11" hidden="1">
      <c r="A1651" s="28">
        <v>46303</v>
      </c>
      <c r="B1651" t="s">
        <v>186</v>
      </c>
      <c r="C1651" t="s">
        <v>203</v>
      </c>
      <c r="D1651" t="s">
        <v>217</v>
      </c>
      <c r="E1651">
        <f>IF(LEFT(D1651,6)="CLIENT",IFERROR(VLOOKUP(C1651,Config_Carteiras!$A:$B,2,FALSE),1),"")</f>
        <v>1</v>
      </c>
      <c r="F1651" s="25">
        <v>271</v>
      </c>
      <c r="G1651" s="28">
        <f>IF(LEFT(D1651,6)="CLIENT",IF(E1651=0,WORKDAY(A1651-1,1,Dias_Sem_Compensacao!$A$2:$A$500),WORKDAY(A1651,E1651,Dias_Sem_Compensacao!$A$2:$A$500)),"")</f>
        <v>46304</v>
      </c>
      <c r="H1651" s="25">
        <v>0</v>
      </c>
      <c r="I1651" s="28">
        <v>46303</v>
      </c>
      <c r="J1651" t="s">
        <v>2177</v>
      </c>
      <c r="K1651" t="s">
        <v>2178</v>
      </c>
    </row>
    <row r="1652" spans="1:11" hidden="1">
      <c r="A1652" s="28">
        <v>46303</v>
      </c>
      <c r="B1652" t="s">
        <v>186</v>
      </c>
      <c r="C1652" t="s">
        <v>203</v>
      </c>
      <c r="D1652" t="s">
        <v>217</v>
      </c>
      <c r="E1652">
        <f>IF(LEFT(D1652,6)="CLIENT",IFERROR(VLOOKUP(C1652,Config_Carteiras!$A:$B,2,FALSE),1),"")</f>
        <v>1</v>
      </c>
      <c r="F1652" s="25">
        <v>698</v>
      </c>
      <c r="G1652" s="28">
        <f>IF(LEFT(D1652,6)="CLIENT",IF(E1652=0,WORKDAY(A1652-1,1,Dias_Sem_Compensacao!$A$2:$A$500),WORKDAY(A1652,E1652,Dias_Sem_Compensacao!$A$2:$A$500)),"")</f>
        <v>46304</v>
      </c>
      <c r="H1652" s="25">
        <v>0</v>
      </c>
      <c r="I1652" s="28">
        <v>46303</v>
      </c>
      <c r="J1652" t="s">
        <v>2179</v>
      </c>
      <c r="K1652" t="s">
        <v>2180</v>
      </c>
    </row>
    <row r="1653" spans="1:11" hidden="1">
      <c r="A1653" s="28">
        <v>46303</v>
      </c>
      <c r="B1653" t="s">
        <v>186</v>
      </c>
      <c r="C1653" t="s">
        <v>203</v>
      </c>
      <c r="D1653" t="s">
        <v>217</v>
      </c>
      <c r="E1653">
        <f>IF(LEFT(D1653,6)="CLIENT",IFERROR(VLOOKUP(C1653,Config_Carteiras!$A:$B,2,FALSE),1),"")</f>
        <v>1</v>
      </c>
      <c r="F1653" s="25">
        <v>318.5</v>
      </c>
      <c r="G1653" s="28">
        <f>IF(LEFT(D1653,6)="CLIENT",IF(E1653=0,WORKDAY(A1653-1,1,Dias_Sem_Compensacao!$A$2:$A$500),WORKDAY(A1653,E1653,Dias_Sem_Compensacao!$A$2:$A$500)),"")</f>
        <v>46304</v>
      </c>
      <c r="H1653" s="25">
        <v>0</v>
      </c>
      <c r="I1653" s="28">
        <v>46303</v>
      </c>
      <c r="J1653" t="s">
        <v>969</v>
      </c>
      <c r="K1653" t="s">
        <v>2181</v>
      </c>
    </row>
    <row r="1654" spans="1:11" hidden="1">
      <c r="A1654" s="28">
        <v>46303</v>
      </c>
      <c r="B1654" t="s">
        <v>186</v>
      </c>
      <c r="C1654" t="s">
        <v>203</v>
      </c>
      <c r="D1654" t="s">
        <v>217</v>
      </c>
      <c r="E1654">
        <f>IF(LEFT(D1654,6)="CLIENT",IFERROR(VLOOKUP(C1654,Config_Carteiras!$A:$B,2,FALSE),1),"")</f>
        <v>1</v>
      </c>
      <c r="F1654" s="25">
        <v>651</v>
      </c>
      <c r="G1654" s="28">
        <f>IF(LEFT(D1654,6)="CLIENT",IF(E1654=0,WORKDAY(A1654-1,1,Dias_Sem_Compensacao!$A$2:$A$500),WORKDAY(A1654,E1654,Dias_Sem_Compensacao!$A$2:$A$500)),"")</f>
        <v>46304</v>
      </c>
      <c r="H1654" s="25">
        <v>0</v>
      </c>
      <c r="I1654" s="28">
        <v>46303</v>
      </c>
      <c r="J1654" t="s">
        <v>971</v>
      </c>
      <c r="K1654" t="s">
        <v>2182</v>
      </c>
    </row>
    <row r="1655" spans="1:11" hidden="1">
      <c r="A1655" s="28">
        <v>46303</v>
      </c>
      <c r="B1655" t="s">
        <v>186</v>
      </c>
      <c r="C1655" t="s">
        <v>203</v>
      </c>
      <c r="D1655" t="s">
        <v>217</v>
      </c>
      <c r="E1655">
        <f>IF(LEFT(D1655,6)="CLIENT",IFERROR(VLOOKUP(C1655,Config_Carteiras!$A:$B,2,FALSE),1),"")</f>
        <v>1</v>
      </c>
      <c r="F1655" s="25">
        <v>621</v>
      </c>
      <c r="G1655" s="28">
        <f>IF(LEFT(D1655,6)="CLIENT",IF(E1655=0,WORKDAY(A1655-1,1,Dias_Sem_Compensacao!$A$2:$A$500),WORKDAY(A1655,E1655,Dias_Sem_Compensacao!$A$2:$A$500)),"")</f>
        <v>46304</v>
      </c>
      <c r="H1655" s="25">
        <v>0</v>
      </c>
      <c r="I1655" s="28">
        <v>46303</v>
      </c>
      <c r="K1655" t="s">
        <v>2183</v>
      </c>
    </row>
    <row r="1656" spans="1:11" hidden="1">
      <c r="A1656" s="28">
        <v>46303</v>
      </c>
      <c r="B1656" t="s">
        <v>186</v>
      </c>
      <c r="C1656" t="s">
        <v>203</v>
      </c>
      <c r="D1656" t="s">
        <v>217</v>
      </c>
      <c r="E1656">
        <f>IF(LEFT(D1656,6)="CLIENT",IFERROR(VLOOKUP(C1656,Config_Carteiras!$A:$B,2,FALSE),1),"")</f>
        <v>1</v>
      </c>
      <c r="F1656" s="25">
        <v>1143</v>
      </c>
      <c r="G1656" s="28">
        <f>IF(LEFT(D1656,6)="CLIENT",IF(E1656=0,WORKDAY(A1656-1,1,Dias_Sem_Compensacao!$A$2:$A$500),WORKDAY(A1656,E1656,Dias_Sem_Compensacao!$A$2:$A$500)),"")</f>
        <v>46304</v>
      </c>
      <c r="H1656" s="25">
        <v>0</v>
      </c>
      <c r="I1656" s="28">
        <v>46303</v>
      </c>
      <c r="J1656" t="s">
        <v>2184</v>
      </c>
      <c r="K1656" t="s">
        <v>2185</v>
      </c>
    </row>
    <row r="1657" spans="1:11" hidden="1">
      <c r="A1657" s="28">
        <v>46303</v>
      </c>
      <c r="B1657" t="s">
        <v>186</v>
      </c>
      <c r="C1657" t="s">
        <v>203</v>
      </c>
      <c r="D1657" t="s">
        <v>217</v>
      </c>
      <c r="E1657">
        <f>IF(LEFT(D1657,6)="CLIENT",IFERROR(VLOOKUP(C1657,Config_Carteiras!$A:$B,2,FALSE),1),"")</f>
        <v>1</v>
      </c>
      <c r="F1657" s="25">
        <v>1102</v>
      </c>
      <c r="G1657" s="28">
        <f>IF(LEFT(D1657,6)="CLIENT",IF(E1657=0,WORKDAY(A1657-1,1,Dias_Sem_Compensacao!$A$2:$A$500),WORKDAY(A1657,E1657,Dias_Sem_Compensacao!$A$2:$A$500)),"")</f>
        <v>46304</v>
      </c>
      <c r="H1657" s="25">
        <v>0</v>
      </c>
      <c r="I1657" s="28">
        <v>46303</v>
      </c>
      <c r="J1657" t="s">
        <v>224</v>
      </c>
      <c r="K1657" t="s">
        <v>1513</v>
      </c>
    </row>
    <row r="1658" spans="1:11" hidden="1">
      <c r="A1658" s="28">
        <v>46303</v>
      </c>
      <c r="B1658" t="s">
        <v>186</v>
      </c>
      <c r="C1658" t="s">
        <v>203</v>
      </c>
      <c r="D1658" t="s">
        <v>217</v>
      </c>
      <c r="E1658">
        <f>IF(LEFT(D1658,6)="CLIENT",IFERROR(VLOOKUP(C1658,Config_Carteiras!$A:$B,2,FALSE),1),"")</f>
        <v>1</v>
      </c>
      <c r="F1658" s="25">
        <v>387.13</v>
      </c>
      <c r="G1658" s="28">
        <f>IF(LEFT(D1658,6)="CLIENT",IF(E1658=0,WORKDAY(A1658-1,1,Dias_Sem_Compensacao!$A$2:$A$500),WORKDAY(A1658,E1658,Dias_Sem_Compensacao!$A$2:$A$500)),"")</f>
        <v>46304</v>
      </c>
      <c r="H1658" s="25">
        <v>0</v>
      </c>
      <c r="I1658" s="28">
        <v>46303</v>
      </c>
      <c r="J1658" t="s">
        <v>1516</v>
      </c>
      <c r="K1658" t="s">
        <v>1517</v>
      </c>
    </row>
    <row r="1659" spans="1:11" hidden="1">
      <c r="A1659" s="28">
        <v>46303</v>
      </c>
      <c r="B1659" t="s">
        <v>186</v>
      </c>
      <c r="C1659" t="s">
        <v>203</v>
      </c>
      <c r="D1659" t="s">
        <v>217</v>
      </c>
      <c r="E1659">
        <f>IF(LEFT(D1659,6)="CLIENT",IFERROR(VLOOKUP(C1659,Config_Carteiras!$A:$B,2,FALSE),1),"")</f>
        <v>1</v>
      </c>
      <c r="F1659" s="25">
        <v>1087</v>
      </c>
      <c r="G1659" s="28">
        <f>IF(LEFT(D1659,6)="CLIENT",IF(E1659=0,WORKDAY(A1659-1,1,Dias_Sem_Compensacao!$A$2:$A$500),WORKDAY(A1659,E1659,Dias_Sem_Compensacao!$A$2:$A$500)),"")</f>
        <v>46304</v>
      </c>
      <c r="H1659" s="25">
        <v>0</v>
      </c>
      <c r="I1659" s="28">
        <v>46303</v>
      </c>
      <c r="J1659" t="s">
        <v>1518</v>
      </c>
      <c r="K1659" t="s">
        <v>1519</v>
      </c>
    </row>
    <row r="1660" spans="1:11" hidden="1">
      <c r="A1660" s="28">
        <v>46303</v>
      </c>
      <c r="B1660" t="s">
        <v>186</v>
      </c>
      <c r="C1660" t="s">
        <v>203</v>
      </c>
      <c r="D1660" t="s">
        <v>217</v>
      </c>
      <c r="E1660">
        <f>IF(LEFT(D1660,6)="CLIENT",IFERROR(VLOOKUP(C1660,Config_Carteiras!$A:$B,2,FALSE),1),"")</f>
        <v>1</v>
      </c>
      <c r="F1660" s="25">
        <v>517</v>
      </c>
      <c r="G1660" s="28">
        <f>IF(LEFT(D1660,6)="CLIENT",IF(E1660=0,WORKDAY(A1660-1,1,Dias_Sem_Compensacao!$A$2:$A$500),WORKDAY(A1660,E1660,Dias_Sem_Compensacao!$A$2:$A$500)),"")</f>
        <v>46304</v>
      </c>
      <c r="H1660" s="25">
        <v>0</v>
      </c>
      <c r="I1660" s="28">
        <v>46303</v>
      </c>
      <c r="J1660" t="s">
        <v>2186</v>
      </c>
      <c r="K1660" t="s">
        <v>2187</v>
      </c>
    </row>
    <row r="1661" spans="1:11" hidden="1">
      <c r="A1661" s="28">
        <v>46303</v>
      </c>
      <c r="B1661" t="s">
        <v>186</v>
      </c>
      <c r="C1661" t="s">
        <v>203</v>
      </c>
      <c r="D1661" t="s">
        <v>217</v>
      </c>
      <c r="E1661">
        <f>IF(LEFT(D1661,6)="CLIENT",IFERROR(VLOOKUP(C1661,Config_Carteiras!$A:$B,2,FALSE),1),"")</f>
        <v>1</v>
      </c>
      <c r="F1661" s="25">
        <v>2063.79</v>
      </c>
      <c r="G1661" s="28">
        <f>IF(LEFT(D1661,6)="CLIENT",IF(E1661=0,WORKDAY(A1661-1,1,Dias_Sem_Compensacao!$A$2:$A$500),WORKDAY(A1661,E1661,Dias_Sem_Compensacao!$A$2:$A$500)),"")</f>
        <v>46304</v>
      </c>
      <c r="H1661" s="25">
        <v>0</v>
      </c>
      <c r="I1661" s="28">
        <v>46303</v>
      </c>
      <c r="J1661" t="s">
        <v>2188</v>
      </c>
      <c r="K1661" t="s">
        <v>2189</v>
      </c>
    </row>
    <row r="1662" spans="1:11" hidden="1">
      <c r="A1662" s="28">
        <v>46303</v>
      </c>
      <c r="B1662" t="s">
        <v>186</v>
      </c>
      <c r="C1662" t="s">
        <v>203</v>
      </c>
      <c r="D1662" t="s">
        <v>217</v>
      </c>
      <c r="E1662">
        <f>IF(LEFT(D1662,6)="CLIENT",IFERROR(VLOOKUP(C1662,Config_Carteiras!$A:$B,2,FALSE),1),"")</f>
        <v>1</v>
      </c>
      <c r="F1662" s="25">
        <v>1329.33</v>
      </c>
      <c r="G1662" s="28">
        <f>IF(LEFT(D1662,6)="CLIENT",IF(E1662=0,WORKDAY(A1662-1,1,Dias_Sem_Compensacao!$A$2:$A$500),WORKDAY(A1662,E1662,Dias_Sem_Compensacao!$A$2:$A$500)),"")</f>
        <v>46304</v>
      </c>
      <c r="H1662" s="25">
        <v>0</v>
      </c>
      <c r="I1662" s="28">
        <v>46303</v>
      </c>
      <c r="J1662" t="s">
        <v>2190</v>
      </c>
      <c r="K1662" t="s">
        <v>2191</v>
      </c>
    </row>
    <row r="1663" spans="1:11" hidden="1">
      <c r="A1663" s="28">
        <v>46303</v>
      </c>
      <c r="B1663" t="s">
        <v>186</v>
      </c>
      <c r="C1663" t="s">
        <v>203</v>
      </c>
      <c r="D1663" t="s">
        <v>217</v>
      </c>
      <c r="E1663">
        <f>IF(LEFT(D1663,6)="CLIENT",IFERROR(VLOOKUP(C1663,Config_Carteiras!$A:$B,2,FALSE),1),"")</f>
        <v>1</v>
      </c>
      <c r="F1663" s="25">
        <v>1627</v>
      </c>
      <c r="G1663" s="28">
        <f>IF(LEFT(D1663,6)="CLIENT",IF(E1663=0,WORKDAY(A1663-1,1,Dias_Sem_Compensacao!$A$2:$A$500),WORKDAY(A1663,E1663,Dias_Sem_Compensacao!$A$2:$A$500)),"")</f>
        <v>46304</v>
      </c>
      <c r="H1663" s="25">
        <v>0</v>
      </c>
      <c r="I1663" s="28">
        <v>46303</v>
      </c>
      <c r="J1663" t="s">
        <v>1520</v>
      </c>
      <c r="K1663" t="s">
        <v>1521</v>
      </c>
    </row>
    <row r="1664" spans="1:11" hidden="1">
      <c r="A1664" s="28">
        <v>46303</v>
      </c>
      <c r="B1664" t="s">
        <v>186</v>
      </c>
      <c r="C1664" t="s">
        <v>203</v>
      </c>
      <c r="D1664" t="s">
        <v>217</v>
      </c>
      <c r="E1664">
        <f>IF(LEFT(D1664,6)="CLIENT",IFERROR(VLOOKUP(C1664,Config_Carteiras!$A:$B,2,FALSE),1),"")</f>
        <v>1</v>
      </c>
      <c r="F1664" s="25">
        <v>926.1</v>
      </c>
      <c r="G1664" s="28">
        <f>IF(LEFT(D1664,6)="CLIENT",IF(E1664=0,WORKDAY(A1664-1,1,Dias_Sem_Compensacao!$A$2:$A$500),WORKDAY(A1664,E1664,Dias_Sem_Compensacao!$A$2:$A$500)),"")</f>
        <v>46304</v>
      </c>
      <c r="H1664" s="25">
        <v>0</v>
      </c>
      <c r="I1664" s="28">
        <v>46303</v>
      </c>
      <c r="J1664" t="s">
        <v>2192</v>
      </c>
      <c r="K1664" t="s">
        <v>2193</v>
      </c>
    </row>
    <row r="1665" spans="1:11" hidden="1">
      <c r="A1665" s="28">
        <v>46303</v>
      </c>
      <c r="B1665" t="s">
        <v>186</v>
      </c>
      <c r="C1665" t="s">
        <v>203</v>
      </c>
      <c r="D1665" t="s">
        <v>217</v>
      </c>
      <c r="E1665">
        <f>IF(LEFT(D1665,6)="CLIENT",IFERROR(VLOOKUP(C1665,Config_Carteiras!$A:$B,2,FALSE),1),"")</f>
        <v>1</v>
      </c>
      <c r="F1665" s="25">
        <v>1908</v>
      </c>
      <c r="G1665" s="28">
        <f>IF(LEFT(D1665,6)="CLIENT",IF(E1665=0,WORKDAY(A1665-1,1,Dias_Sem_Compensacao!$A$2:$A$500),WORKDAY(A1665,E1665,Dias_Sem_Compensacao!$A$2:$A$500)),"")</f>
        <v>46304</v>
      </c>
      <c r="H1665" s="25">
        <v>0</v>
      </c>
      <c r="I1665" s="28">
        <v>46303</v>
      </c>
      <c r="J1665" t="s">
        <v>2194</v>
      </c>
      <c r="K1665" t="s">
        <v>2195</v>
      </c>
    </row>
    <row r="1666" spans="1:11" hidden="1">
      <c r="A1666" s="28">
        <v>46303</v>
      </c>
      <c r="B1666" t="s">
        <v>186</v>
      </c>
      <c r="C1666" t="s">
        <v>203</v>
      </c>
      <c r="D1666" t="s">
        <v>217</v>
      </c>
      <c r="E1666">
        <f>IF(LEFT(D1666,6)="CLIENT",IFERROR(VLOOKUP(C1666,Config_Carteiras!$A:$B,2,FALSE),1),"")</f>
        <v>1</v>
      </c>
      <c r="F1666" s="25">
        <v>2377</v>
      </c>
      <c r="G1666" s="28">
        <f>IF(LEFT(D1666,6)="CLIENT",IF(E1666=0,WORKDAY(A1666-1,1,Dias_Sem_Compensacao!$A$2:$A$500),WORKDAY(A1666,E1666,Dias_Sem_Compensacao!$A$2:$A$500)),"")</f>
        <v>46304</v>
      </c>
      <c r="H1666" s="25">
        <v>0</v>
      </c>
      <c r="I1666" s="28">
        <v>46303</v>
      </c>
      <c r="J1666" t="s">
        <v>2196</v>
      </c>
      <c r="K1666" t="s">
        <v>2197</v>
      </c>
    </row>
    <row r="1667" spans="1:11" hidden="1">
      <c r="A1667" s="28">
        <v>46303</v>
      </c>
      <c r="B1667" t="s">
        <v>186</v>
      </c>
      <c r="C1667" t="s">
        <v>203</v>
      </c>
      <c r="D1667" t="s">
        <v>217</v>
      </c>
      <c r="E1667">
        <f>IF(LEFT(D1667,6)="CLIENT",IFERROR(VLOOKUP(C1667,Config_Carteiras!$A:$B,2,FALSE),1),"")</f>
        <v>1</v>
      </c>
      <c r="F1667" s="25">
        <v>862.2</v>
      </c>
      <c r="G1667" s="28">
        <f>IF(LEFT(D1667,6)="CLIENT",IF(E1667=0,WORKDAY(A1667-1,1,Dias_Sem_Compensacao!$A$2:$A$500),WORKDAY(A1667,E1667,Dias_Sem_Compensacao!$A$2:$A$500)),"")</f>
        <v>46304</v>
      </c>
      <c r="H1667" s="25">
        <v>0</v>
      </c>
      <c r="I1667" s="28">
        <v>46303</v>
      </c>
      <c r="J1667" t="s">
        <v>1524</v>
      </c>
      <c r="K1667" t="s">
        <v>1525</v>
      </c>
    </row>
    <row r="1668" spans="1:11" hidden="1">
      <c r="A1668" s="28">
        <v>46303</v>
      </c>
      <c r="B1668" t="s">
        <v>186</v>
      </c>
      <c r="C1668" t="s">
        <v>203</v>
      </c>
      <c r="D1668" t="s">
        <v>217</v>
      </c>
      <c r="E1668">
        <f>IF(LEFT(D1668,6)="CLIENT",IFERROR(VLOOKUP(C1668,Config_Carteiras!$A:$B,2,FALSE),1),"")</f>
        <v>1</v>
      </c>
      <c r="F1668" s="25">
        <v>3280.32</v>
      </c>
      <c r="G1668" s="28">
        <f>IF(LEFT(D1668,6)="CLIENT",IF(E1668=0,WORKDAY(A1668-1,1,Dias_Sem_Compensacao!$A$2:$A$500),WORKDAY(A1668,E1668,Dias_Sem_Compensacao!$A$2:$A$500)),"")</f>
        <v>46304</v>
      </c>
      <c r="H1668" s="25">
        <v>0</v>
      </c>
      <c r="I1668" s="28">
        <v>46303</v>
      </c>
      <c r="J1668" t="s">
        <v>1526</v>
      </c>
      <c r="K1668" t="s">
        <v>1527</v>
      </c>
    </row>
    <row r="1669" spans="1:11" hidden="1">
      <c r="A1669" s="28">
        <v>46303</v>
      </c>
      <c r="B1669" t="s">
        <v>186</v>
      </c>
      <c r="C1669" t="s">
        <v>203</v>
      </c>
      <c r="D1669" t="s">
        <v>217</v>
      </c>
      <c r="E1669">
        <f>IF(LEFT(D1669,6)="CLIENT",IFERROR(VLOOKUP(C1669,Config_Carteiras!$A:$B,2,FALSE),1),"")</f>
        <v>1</v>
      </c>
      <c r="F1669" s="25">
        <v>2285</v>
      </c>
      <c r="G1669" s="28">
        <f>IF(LEFT(D1669,6)="CLIENT",IF(E1669=0,WORKDAY(A1669-1,1,Dias_Sem_Compensacao!$A$2:$A$500),WORKDAY(A1669,E1669,Dias_Sem_Compensacao!$A$2:$A$500)),"")</f>
        <v>46304</v>
      </c>
      <c r="H1669" s="25">
        <v>0</v>
      </c>
      <c r="I1669" s="28">
        <v>46303</v>
      </c>
      <c r="J1669" t="s">
        <v>2198</v>
      </c>
      <c r="K1669" t="s">
        <v>2199</v>
      </c>
    </row>
    <row r="1670" spans="1:11" hidden="1">
      <c r="A1670" s="28">
        <v>46303</v>
      </c>
      <c r="B1670" t="s">
        <v>186</v>
      </c>
      <c r="C1670" t="s">
        <v>203</v>
      </c>
      <c r="D1670" t="s">
        <v>217</v>
      </c>
      <c r="E1670">
        <f>IF(LEFT(D1670,6)="CLIENT",IFERROR(VLOOKUP(C1670,Config_Carteiras!$A:$B,2,FALSE),1),"")</f>
        <v>1</v>
      </c>
      <c r="F1670" s="25">
        <v>704.06</v>
      </c>
      <c r="G1670" s="28">
        <f>IF(LEFT(D1670,6)="CLIENT",IF(E1670=0,WORKDAY(A1670-1,1,Dias_Sem_Compensacao!$A$2:$A$500),WORKDAY(A1670,E1670,Dias_Sem_Compensacao!$A$2:$A$500)),"")</f>
        <v>46304</v>
      </c>
      <c r="H1670" s="25">
        <v>0</v>
      </c>
      <c r="I1670" s="28">
        <v>46303</v>
      </c>
      <c r="J1670" t="s">
        <v>1531</v>
      </c>
      <c r="K1670" t="s">
        <v>1532</v>
      </c>
    </row>
    <row r="1671" spans="1:11" hidden="1">
      <c r="A1671" s="28">
        <v>46303</v>
      </c>
      <c r="B1671" t="s">
        <v>186</v>
      </c>
      <c r="C1671" t="s">
        <v>203</v>
      </c>
      <c r="D1671" t="s">
        <v>217</v>
      </c>
      <c r="E1671">
        <f>IF(LEFT(D1671,6)="CLIENT",IFERROR(VLOOKUP(C1671,Config_Carteiras!$A:$B,2,FALSE),1),"")</f>
        <v>1</v>
      </c>
      <c r="F1671" s="25">
        <v>15925</v>
      </c>
      <c r="G1671" s="28">
        <f>IF(LEFT(D1671,6)="CLIENT",IF(E1671=0,WORKDAY(A1671-1,1,Dias_Sem_Compensacao!$A$2:$A$500),WORKDAY(A1671,E1671,Dias_Sem_Compensacao!$A$2:$A$500)),"")</f>
        <v>46304</v>
      </c>
      <c r="H1671" s="25">
        <v>0</v>
      </c>
      <c r="I1671" s="28">
        <v>46303</v>
      </c>
      <c r="J1671" t="s">
        <v>1201</v>
      </c>
      <c r="K1671" t="s">
        <v>2200</v>
      </c>
    </row>
    <row r="1672" spans="1:11" hidden="1">
      <c r="A1672" s="28">
        <v>46303</v>
      </c>
      <c r="B1672" t="s">
        <v>186</v>
      </c>
      <c r="C1672" t="s">
        <v>203</v>
      </c>
      <c r="D1672" t="s">
        <v>217</v>
      </c>
      <c r="E1672">
        <f>IF(LEFT(D1672,6)="CLIENT",IFERROR(VLOOKUP(C1672,Config_Carteiras!$A:$B,2,FALSE),1),"")</f>
        <v>1</v>
      </c>
      <c r="F1672" s="25">
        <v>718.34</v>
      </c>
      <c r="G1672" s="28">
        <f>IF(LEFT(D1672,6)="CLIENT",IF(E1672=0,WORKDAY(A1672-1,1,Dias_Sem_Compensacao!$A$2:$A$500),WORKDAY(A1672,E1672,Dias_Sem_Compensacao!$A$2:$A$500)),"")</f>
        <v>46304</v>
      </c>
      <c r="H1672" s="25">
        <v>0</v>
      </c>
      <c r="I1672" s="28">
        <v>46303</v>
      </c>
      <c r="J1672" t="s">
        <v>1533</v>
      </c>
      <c r="K1672" t="s">
        <v>1534</v>
      </c>
    </row>
    <row r="1673" spans="1:11" hidden="1">
      <c r="A1673" s="28">
        <v>46303</v>
      </c>
      <c r="B1673" t="s">
        <v>186</v>
      </c>
      <c r="C1673" t="s">
        <v>203</v>
      </c>
      <c r="D1673" t="s">
        <v>217</v>
      </c>
      <c r="E1673">
        <f>IF(LEFT(D1673,6)="CLIENT",IFERROR(VLOOKUP(C1673,Config_Carteiras!$A:$B,2,FALSE),1),"")</f>
        <v>1</v>
      </c>
      <c r="F1673" s="25">
        <v>960.45</v>
      </c>
      <c r="G1673" s="28">
        <f>IF(LEFT(D1673,6)="CLIENT",IF(E1673=0,WORKDAY(A1673-1,1,Dias_Sem_Compensacao!$A$2:$A$500),WORKDAY(A1673,E1673,Dias_Sem_Compensacao!$A$2:$A$500)),"")</f>
        <v>46304</v>
      </c>
      <c r="H1673" s="25">
        <v>0</v>
      </c>
      <c r="I1673" s="28">
        <v>46303</v>
      </c>
      <c r="J1673" t="s">
        <v>1537</v>
      </c>
      <c r="K1673" t="s">
        <v>1538</v>
      </c>
    </row>
    <row r="1674" spans="1:11" hidden="1">
      <c r="A1674" s="28">
        <v>46303</v>
      </c>
      <c r="B1674" t="s">
        <v>186</v>
      </c>
      <c r="C1674" t="s">
        <v>203</v>
      </c>
      <c r="D1674" t="s">
        <v>217</v>
      </c>
      <c r="E1674">
        <f>IF(LEFT(D1674,6)="CLIENT",IFERROR(VLOOKUP(C1674,Config_Carteiras!$A:$B,2,FALSE),1),"")</f>
        <v>1</v>
      </c>
      <c r="F1674" s="25">
        <v>605</v>
      </c>
      <c r="G1674" s="28">
        <f>IF(LEFT(D1674,6)="CLIENT",IF(E1674=0,WORKDAY(A1674-1,1,Dias_Sem_Compensacao!$A$2:$A$500),WORKDAY(A1674,E1674,Dias_Sem_Compensacao!$A$2:$A$500)),"")</f>
        <v>46304</v>
      </c>
      <c r="H1674" s="25">
        <v>0</v>
      </c>
      <c r="I1674" s="28">
        <v>46303</v>
      </c>
      <c r="J1674" t="s">
        <v>1543</v>
      </c>
      <c r="K1674" t="s">
        <v>1544</v>
      </c>
    </row>
    <row r="1675" spans="1:11" hidden="1">
      <c r="A1675" s="28">
        <v>46303</v>
      </c>
      <c r="B1675" t="s">
        <v>186</v>
      </c>
      <c r="C1675" t="s">
        <v>203</v>
      </c>
      <c r="D1675" t="s">
        <v>217</v>
      </c>
      <c r="E1675">
        <f>IF(LEFT(D1675,6)="CLIENT",IFERROR(VLOOKUP(C1675,Config_Carteiras!$A:$B,2,FALSE),1),"")</f>
        <v>1</v>
      </c>
      <c r="F1675" s="25">
        <v>455</v>
      </c>
      <c r="G1675" s="28">
        <f>IF(LEFT(D1675,6)="CLIENT",IF(E1675=0,WORKDAY(A1675-1,1,Dias_Sem_Compensacao!$A$2:$A$500),WORKDAY(A1675,E1675,Dias_Sem_Compensacao!$A$2:$A$500)),"")</f>
        <v>46304</v>
      </c>
      <c r="H1675" s="25">
        <v>0</v>
      </c>
      <c r="I1675" s="28">
        <v>46303</v>
      </c>
      <c r="J1675" t="s">
        <v>2201</v>
      </c>
      <c r="K1675" t="s">
        <v>2202</v>
      </c>
    </row>
    <row r="1676" spans="1:11" hidden="1">
      <c r="A1676" s="28">
        <v>46303</v>
      </c>
      <c r="B1676" t="s">
        <v>186</v>
      </c>
      <c r="C1676" t="s">
        <v>203</v>
      </c>
      <c r="D1676" t="s">
        <v>217</v>
      </c>
      <c r="E1676">
        <f>IF(LEFT(D1676,6)="CLIENT",IFERROR(VLOOKUP(C1676,Config_Carteiras!$A:$B,2,FALSE),1),"")</f>
        <v>1</v>
      </c>
      <c r="F1676" s="25">
        <v>2625</v>
      </c>
      <c r="G1676" s="28">
        <f>IF(LEFT(D1676,6)="CLIENT",IF(E1676=0,WORKDAY(A1676-1,1,Dias_Sem_Compensacao!$A$2:$A$500),WORKDAY(A1676,E1676,Dias_Sem_Compensacao!$A$2:$A$500)),"")</f>
        <v>46304</v>
      </c>
      <c r="H1676" s="25">
        <v>0</v>
      </c>
      <c r="I1676" s="28">
        <v>46303</v>
      </c>
      <c r="J1676" t="s">
        <v>896</v>
      </c>
      <c r="K1676" t="s">
        <v>2203</v>
      </c>
    </row>
    <row r="1677" spans="1:11" hidden="1">
      <c r="A1677" s="28">
        <v>46303</v>
      </c>
      <c r="B1677" t="s">
        <v>186</v>
      </c>
      <c r="C1677" t="s">
        <v>203</v>
      </c>
      <c r="D1677" t="s">
        <v>217</v>
      </c>
      <c r="E1677">
        <f>IF(LEFT(D1677,6)="CLIENT",IFERROR(VLOOKUP(C1677,Config_Carteiras!$A:$B,2,FALSE),1),"")</f>
        <v>1</v>
      </c>
      <c r="F1677" s="25">
        <v>617.08000000000004</v>
      </c>
      <c r="G1677" s="28">
        <f>IF(LEFT(D1677,6)="CLIENT",IF(E1677=0,WORKDAY(A1677-1,1,Dias_Sem_Compensacao!$A$2:$A$500),WORKDAY(A1677,E1677,Dias_Sem_Compensacao!$A$2:$A$500)),"")</f>
        <v>46304</v>
      </c>
      <c r="H1677" s="25">
        <v>0</v>
      </c>
      <c r="I1677" s="28">
        <v>46303</v>
      </c>
      <c r="J1677" t="s">
        <v>2204</v>
      </c>
      <c r="K1677" t="s">
        <v>2205</v>
      </c>
    </row>
    <row r="1678" spans="1:11" hidden="1">
      <c r="A1678" s="28">
        <v>46303</v>
      </c>
      <c r="B1678" t="s">
        <v>186</v>
      </c>
      <c r="C1678" t="s">
        <v>203</v>
      </c>
      <c r="D1678" t="s">
        <v>217</v>
      </c>
      <c r="E1678">
        <f>IF(LEFT(D1678,6)="CLIENT",IFERROR(VLOOKUP(C1678,Config_Carteiras!$A:$B,2,FALSE),1),"")</f>
        <v>1</v>
      </c>
      <c r="F1678" s="25">
        <v>1261</v>
      </c>
      <c r="G1678" s="28">
        <f>IF(LEFT(D1678,6)="CLIENT",IF(E1678=0,WORKDAY(A1678-1,1,Dias_Sem_Compensacao!$A$2:$A$500),WORKDAY(A1678,E1678,Dias_Sem_Compensacao!$A$2:$A$500)),"")</f>
        <v>46304</v>
      </c>
      <c r="H1678" s="25">
        <v>0</v>
      </c>
      <c r="I1678" s="28">
        <v>46303</v>
      </c>
      <c r="J1678" t="s">
        <v>1550</v>
      </c>
      <c r="K1678" t="s">
        <v>1551</v>
      </c>
    </row>
    <row r="1679" spans="1:11" hidden="1">
      <c r="A1679" s="28">
        <v>46303</v>
      </c>
      <c r="B1679" t="s">
        <v>186</v>
      </c>
      <c r="C1679" t="s">
        <v>203</v>
      </c>
      <c r="D1679" t="s">
        <v>217</v>
      </c>
      <c r="E1679">
        <f>IF(LEFT(D1679,6)="CLIENT",IFERROR(VLOOKUP(C1679,Config_Carteiras!$A:$B,2,FALSE),1),"")</f>
        <v>1</v>
      </c>
      <c r="F1679" s="25">
        <v>469.4</v>
      </c>
      <c r="G1679" s="28">
        <f>IF(LEFT(D1679,6)="CLIENT",IF(E1679=0,WORKDAY(A1679-1,1,Dias_Sem_Compensacao!$A$2:$A$500),WORKDAY(A1679,E1679,Dias_Sem_Compensacao!$A$2:$A$500)),"")</f>
        <v>46304</v>
      </c>
      <c r="H1679" s="25">
        <v>0</v>
      </c>
      <c r="I1679" s="28">
        <v>46303</v>
      </c>
      <c r="J1679" t="s">
        <v>1552</v>
      </c>
      <c r="K1679" t="s">
        <v>1553</v>
      </c>
    </row>
    <row r="1680" spans="1:11" hidden="1">
      <c r="A1680" s="28">
        <v>46303</v>
      </c>
      <c r="B1680" t="s">
        <v>186</v>
      </c>
      <c r="C1680" t="s">
        <v>203</v>
      </c>
      <c r="D1680" t="s">
        <v>217</v>
      </c>
      <c r="E1680">
        <f>IF(LEFT(D1680,6)="CLIENT",IFERROR(VLOOKUP(C1680,Config_Carteiras!$A:$B,2,FALSE),1),"")</f>
        <v>1</v>
      </c>
      <c r="F1680" s="25">
        <v>1274</v>
      </c>
      <c r="G1680" s="28">
        <f>IF(LEFT(D1680,6)="CLIENT",IF(E1680=0,WORKDAY(A1680-1,1,Dias_Sem_Compensacao!$A$2:$A$500),WORKDAY(A1680,E1680,Dias_Sem_Compensacao!$A$2:$A$500)),"")</f>
        <v>46304</v>
      </c>
      <c r="H1680" s="25">
        <v>0</v>
      </c>
      <c r="I1680" s="28">
        <v>46303</v>
      </c>
      <c r="J1680" t="s">
        <v>1560</v>
      </c>
      <c r="K1680" t="s">
        <v>1561</v>
      </c>
    </row>
    <row r="1681" spans="1:11" hidden="1">
      <c r="A1681" s="28">
        <v>46303</v>
      </c>
      <c r="B1681" t="s">
        <v>186</v>
      </c>
      <c r="C1681" t="s">
        <v>203</v>
      </c>
      <c r="D1681" t="s">
        <v>217</v>
      </c>
      <c r="E1681">
        <f>IF(LEFT(D1681,6)="CLIENT",IFERROR(VLOOKUP(C1681,Config_Carteiras!$A:$B,2,FALSE),1),"")</f>
        <v>1</v>
      </c>
      <c r="F1681" s="25">
        <v>358</v>
      </c>
      <c r="G1681" s="28">
        <f>IF(LEFT(D1681,6)="CLIENT",IF(E1681=0,WORKDAY(A1681-1,1,Dias_Sem_Compensacao!$A$2:$A$500),WORKDAY(A1681,E1681,Dias_Sem_Compensacao!$A$2:$A$500)),"")</f>
        <v>46304</v>
      </c>
      <c r="H1681" s="25">
        <v>0</v>
      </c>
      <c r="I1681" s="28">
        <v>46303</v>
      </c>
      <c r="J1681" t="s">
        <v>1562</v>
      </c>
      <c r="K1681" t="s">
        <v>1563</v>
      </c>
    </row>
    <row r="1682" spans="1:11" hidden="1">
      <c r="A1682" s="28">
        <v>46303</v>
      </c>
      <c r="B1682" t="s">
        <v>186</v>
      </c>
      <c r="C1682" t="s">
        <v>203</v>
      </c>
      <c r="D1682" t="s">
        <v>217</v>
      </c>
      <c r="E1682">
        <f>IF(LEFT(D1682,6)="CLIENT",IFERROR(VLOOKUP(C1682,Config_Carteiras!$A:$B,2,FALSE),1),"")</f>
        <v>1</v>
      </c>
      <c r="F1682" s="25">
        <v>634.85</v>
      </c>
      <c r="G1682" s="28">
        <f>IF(LEFT(D1682,6)="CLIENT",IF(E1682=0,WORKDAY(A1682-1,1,Dias_Sem_Compensacao!$A$2:$A$500),WORKDAY(A1682,E1682,Dias_Sem_Compensacao!$A$2:$A$500)),"")</f>
        <v>46304</v>
      </c>
      <c r="H1682" s="25">
        <v>0</v>
      </c>
      <c r="I1682" s="28">
        <v>46303</v>
      </c>
      <c r="J1682" t="s">
        <v>1564</v>
      </c>
      <c r="K1682" t="s">
        <v>1565</v>
      </c>
    </row>
    <row r="1683" spans="1:11" hidden="1">
      <c r="A1683" s="28">
        <v>46303</v>
      </c>
      <c r="B1683" t="s">
        <v>186</v>
      </c>
      <c r="C1683" t="s">
        <v>203</v>
      </c>
      <c r="D1683" t="s">
        <v>217</v>
      </c>
      <c r="E1683">
        <f>IF(LEFT(D1683,6)="CLIENT",IFERROR(VLOOKUP(C1683,Config_Carteiras!$A:$B,2,FALSE),1),"")</f>
        <v>1</v>
      </c>
      <c r="F1683" s="25">
        <v>1403</v>
      </c>
      <c r="G1683" s="28">
        <f>IF(LEFT(D1683,6)="CLIENT",IF(E1683=0,WORKDAY(A1683-1,1,Dias_Sem_Compensacao!$A$2:$A$500),WORKDAY(A1683,E1683,Dias_Sem_Compensacao!$A$2:$A$500)),"")</f>
        <v>46304</v>
      </c>
      <c r="H1683" s="25">
        <v>0</v>
      </c>
      <c r="I1683" s="28">
        <v>46303</v>
      </c>
      <c r="J1683" t="s">
        <v>1568</v>
      </c>
      <c r="K1683" t="s">
        <v>1569</v>
      </c>
    </row>
    <row r="1684" spans="1:11" hidden="1">
      <c r="A1684" s="28">
        <v>46303</v>
      </c>
      <c r="B1684" t="s">
        <v>186</v>
      </c>
      <c r="C1684" t="s">
        <v>203</v>
      </c>
      <c r="D1684" t="s">
        <v>217</v>
      </c>
      <c r="E1684">
        <f>IF(LEFT(D1684,6)="CLIENT",IFERROR(VLOOKUP(C1684,Config_Carteiras!$A:$B,2,FALSE),1),"")</f>
        <v>1</v>
      </c>
      <c r="F1684" s="25">
        <v>1070.81</v>
      </c>
      <c r="G1684" s="28">
        <f>IF(LEFT(D1684,6)="CLIENT",IF(E1684=0,WORKDAY(A1684-1,1,Dias_Sem_Compensacao!$A$2:$A$500),WORKDAY(A1684,E1684,Dias_Sem_Compensacao!$A$2:$A$500)),"")</f>
        <v>46304</v>
      </c>
      <c r="H1684" s="25">
        <v>0</v>
      </c>
      <c r="I1684" s="28">
        <v>46303</v>
      </c>
      <c r="J1684" t="s">
        <v>2206</v>
      </c>
      <c r="K1684" t="s">
        <v>2207</v>
      </c>
    </row>
    <row r="1685" spans="1:11" hidden="1">
      <c r="A1685" s="28">
        <v>46303</v>
      </c>
      <c r="B1685" t="s">
        <v>186</v>
      </c>
      <c r="C1685" t="s">
        <v>203</v>
      </c>
      <c r="D1685" t="s">
        <v>217</v>
      </c>
      <c r="E1685">
        <f>IF(LEFT(D1685,6)="CLIENT",IFERROR(VLOOKUP(C1685,Config_Carteiras!$A:$B,2,FALSE),1),"")</f>
        <v>1</v>
      </c>
      <c r="F1685" s="25">
        <v>992</v>
      </c>
      <c r="G1685" s="28">
        <f>IF(LEFT(D1685,6)="CLIENT",IF(E1685=0,WORKDAY(A1685-1,1,Dias_Sem_Compensacao!$A$2:$A$500),WORKDAY(A1685,E1685,Dias_Sem_Compensacao!$A$2:$A$500)),"")</f>
        <v>46304</v>
      </c>
      <c r="H1685" s="25">
        <v>0</v>
      </c>
      <c r="I1685" s="28">
        <v>46303</v>
      </c>
      <c r="J1685" t="s">
        <v>2208</v>
      </c>
      <c r="K1685" t="s">
        <v>2209</v>
      </c>
    </row>
    <row r="1686" spans="1:11" hidden="1">
      <c r="A1686" s="28">
        <v>46303</v>
      </c>
      <c r="B1686" t="s">
        <v>186</v>
      </c>
      <c r="C1686" t="s">
        <v>203</v>
      </c>
      <c r="D1686" t="s">
        <v>217</v>
      </c>
      <c r="E1686">
        <f>IF(LEFT(D1686,6)="CLIENT",IFERROR(VLOOKUP(C1686,Config_Carteiras!$A:$B,2,FALSE),1),"")</f>
        <v>1</v>
      </c>
      <c r="F1686" s="25">
        <v>1345.13</v>
      </c>
      <c r="G1686" s="28">
        <f>IF(LEFT(D1686,6)="CLIENT",IF(E1686=0,WORKDAY(A1686-1,1,Dias_Sem_Compensacao!$A$2:$A$500),WORKDAY(A1686,E1686,Dias_Sem_Compensacao!$A$2:$A$500)),"")</f>
        <v>46304</v>
      </c>
      <c r="H1686" s="25">
        <v>0</v>
      </c>
      <c r="I1686" s="28">
        <v>46303</v>
      </c>
      <c r="J1686" t="s">
        <v>1572</v>
      </c>
      <c r="K1686" t="s">
        <v>1573</v>
      </c>
    </row>
    <row r="1687" spans="1:11" hidden="1">
      <c r="A1687" s="28">
        <v>46303</v>
      </c>
      <c r="B1687" t="s">
        <v>186</v>
      </c>
      <c r="C1687" t="s">
        <v>203</v>
      </c>
      <c r="D1687" t="s">
        <v>217</v>
      </c>
      <c r="E1687">
        <f>IF(LEFT(D1687,6)="CLIENT",IFERROR(VLOOKUP(C1687,Config_Carteiras!$A:$B,2,FALSE),1),"")</f>
        <v>1</v>
      </c>
      <c r="F1687" s="25">
        <v>516.61</v>
      </c>
      <c r="G1687" s="28">
        <f>IF(LEFT(D1687,6)="CLIENT",IF(E1687=0,WORKDAY(A1687-1,1,Dias_Sem_Compensacao!$A$2:$A$500),WORKDAY(A1687,E1687,Dias_Sem_Compensacao!$A$2:$A$500)),"")</f>
        <v>46304</v>
      </c>
      <c r="H1687" s="25">
        <v>0</v>
      </c>
      <c r="I1687" s="28">
        <v>46303</v>
      </c>
      <c r="J1687" t="s">
        <v>1574</v>
      </c>
      <c r="K1687" t="s">
        <v>1575</v>
      </c>
    </row>
    <row r="1688" spans="1:11" hidden="1">
      <c r="A1688" s="28">
        <v>46303</v>
      </c>
      <c r="B1688" t="s">
        <v>186</v>
      </c>
      <c r="C1688" t="s">
        <v>203</v>
      </c>
      <c r="D1688" t="s">
        <v>217</v>
      </c>
      <c r="E1688">
        <f>IF(LEFT(D1688,6)="CLIENT",IFERROR(VLOOKUP(C1688,Config_Carteiras!$A:$B,2,FALSE),1),"")</f>
        <v>1</v>
      </c>
      <c r="F1688" s="25">
        <v>816</v>
      </c>
      <c r="G1688" s="28">
        <f>IF(LEFT(D1688,6)="CLIENT",IF(E1688=0,WORKDAY(A1688-1,1,Dias_Sem_Compensacao!$A$2:$A$500),WORKDAY(A1688,E1688,Dias_Sem_Compensacao!$A$2:$A$500)),"")</f>
        <v>46304</v>
      </c>
      <c r="H1688" s="25">
        <v>0</v>
      </c>
      <c r="I1688" s="28">
        <v>46303</v>
      </c>
      <c r="J1688" t="s">
        <v>1578</v>
      </c>
      <c r="K1688" t="s">
        <v>1579</v>
      </c>
    </row>
    <row r="1689" spans="1:11" hidden="1">
      <c r="A1689" s="28">
        <v>46303</v>
      </c>
      <c r="B1689" t="s">
        <v>186</v>
      </c>
      <c r="C1689" t="s">
        <v>203</v>
      </c>
      <c r="D1689" t="s">
        <v>217</v>
      </c>
      <c r="E1689">
        <f>IF(LEFT(D1689,6)="CLIENT",IFERROR(VLOOKUP(C1689,Config_Carteiras!$A:$B,2,FALSE),1),"")</f>
        <v>1</v>
      </c>
      <c r="F1689" s="25">
        <v>279.8</v>
      </c>
      <c r="G1689" s="28">
        <f>IF(LEFT(D1689,6)="CLIENT",IF(E1689=0,WORKDAY(A1689-1,1,Dias_Sem_Compensacao!$A$2:$A$500),WORKDAY(A1689,E1689,Dias_Sem_Compensacao!$A$2:$A$500)),"")</f>
        <v>46304</v>
      </c>
      <c r="H1689" s="25">
        <v>0</v>
      </c>
      <c r="I1689" s="28">
        <v>46303</v>
      </c>
      <c r="J1689" t="s">
        <v>774</v>
      </c>
      <c r="K1689" t="s">
        <v>2210</v>
      </c>
    </row>
    <row r="1690" spans="1:11" hidden="1">
      <c r="A1690" s="28">
        <v>46303</v>
      </c>
      <c r="B1690" t="s">
        <v>186</v>
      </c>
      <c r="C1690" t="s">
        <v>203</v>
      </c>
      <c r="D1690" t="s">
        <v>217</v>
      </c>
      <c r="E1690">
        <f>IF(LEFT(D1690,6)="CLIENT",IFERROR(VLOOKUP(C1690,Config_Carteiras!$A:$B,2,FALSE),1),"")</f>
        <v>1</v>
      </c>
      <c r="F1690" s="25">
        <v>1381</v>
      </c>
      <c r="G1690" s="28">
        <f>IF(LEFT(D1690,6)="CLIENT",IF(E1690=0,WORKDAY(A1690-1,1,Dias_Sem_Compensacao!$A$2:$A$500),WORKDAY(A1690,E1690,Dias_Sem_Compensacao!$A$2:$A$500)),"")</f>
        <v>46304</v>
      </c>
      <c r="H1690" s="25">
        <v>0</v>
      </c>
      <c r="I1690" s="28">
        <v>46303</v>
      </c>
      <c r="J1690" t="s">
        <v>1580</v>
      </c>
      <c r="K1690" t="s">
        <v>1581</v>
      </c>
    </row>
    <row r="1691" spans="1:11" hidden="1">
      <c r="A1691" s="28">
        <v>46303</v>
      </c>
      <c r="B1691" t="s">
        <v>186</v>
      </c>
      <c r="C1691" t="s">
        <v>203</v>
      </c>
      <c r="D1691" t="s">
        <v>217</v>
      </c>
      <c r="E1691">
        <f>IF(LEFT(D1691,6)="CLIENT",IFERROR(VLOOKUP(C1691,Config_Carteiras!$A:$B,2,FALSE),1),"")</f>
        <v>1</v>
      </c>
      <c r="F1691" s="25">
        <v>667</v>
      </c>
      <c r="G1691" s="28">
        <f>IF(LEFT(D1691,6)="CLIENT",IF(E1691=0,WORKDAY(A1691-1,1,Dias_Sem_Compensacao!$A$2:$A$500),WORKDAY(A1691,E1691,Dias_Sem_Compensacao!$A$2:$A$500)),"")</f>
        <v>46304</v>
      </c>
      <c r="H1691" s="25">
        <v>0</v>
      </c>
      <c r="I1691" s="28">
        <v>46303</v>
      </c>
      <c r="J1691" t="s">
        <v>2211</v>
      </c>
      <c r="K1691" t="s">
        <v>2212</v>
      </c>
    </row>
    <row r="1692" spans="1:11" hidden="1">
      <c r="A1692" s="28">
        <v>46303</v>
      </c>
      <c r="B1692" t="s">
        <v>186</v>
      </c>
      <c r="C1692" t="s">
        <v>203</v>
      </c>
      <c r="D1692" t="s">
        <v>217</v>
      </c>
      <c r="E1692">
        <f>IF(LEFT(D1692,6)="CLIENT",IFERROR(VLOOKUP(C1692,Config_Carteiras!$A:$B,2,FALSE),1),"")</f>
        <v>1</v>
      </c>
      <c r="F1692" s="25">
        <v>4107.7299999999996</v>
      </c>
      <c r="G1692" s="28">
        <f>IF(LEFT(D1692,6)="CLIENT",IF(E1692=0,WORKDAY(A1692-1,1,Dias_Sem_Compensacao!$A$2:$A$500),WORKDAY(A1692,E1692,Dias_Sem_Compensacao!$A$2:$A$500)),"")</f>
        <v>46304</v>
      </c>
      <c r="H1692" s="25">
        <v>0</v>
      </c>
      <c r="I1692" s="28">
        <v>46303</v>
      </c>
      <c r="J1692" t="s">
        <v>1070</v>
      </c>
      <c r="K1692" t="s">
        <v>1071</v>
      </c>
    </row>
    <row r="1693" spans="1:11" hidden="1">
      <c r="A1693" s="28">
        <v>46303</v>
      </c>
      <c r="B1693" t="s">
        <v>186</v>
      </c>
      <c r="C1693" t="s">
        <v>203</v>
      </c>
      <c r="D1693" t="s">
        <v>217</v>
      </c>
      <c r="E1693">
        <f>IF(LEFT(D1693,6)="CLIENT",IFERROR(VLOOKUP(C1693,Config_Carteiras!$A:$B,2,FALSE),1),"")</f>
        <v>1</v>
      </c>
      <c r="F1693" s="25">
        <v>1917.92</v>
      </c>
      <c r="G1693" s="28">
        <f>IF(LEFT(D1693,6)="CLIENT",IF(E1693=0,WORKDAY(A1693-1,1,Dias_Sem_Compensacao!$A$2:$A$500),WORKDAY(A1693,E1693,Dias_Sem_Compensacao!$A$2:$A$500)),"")</f>
        <v>46304</v>
      </c>
      <c r="H1693" s="25">
        <v>0</v>
      </c>
      <c r="I1693" s="28">
        <v>46303</v>
      </c>
      <c r="J1693" t="s">
        <v>1582</v>
      </c>
      <c r="K1693" t="s">
        <v>1583</v>
      </c>
    </row>
    <row r="1694" spans="1:11" hidden="1">
      <c r="A1694" s="28">
        <v>46303</v>
      </c>
      <c r="B1694" t="s">
        <v>186</v>
      </c>
      <c r="C1694" t="s">
        <v>203</v>
      </c>
      <c r="D1694" t="s">
        <v>217</v>
      </c>
      <c r="E1694">
        <f>IF(LEFT(D1694,6)="CLIENT",IFERROR(VLOOKUP(C1694,Config_Carteiras!$A:$B,2,FALSE),1),"")</f>
        <v>1</v>
      </c>
      <c r="F1694" s="25">
        <v>3109.51</v>
      </c>
      <c r="G1694" s="28">
        <f>IF(LEFT(D1694,6)="CLIENT",IF(E1694=0,WORKDAY(A1694-1,1,Dias_Sem_Compensacao!$A$2:$A$500),WORKDAY(A1694,E1694,Dias_Sem_Compensacao!$A$2:$A$500)),"")</f>
        <v>46304</v>
      </c>
      <c r="H1694" s="25">
        <v>0</v>
      </c>
      <c r="I1694" s="28">
        <v>46303</v>
      </c>
      <c r="J1694" t="s">
        <v>1584</v>
      </c>
      <c r="K1694" t="s">
        <v>1585</v>
      </c>
    </row>
    <row r="1695" spans="1:11" hidden="1">
      <c r="A1695" s="28">
        <v>46303</v>
      </c>
      <c r="B1695" t="s">
        <v>186</v>
      </c>
      <c r="C1695" t="s">
        <v>203</v>
      </c>
      <c r="D1695" t="s">
        <v>217</v>
      </c>
      <c r="E1695">
        <f>IF(LEFT(D1695,6)="CLIENT",IFERROR(VLOOKUP(C1695,Config_Carteiras!$A:$B,2,FALSE),1),"")</f>
        <v>1</v>
      </c>
      <c r="F1695" s="25">
        <v>1973.31</v>
      </c>
      <c r="G1695" s="28">
        <f>IF(LEFT(D1695,6)="CLIENT",IF(E1695=0,WORKDAY(A1695-1,1,Dias_Sem_Compensacao!$A$2:$A$500),WORKDAY(A1695,E1695,Dias_Sem_Compensacao!$A$2:$A$500)),"")</f>
        <v>46304</v>
      </c>
      <c r="H1695" s="25">
        <v>0</v>
      </c>
      <c r="I1695" s="28">
        <v>46303</v>
      </c>
      <c r="J1695" t="s">
        <v>435</v>
      </c>
      <c r="K1695" t="s">
        <v>2213</v>
      </c>
    </row>
    <row r="1696" spans="1:11" hidden="1">
      <c r="A1696" s="28">
        <v>46303</v>
      </c>
      <c r="B1696" t="s">
        <v>186</v>
      </c>
      <c r="C1696" t="s">
        <v>203</v>
      </c>
      <c r="D1696" t="s">
        <v>217</v>
      </c>
      <c r="E1696">
        <f>IF(LEFT(D1696,6)="CLIENT",IFERROR(VLOOKUP(C1696,Config_Carteiras!$A:$B,2,FALSE),1),"")</f>
        <v>1</v>
      </c>
      <c r="F1696" s="25">
        <v>1038.78</v>
      </c>
      <c r="G1696" s="28">
        <f>IF(LEFT(D1696,6)="CLIENT",IF(E1696=0,WORKDAY(A1696-1,1,Dias_Sem_Compensacao!$A$2:$A$500),WORKDAY(A1696,E1696,Dias_Sem_Compensacao!$A$2:$A$500)),"")</f>
        <v>46304</v>
      </c>
      <c r="H1696" s="25">
        <v>0</v>
      </c>
      <c r="I1696" s="28">
        <v>46303</v>
      </c>
      <c r="J1696" t="s">
        <v>1588</v>
      </c>
      <c r="K1696" t="s">
        <v>1589</v>
      </c>
    </row>
    <row r="1697" spans="1:11" hidden="1">
      <c r="A1697" s="28">
        <v>46303</v>
      </c>
      <c r="B1697" t="s">
        <v>186</v>
      </c>
      <c r="C1697" t="s">
        <v>203</v>
      </c>
      <c r="D1697" t="s">
        <v>217</v>
      </c>
      <c r="E1697">
        <f>IF(LEFT(D1697,6)="CLIENT",IFERROR(VLOOKUP(C1697,Config_Carteiras!$A:$B,2,FALSE),1),"")</f>
        <v>1</v>
      </c>
      <c r="F1697" s="25">
        <v>2064.16</v>
      </c>
      <c r="G1697" s="28">
        <f>IF(LEFT(D1697,6)="CLIENT",IF(E1697=0,WORKDAY(A1697-1,1,Dias_Sem_Compensacao!$A$2:$A$500),WORKDAY(A1697,E1697,Dias_Sem_Compensacao!$A$2:$A$500)),"")</f>
        <v>46304</v>
      </c>
      <c r="H1697" s="25">
        <v>0</v>
      </c>
      <c r="I1697" s="28">
        <v>46303</v>
      </c>
      <c r="J1697" t="s">
        <v>1590</v>
      </c>
      <c r="K1697" t="s">
        <v>1591</v>
      </c>
    </row>
    <row r="1698" spans="1:11" hidden="1">
      <c r="A1698" s="28">
        <v>46303</v>
      </c>
      <c r="B1698" t="s">
        <v>186</v>
      </c>
      <c r="C1698" t="s">
        <v>203</v>
      </c>
      <c r="D1698" t="s">
        <v>217</v>
      </c>
      <c r="E1698">
        <f>IF(LEFT(D1698,6)="CLIENT",IFERROR(VLOOKUP(C1698,Config_Carteiras!$A:$B,2,FALSE),1),"")</f>
        <v>1</v>
      </c>
      <c r="F1698" s="25">
        <v>967</v>
      </c>
      <c r="G1698" s="28">
        <f>IF(LEFT(D1698,6)="CLIENT",IF(E1698=0,WORKDAY(A1698-1,1,Dias_Sem_Compensacao!$A$2:$A$500),WORKDAY(A1698,E1698,Dias_Sem_Compensacao!$A$2:$A$500)),"")</f>
        <v>46304</v>
      </c>
      <c r="H1698" s="25">
        <v>0</v>
      </c>
      <c r="I1698" s="28">
        <v>46303</v>
      </c>
      <c r="J1698" t="s">
        <v>2214</v>
      </c>
      <c r="K1698" t="s">
        <v>2215</v>
      </c>
    </row>
    <row r="1699" spans="1:11" hidden="1">
      <c r="A1699" s="28">
        <v>46303</v>
      </c>
      <c r="B1699" t="s">
        <v>186</v>
      </c>
      <c r="C1699" t="s">
        <v>203</v>
      </c>
      <c r="D1699" t="s">
        <v>217</v>
      </c>
      <c r="E1699">
        <f>IF(LEFT(D1699,6)="CLIENT",IFERROR(VLOOKUP(C1699,Config_Carteiras!$A:$B,2,FALSE),1),"")</f>
        <v>1</v>
      </c>
      <c r="F1699" s="25">
        <v>2284.7600000000002</v>
      </c>
      <c r="G1699" s="28">
        <f>IF(LEFT(D1699,6)="CLIENT",IF(E1699=0,WORKDAY(A1699-1,1,Dias_Sem_Compensacao!$A$2:$A$500),WORKDAY(A1699,E1699,Dias_Sem_Compensacao!$A$2:$A$500)),"")</f>
        <v>46304</v>
      </c>
      <c r="H1699" s="25">
        <v>0</v>
      </c>
      <c r="I1699" s="28">
        <v>46303</v>
      </c>
      <c r="J1699" t="s">
        <v>2216</v>
      </c>
      <c r="K1699" t="s">
        <v>2217</v>
      </c>
    </row>
    <row r="1700" spans="1:11" hidden="1">
      <c r="A1700" s="28">
        <v>46303</v>
      </c>
      <c r="B1700" t="s">
        <v>186</v>
      </c>
      <c r="C1700" t="s">
        <v>203</v>
      </c>
      <c r="D1700" t="s">
        <v>217</v>
      </c>
      <c r="E1700">
        <f>IF(LEFT(D1700,6)="CLIENT",IFERROR(VLOOKUP(C1700,Config_Carteiras!$A:$B,2,FALSE),1),"")</f>
        <v>1</v>
      </c>
      <c r="F1700" s="25">
        <v>676</v>
      </c>
      <c r="G1700" s="28">
        <f>IF(LEFT(D1700,6)="CLIENT",IF(E1700=0,WORKDAY(A1700-1,1,Dias_Sem_Compensacao!$A$2:$A$500),WORKDAY(A1700,E1700,Dias_Sem_Compensacao!$A$2:$A$500)),"")</f>
        <v>46304</v>
      </c>
      <c r="H1700" s="25">
        <v>0</v>
      </c>
      <c r="I1700" s="28">
        <v>46303</v>
      </c>
      <c r="J1700" t="s">
        <v>1592</v>
      </c>
      <c r="K1700" t="s">
        <v>1593</v>
      </c>
    </row>
    <row r="1701" spans="1:11" hidden="1">
      <c r="A1701" s="28">
        <v>46303</v>
      </c>
      <c r="B1701" t="s">
        <v>186</v>
      </c>
      <c r="C1701" t="s">
        <v>203</v>
      </c>
      <c r="D1701" t="s">
        <v>217</v>
      </c>
      <c r="E1701">
        <f>IF(LEFT(D1701,6)="CLIENT",IFERROR(VLOOKUP(C1701,Config_Carteiras!$A:$B,2,FALSE),1),"")</f>
        <v>1</v>
      </c>
      <c r="F1701" s="25">
        <v>3840</v>
      </c>
      <c r="G1701" s="28">
        <f>IF(LEFT(D1701,6)="CLIENT",IF(E1701=0,WORKDAY(A1701-1,1,Dias_Sem_Compensacao!$A$2:$A$500),WORKDAY(A1701,E1701,Dias_Sem_Compensacao!$A$2:$A$500)),"")</f>
        <v>46304</v>
      </c>
      <c r="H1701" s="25">
        <v>0</v>
      </c>
      <c r="I1701" s="28">
        <v>46303</v>
      </c>
      <c r="J1701" t="s">
        <v>2218</v>
      </c>
      <c r="K1701" t="s">
        <v>2219</v>
      </c>
    </row>
    <row r="1702" spans="1:11" hidden="1">
      <c r="A1702" s="28">
        <v>46303</v>
      </c>
      <c r="B1702" t="s">
        <v>186</v>
      </c>
      <c r="C1702" t="s">
        <v>203</v>
      </c>
      <c r="D1702" t="s">
        <v>217</v>
      </c>
      <c r="E1702">
        <f>IF(LEFT(D1702,6)="CLIENT",IFERROR(VLOOKUP(C1702,Config_Carteiras!$A:$B,2,FALSE),1),"")</f>
        <v>1</v>
      </c>
      <c r="F1702" s="25">
        <v>2858.86</v>
      </c>
      <c r="G1702" s="28">
        <f>IF(LEFT(D1702,6)="CLIENT",IF(E1702=0,WORKDAY(A1702-1,1,Dias_Sem_Compensacao!$A$2:$A$500),WORKDAY(A1702,E1702,Dias_Sem_Compensacao!$A$2:$A$500)),"")</f>
        <v>46304</v>
      </c>
      <c r="H1702" s="25">
        <v>0</v>
      </c>
      <c r="I1702" s="28">
        <v>46303</v>
      </c>
      <c r="J1702" t="s">
        <v>2220</v>
      </c>
      <c r="K1702" t="s">
        <v>2221</v>
      </c>
    </row>
    <row r="1703" spans="1:11" hidden="1">
      <c r="A1703" s="28">
        <v>46303</v>
      </c>
      <c r="B1703" t="s">
        <v>186</v>
      </c>
      <c r="C1703" t="s">
        <v>203</v>
      </c>
      <c r="D1703" t="s">
        <v>217</v>
      </c>
      <c r="E1703">
        <f>IF(LEFT(D1703,6)="CLIENT",IFERROR(VLOOKUP(C1703,Config_Carteiras!$A:$B,2,FALSE),1),"")</f>
        <v>1</v>
      </c>
      <c r="F1703" s="25">
        <v>507</v>
      </c>
      <c r="G1703" s="28">
        <f>IF(LEFT(D1703,6)="CLIENT",IF(E1703=0,WORKDAY(A1703-1,1,Dias_Sem_Compensacao!$A$2:$A$500),WORKDAY(A1703,E1703,Dias_Sem_Compensacao!$A$2:$A$500)),"")</f>
        <v>46304</v>
      </c>
      <c r="H1703" s="25">
        <v>0</v>
      </c>
      <c r="I1703" s="28">
        <v>46303</v>
      </c>
      <c r="J1703" t="s">
        <v>1594</v>
      </c>
      <c r="K1703" t="s">
        <v>1595</v>
      </c>
    </row>
    <row r="1704" spans="1:11" hidden="1">
      <c r="A1704" s="28">
        <v>46303</v>
      </c>
      <c r="B1704" t="s">
        <v>186</v>
      </c>
      <c r="C1704" t="s">
        <v>203</v>
      </c>
      <c r="D1704" t="s">
        <v>217</v>
      </c>
      <c r="E1704">
        <f>IF(LEFT(D1704,6)="CLIENT",IFERROR(VLOOKUP(C1704,Config_Carteiras!$A:$B,2,FALSE),1),"")</f>
        <v>1</v>
      </c>
      <c r="F1704" s="25">
        <v>1094</v>
      </c>
      <c r="G1704" s="28">
        <f>IF(LEFT(D1704,6)="CLIENT",IF(E1704=0,WORKDAY(A1704-1,1,Dias_Sem_Compensacao!$A$2:$A$500),WORKDAY(A1704,E1704,Dias_Sem_Compensacao!$A$2:$A$500)),"")</f>
        <v>46304</v>
      </c>
      <c r="H1704" s="25">
        <v>0</v>
      </c>
      <c r="I1704" s="28">
        <v>46303</v>
      </c>
      <c r="J1704" t="s">
        <v>1596</v>
      </c>
      <c r="K1704" t="s">
        <v>1597</v>
      </c>
    </row>
    <row r="1705" spans="1:11" hidden="1">
      <c r="A1705" s="28">
        <v>46303</v>
      </c>
      <c r="B1705" t="s">
        <v>186</v>
      </c>
      <c r="C1705" t="s">
        <v>203</v>
      </c>
      <c r="D1705" t="s">
        <v>217</v>
      </c>
      <c r="E1705">
        <f>IF(LEFT(D1705,6)="CLIENT",IFERROR(VLOOKUP(C1705,Config_Carteiras!$A:$B,2,FALSE),1),"")</f>
        <v>1</v>
      </c>
      <c r="F1705" s="25">
        <v>1028</v>
      </c>
      <c r="G1705" s="28">
        <f>IF(LEFT(D1705,6)="CLIENT",IF(E1705=0,WORKDAY(A1705-1,1,Dias_Sem_Compensacao!$A$2:$A$500),WORKDAY(A1705,E1705,Dias_Sem_Compensacao!$A$2:$A$500)),"")</f>
        <v>46304</v>
      </c>
      <c r="H1705" s="25">
        <v>0</v>
      </c>
      <c r="I1705" s="28">
        <v>46303</v>
      </c>
      <c r="J1705" t="s">
        <v>2222</v>
      </c>
      <c r="K1705" t="s">
        <v>2223</v>
      </c>
    </row>
    <row r="1706" spans="1:11" hidden="1">
      <c r="A1706" s="28">
        <v>46303</v>
      </c>
      <c r="B1706" t="s">
        <v>186</v>
      </c>
      <c r="C1706" t="s">
        <v>203</v>
      </c>
      <c r="D1706" t="s">
        <v>217</v>
      </c>
      <c r="E1706">
        <f>IF(LEFT(D1706,6)="CLIENT",IFERROR(VLOOKUP(C1706,Config_Carteiras!$A:$B,2,FALSE),1),"")</f>
        <v>1</v>
      </c>
      <c r="F1706" s="25">
        <v>945</v>
      </c>
      <c r="G1706" s="28">
        <f>IF(LEFT(D1706,6)="CLIENT",IF(E1706=0,WORKDAY(A1706-1,1,Dias_Sem_Compensacao!$A$2:$A$500),WORKDAY(A1706,E1706,Dias_Sem_Compensacao!$A$2:$A$500)),"")</f>
        <v>46304</v>
      </c>
      <c r="H1706" s="25">
        <v>0</v>
      </c>
      <c r="I1706" s="28">
        <v>46303</v>
      </c>
      <c r="J1706" t="s">
        <v>2224</v>
      </c>
      <c r="K1706" t="s">
        <v>2225</v>
      </c>
    </row>
    <row r="1707" spans="1:11" hidden="1">
      <c r="A1707" s="28">
        <v>46303</v>
      </c>
      <c r="B1707" t="s">
        <v>186</v>
      </c>
      <c r="C1707" t="s">
        <v>203</v>
      </c>
      <c r="D1707" t="s">
        <v>217</v>
      </c>
      <c r="E1707">
        <f>IF(LEFT(D1707,6)="CLIENT",IFERROR(VLOOKUP(C1707,Config_Carteiras!$A:$B,2,FALSE),1),"")</f>
        <v>1</v>
      </c>
      <c r="F1707" s="25">
        <v>3328.84</v>
      </c>
      <c r="G1707" s="28">
        <f>IF(LEFT(D1707,6)="CLIENT",IF(E1707=0,WORKDAY(A1707-1,1,Dias_Sem_Compensacao!$A$2:$A$500),WORKDAY(A1707,E1707,Dias_Sem_Compensacao!$A$2:$A$500)),"")</f>
        <v>46304</v>
      </c>
      <c r="H1707" s="25">
        <v>0</v>
      </c>
      <c r="I1707" s="28">
        <v>46303</v>
      </c>
      <c r="J1707" t="s">
        <v>1600</v>
      </c>
      <c r="K1707" t="s">
        <v>1601</v>
      </c>
    </row>
    <row r="1708" spans="1:11" hidden="1">
      <c r="A1708" s="28">
        <v>46303</v>
      </c>
      <c r="B1708" t="s">
        <v>186</v>
      </c>
      <c r="C1708" t="s">
        <v>203</v>
      </c>
      <c r="D1708" t="s">
        <v>217</v>
      </c>
      <c r="E1708">
        <f>IF(LEFT(D1708,6)="CLIENT",IFERROR(VLOOKUP(C1708,Config_Carteiras!$A:$B,2,FALSE),1),"")</f>
        <v>1</v>
      </c>
      <c r="F1708" s="25">
        <v>1391.44</v>
      </c>
      <c r="G1708" s="28">
        <f>IF(LEFT(D1708,6)="CLIENT",IF(E1708=0,WORKDAY(A1708-1,1,Dias_Sem_Compensacao!$A$2:$A$500),WORKDAY(A1708,E1708,Dias_Sem_Compensacao!$A$2:$A$500)),"")</f>
        <v>46304</v>
      </c>
      <c r="H1708" s="25">
        <v>0</v>
      </c>
      <c r="I1708" s="28">
        <v>46303</v>
      </c>
      <c r="J1708" t="s">
        <v>1022</v>
      </c>
      <c r="K1708" t="s">
        <v>1023</v>
      </c>
    </row>
    <row r="1709" spans="1:11" hidden="1">
      <c r="A1709" s="28">
        <v>46303</v>
      </c>
      <c r="B1709" t="s">
        <v>186</v>
      </c>
      <c r="C1709" t="s">
        <v>203</v>
      </c>
      <c r="D1709" t="s">
        <v>217</v>
      </c>
      <c r="E1709">
        <f>IF(LEFT(D1709,6)="CLIENT",IFERROR(VLOOKUP(C1709,Config_Carteiras!$A:$B,2,FALSE),1),"")</f>
        <v>1</v>
      </c>
      <c r="F1709" s="25">
        <v>1747</v>
      </c>
      <c r="G1709" s="28">
        <f>IF(LEFT(D1709,6)="CLIENT",IF(E1709=0,WORKDAY(A1709-1,1,Dias_Sem_Compensacao!$A$2:$A$500),WORKDAY(A1709,E1709,Dias_Sem_Compensacao!$A$2:$A$500)),"")</f>
        <v>46304</v>
      </c>
      <c r="H1709" s="25">
        <v>0</v>
      </c>
      <c r="I1709" s="28">
        <v>46303</v>
      </c>
      <c r="J1709" t="s">
        <v>1602</v>
      </c>
      <c r="K1709" t="s">
        <v>1603</v>
      </c>
    </row>
    <row r="1710" spans="1:11" hidden="1">
      <c r="A1710" s="28">
        <v>46303</v>
      </c>
      <c r="B1710" t="s">
        <v>186</v>
      </c>
      <c r="C1710" t="s">
        <v>203</v>
      </c>
      <c r="D1710" t="s">
        <v>217</v>
      </c>
      <c r="E1710">
        <f>IF(LEFT(D1710,6)="CLIENT",IFERROR(VLOOKUP(C1710,Config_Carteiras!$A:$B,2,FALSE),1),"")</f>
        <v>1</v>
      </c>
      <c r="F1710" s="25">
        <v>571</v>
      </c>
      <c r="G1710" s="28">
        <f>IF(LEFT(D1710,6)="CLIENT",IF(E1710=0,WORKDAY(A1710-1,1,Dias_Sem_Compensacao!$A$2:$A$500),WORKDAY(A1710,E1710,Dias_Sem_Compensacao!$A$2:$A$500)),"")</f>
        <v>46304</v>
      </c>
      <c r="H1710" s="25">
        <v>0</v>
      </c>
      <c r="I1710" s="28">
        <v>46303</v>
      </c>
      <c r="J1710" t="s">
        <v>1606</v>
      </c>
      <c r="K1710" t="s">
        <v>1607</v>
      </c>
    </row>
    <row r="1711" spans="1:11" hidden="1">
      <c r="A1711" s="28">
        <v>46303</v>
      </c>
      <c r="B1711" t="s">
        <v>186</v>
      </c>
      <c r="C1711" t="s">
        <v>203</v>
      </c>
      <c r="D1711" t="s">
        <v>217</v>
      </c>
      <c r="E1711">
        <f>IF(LEFT(D1711,6)="CLIENT",IFERROR(VLOOKUP(C1711,Config_Carteiras!$A:$B,2,FALSE),1),"")</f>
        <v>1</v>
      </c>
      <c r="F1711" s="25">
        <v>3425</v>
      </c>
      <c r="G1711" s="28">
        <f>IF(LEFT(D1711,6)="CLIENT",IF(E1711=0,WORKDAY(A1711-1,1,Dias_Sem_Compensacao!$A$2:$A$500),WORKDAY(A1711,E1711,Dias_Sem_Compensacao!$A$2:$A$500)),"")</f>
        <v>46304</v>
      </c>
      <c r="H1711" s="25">
        <v>0</v>
      </c>
      <c r="I1711" s="28">
        <v>46303</v>
      </c>
      <c r="J1711" t="s">
        <v>2226</v>
      </c>
      <c r="K1711" t="s">
        <v>2227</v>
      </c>
    </row>
    <row r="1712" spans="1:11" hidden="1">
      <c r="A1712" s="28">
        <v>46303</v>
      </c>
      <c r="B1712" t="s">
        <v>186</v>
      </c>
      <c r="C1712" t="s">
        <v>203</v>
      </c>
      <c r="D1712" t="s">
        <v>217</v>
      </c>
      <c r="E1712">
        <f>IF(LEFT(D1712,6)="CLIENT",IFERROR(VLOOKUP(C1712,Config_Carteiras!$A:$B,2,FALSE),1),"")</f>
        <v>1</v>
      </c>
      <c r="F1712" s="25">
        <v>554.45000000000005</v>
      </c>
      <c r="G1712" s="28">
        <f>IF(LEFT(D1712,6)="CLIENT",IF(E1712=0,WORKDAY(A1712-1,1,Dias_Sem_Compensacao!$A$2:$A$500),WORKDAY(A1712,E1712,Dias_Sem_Compensacao!$A$2:$A$500)),"")</f>
        <v>46304</v>
      </c>
      <c r="H1712" s="25">
        <v>0</v>
      </c>
      <c r="I1712" s="28">
        <v>46303</v>
      </c>
      <c r="J1712" t="s">
        <v>2228</v>
      </c>
      <c r="K1712" t="s">
        <v>2229</v>
      </c>
    </row>
    <row r="1713" spans="1:11" hidden="1">
      <c r="A1713" s="28">
        <v>46303</v>
      </c>
      <c r="B1713" t="s">
        <v>186</v>
      </c>
      <c r="C1713" t="s">
        <v>203</v>
      </c>
      <c r="D1713" t="s">
        <v>217</v>
      </c>
      <c r="E1713">
        <f>IF(LEFT(D1713,6)="CLIENT",IFERROR(VLOOKUP(C1713,Config_Carteiras!$A:$B,2,FALSE),1),"")</f>
        <v>1</v>
      </c>
      <c r="F1713" s="25">
        <v>305.67</v>
      </c>
      <c r="G1713" s="28">
        <f>IF(LEFT(D1713,6)="CLIENT",IF(E1713=0,WORKDAY(A1713-1,1,Dias_Sem_Compensacao!$A$2:$A$500),WORKDAY(A1713,E1713,Dias_Sem_Compensacao!$A$2:$A$500)),"")</f>
        <v>46304</v>
      </c>
      <c r="H1713" s="25">
        <v>0</v>
      </c>
      <c r="I1713" s="28">
        <v>46303</v>
      </c>
      <c r="J1713" t="s">
        <v>1608</v>
      </c>
      <c r="K1713" t="s">
        <v>1609</v>
      </c>
    </row>
    <row r="1714" spans="1:11" hidden="1">
      <c r="A1714" s="28">
        <v>46303</v>
      </c>
      <c r="B1714" t="s">
        <v>186</v>
      </c>
      <c r="C1714" t="s">
        <v>203</v>
      </c>
      <c r="D1714" t="s">
        <v>217</v>
      </c>
      <c r="E1714">
        <f>IF(LEFT(D1714,6)="CLIENT",IFERROR(VLOOKUP(C1714,Config_Carteiras!$A:$B,2,FALSE),1),"")</f>
        <v>1</v>
      </c>
      <c r="F1714" s="25">
        <v>914</v>
      </c>
      <c r="G1714" s="28">
        <f>IF(LEFT(D1714,6)="CLIENT",IF(E1714=0,WORKDAY(A1714-1,1,Dias_Sem_Compensacao!$A$2:$A$500),WORKDAY(A1714,E1714,Dias_Sem_Compensacao!$A$2:$A$500)),"")</f>
        <v>46304</v>
      </c>
      <c r="H1714" s="25">
        <v>0</v>
      </c>
      <c r="I1714" s="28">
        <v>46303</v>
      </c>
      <c r="K1714" t="s">
        <v>2230</v>
      </c>
    </row>
    <row r="1715" spans="1:11" hidden="1">
      <c r="A1715" s="28">
        <v>46303</v>
      </c>
      <c r="B1715" t="s">
        <v>186</v>
      </c>
      <c r="C1715" t="s">
        <v>203</v>
      </c>
      <c r="D1715" t="s">
        <v>217</v>
      </c>
      <c r="E1715">
        <f>IF(LEFT(D1715,6)="CLIENT",IFERROR(VLOOKUP(C1715,Config_Carteiras!$A:$B,2,FALSE),1),"")</f>
        <v>1</v>
      </c>
      <c r="F1715" s="25">
        <v>341.57</v>
      </c>
      <c r="G1715" s="28">
        <f>IF(LEFT(D1715,6)="CLIENT",IF(E1715=0,WORKDAY(A1715-1,1,Dias_Sem_Compensacao!$A$2:$A$500),WORKDAY(A1715,E1715,Dias_Sem_Compensacao!$A$2:$A$500)),"")</f>
        <v>46304</v>
      </c>
      <c r="H1715" s="25">
        <v>0</v>
      </c>
      <c r="I1715" s="28">
        <v>46303</v>
      </c>
      <c r="J1715" t="s">
        <v>1610</v>
      </c>
      <c r="K1715" t="s">
        <v>1611</v>
      </c>
    </row>
    <row r="1716" spans="1:11" hidden="1">
      <c r="A1716" s="28">
        <v>46303</v>
      </c>
      <c r="B1716" t="s">
        <v>186</v>
      </c>
      <c r="C1716" t="s">
        <v>203</v>
      </c>
      <c r="D1716" t="s">
        <v>217</v>
      </c>
      <c r="E1716">
        <f>IF(LEFT(D1716,6)="CLIENT",IFERROR(VLOOKUP(C1716,Config_Carteiras!$A:$B,2,FALSE),1),"")</f>
        <v>1</v>
      </c>
      <c r="F1716" s="25">
        <v>604.86</v>
      </c>
      <c r="G1716" s="28">
        <f>IF(LEFT(D1716,6)="CLIENT",IF(E1716=0,WORKDAY(A1716-1,1,Dias_Sem_Compensacao!$A$2:$A$500),WORKDAY(A1716,E1716,Dias_Sem_Compensacao!$A$2:$A$500)),"")</f>
        <v>46304</v>
      </c>
      <c r="H1716" s="25">
        <v>0</v>
      </c>
      <c r="I1716" s="28">
        <v>46303</v>
      </c>
      <c r="J1716" t="s">
        <v>1612</v>
      </c>
      <c r="K1716" t="s">
        <v>1613</v>
      </c>
    </row>
    <row r="1717" spans="1:11" hidden="1">
      <c r="A1717" s="28">
        <v>46303</v>
      </c>
      <c r="B1717" t="s">
        <v>186</v>
      </c>
      <c r="C1717" t="s">
        <v>203</v>
      </c>
      <c r="D1717" t="s">
        <v>217</v>
      </c>
      <c r="E1717">
        <f>IF(LEFT(D1717,6)="CLIENT",IFERROR(VLOOKUP(C1717,Config_Carteiras!$A:$B,2,FALSE),1),"")</f>
        <v>1</v>
      </c>
      <c r="F1717" s="25">
        <v>2461.9299999999998</v>
      </c>
      <c r="G1717" s="28">
        <f>IF(LEFT(D1717,6)="CLIENT",IF(E1717=0,WORKDAY(A1717-1,1,Dias_Sem_Compensacao!$A$2:$A$500),WORKDAY(A1717,E1717,Dias_Sem_Compensacao!$A$2:$A$500)),"")</f>
        <v>46304</v>
      </c>
      <c r="H1717" s="25">
        <v>0</v>
      </c>
      <c r="I1717" s="28">
        <v>46303</v>
      </c>
      <c r="J1717" t="s">
        <v>1614</v>
      </c>
      <c r="K1717" t="s">
        <v>1615</v>
      </c>
    </row>
    <row r="1718" spans="1:11" hidden="1">
      <c r="A1718" s="28">
        <v>46303</v>
      </c>
      <c r="B1718" t="s">
        <v>186</v>
      </c>
      <c r="C1718" t="s">
        <v>203</v>
      </c>
      <c r="D1718" t="s">
        <v>217</v>
      </c>
      <c r="E1718">
        <f>IF(LEFT(D1718,6)="CLIENT",IFERROR(VLOOKUP(C1718,Config_Carteiras!$A:$B,2,FALSE),1),"")</f>
        <v>1</v>
      </c>
      <c r="F1718" s="25">
        <v>1264</v>
      </c>
      <c r="G1718" s="28">
        <f>IF(LEFT(D1718,6)="CLIENT",IF(E1718=0,WORKDAY(A1718-1,1,Dias_Sem_Compensacao!$A$2:$A$500),WORKDAY(A1718,E1718,Dias_Sem_Compensacao!$A$2:$A$500)),"")</f>
        <v>46304</v>
      </c>
      <c r="H1718" s="25">
        <v>0</v>
      </c>
      <c r="I1718" s="28">
        <v>46303</v>
      </c>
      <c r="J1718" t="s">
        <v>356</v>
      </c>
      <c r="K1718" t="s">
        <v>2231</v>
      </c>
    </row>
    <row r="1719" spans="1:11" hidden="1">
      <c r="A1719" s="28">
        <v>46303</v>
      </c>
      <c r="B1719" t="s">
        <v>186</v>
      </c>
      <c r="C1719" t="s">
        <v>203</v>
      </c>
      <c r="D1719" t="s">
        <v>217</v>
      </c>
      <c r="E1719">
        <f>IF(LEFT(D1719,6)="CLIENT",IFERROR(VLOOKUP(C1719,Config_Carteiras!$A:$B,2,FALSE),1),"")</f>
        <v>1</v>
      </c>
      <c r="F1719" s="25">
        <v>1075</v>
      </c>
      <c r="G1719" s="28">
        <f>IF(LEFT(D1719,6)="CLIENT",IF(E1719=0,WORKDAY(A1719-1,1,Dias_Sem_Compensacao!$A$2:$A$500),WORKDAY(A1719,E1719,Dias_Sem_Compensacao!$A$2:$A$500)),"")</f>
        <v>46304</v>
      </c>
      <c r="H1719" s="25">
        <v>0</v>
      </c>
      <c r="I1719" s="28">
        <v>46303</v>
      </c>
      <c r="J1719" t="s">
        <v>2232</v>
      </c>
      <c r="K1719" t="s">
        <v>2233</v>
      </c>
    </row>
    <row r="1720" spans="1:11" hidden="1">
      <c r="A1720" s="28">
        <v>46303</v>
      </c>
      <c r="B1720" t="s">
        <v>186</v>
      </c>
      <c r="C1720" t="s">
        <v>203</v>
      </c>
      <c r="D1720" t="s">
        <v>217</v>
      </c>
      <c r="E1720">
        <f>IF(LEFT(D1720,6)="CLIENT",IFERROR(VLOOKUP(C1720,Config_Carteiras!$A:$B,2,FALSE),1),"")</f>
        <v>1</v>
      </c>
      <c r="F1720" s="25">
        <v>1471</v>
      </c>
      <c r="G1720" s="28">
        <f>IF(LEFT(D1720,6)="CLIENT",IF(E1720=0,WORKDAY(A1720-1,1,Dias_Sem_Compensacao!$A$2:$A$500),WORKDAY(A1720,E1720,Dias_Sem_Compensacao!$A$2:$A$500)),"")</f>
        <v>46304</v>
      </c>
      <c r="H1720" s="25">
        <v>0</v>
      </c>
      <c r="I1720" s="28">
        <v>46303</v>
      </c>
      <c r="J1720" t="s">
        <v>1616</v>
      </c>
      <c r="K1720" t="s">
        <v>1617</v>
      </c>
    </row>
    <row r="1721" spans="1:11" hidden="1">
      <c r="A1721" s="28">
        <v>46303</v>
      </c>
      <c r="B1721" t="s">
        <v>186</v>
      </c>
      <c r="C1721" t="s">
        <v>203</v>
      </c>
      <c r="D1721" t="s">
        <v>217</v>
      </c>
      <c r="E1721">
        <f>IF(LEFT(D1721,6)="CLIENT",IFERROR(VLOOKUP(C1721,Config_Carteiras!$A:$B,2,FALSE),1),"")</f>
        <v>1</v>
      </c>
      <c r="F1721" s="25">
        <v>2261.5500000000002</v>
      </c>
      <c r="G1721" s="28">
        <f>IF(LEFT(D1721,6)="CLIENT",IF(E1721=0,WORKDAY(A1721-1,1,Dias_Sem_Compensacao!$A$2:$A$500),WORKDAY(A1721,E1721,Dias_Sem_Compensacao!$A$2:$A$500)),"")</f>
        <v>46304</v>
      </c>
      <c r="H1721" s="25">
        <v>0</v>
      </c>
      <c r="I1721" s="28">
        <v>46303</v>
      </c>
      <c r="J1721" t="s">
        <v>1072</v>
      </c>
      <c r="K1721" t="s">
        <v>1073</v>
      </c>
    </row>
    <row r="1722" spans="1:11" hidden="1">
      <c r="A1722" s="28">
        <v>46303</v>
      </c>
      <c r="B1722" t="s">
        <v>186</v>
      </c>
      <c r="C1722" t="s">
        <v>203</v>
      </c>
      <c r="D1722" t="s">
        <v>217</v>
      </c>
      <c r="E1722">
        <f>IF(LEFT(D1722,6)="CLIENT",IFERROR(VLOOKUP(C1722,Config_Carteiras!$A:$B,2,FALSE),1),"")</f>
        <v>1</v>
      </c>
      <c r="F1722" s="25">
        <v>2705.39</v>
      </c>
      <c r="G1722" s="28">
        <f>IF(LEFT(D1722,6)="CLIENT",IF(E1722=0,WORKDAY(A1722-1,1,Dias_Sem_Compensacao!$A$2:$A$500),WORKDAY(A1722,E1722,Dias_Sem_Compensacao!$A$2:$A$500)),"")</f>
        <v>46304</v>
      </c>
      <c r="H1722" s="25">
        <v>0</v>
      </c>
      <c r="I1722" s="28">
        <v>46303</v>
      </c>
      <c r="J1722" t="s">
        <v>2234</v>
      </c>
      <c r="K1722" t="s">
        <v>2235</v>
      </c>
    </row>
    <row r="1723" spans="1:11" hidden="1">
      <c r="A1723" s="28">
        <v>46303</v>
      </c>
      <c r="B1723" t="s">
        <v>186</v>
      </c>
      <c r="C1723" t="s">
        <v>203</v>
      </c>
      <c r="D1723" t="s">
        <v>217</v>
      </c>
      <c r="E1723">
        <f>IF(LEFT(D1723,6)="CLIENT",IFERROR(VLOOKUP(C1723,Config_Carteiras!$A:$B,2,FALSE),1),"")</f>
        <v>1</v>
      </c>
      <c r="F1723" s="25">
        <v>381</v>
      </c>
      <c r="G1723" s="28">
        <f>IF(LEFT(D1723,6)="CLIENT",IF(E1723=0,WORKDAY(A1723-1,1,Dias_Sem_Compensacao!$A$2:$A$500),WORKDAY(A1723,E1723,Dias_Sem_Compensacao!$A$2:$A$500)),"")</f>
        <v>46304</v>
      </c>
      <c r="H1723" s="25">
        <v>0</v>
      </c>
      <c r="I1723" s="28">
        <v>46303</v>
      </c>
      <c r="J1723" t="s">
        <v>2236</v>
      </c>
      <c r="K1723" t="s">
        <v>2237</v>
      </c>
    </row>
    <row r="1724" spans="1:11" hidden="1">
      <c r="A1724" s="28">
        <v>46303</v>
      </c>
      <c r="B1724" t="s">
        <v>186</v>
      </c>
      <c r="C1724" t="s">
        <v>203</v>
      </c>
      <c r="D1724" t="s">
        <v>217</v>
      </c>
      <c r="E1724">
        <f>IF(LEFT(D1724,6)="CLIENT",IFERROR(VLOOKUP(C1724,Config_Carteiras!$A:$B,2,FALSE),1),"")</f>
        <v>1</v>
      </c>
      <c r="F1724" s="25">
        <v>713</v>
      </c>
      <c r="G1724" s="28">
        <f>IF(LEFT(D1724,6)="CLIENT",IF(E1724=0,WORKDAY(A1724-1,1,Dias_Sem_Compensacao!$A$2:$A$500),WORKDAY(A1724,E1724,Dias_Sem_Compensacao!$A$2:$A$500)),"")</f>
        <v>46304</v>
      </c>
      <c r="H1724" s="25">
        <v>0</v>
      </c>
      <c r="I1724" s="28">
        <v>46303</v>
      </c>
      <c r="J1724" t="s">
        <v>1622</v>
      </c>
      <c r="K1724" t="s">
        <v>1623</v>
      </c>
    </row>
    <row r="1725" spans="1:11" hidden="1">
      <c r="A1725" s="28">
        <v>46303</v>
      </c>
      <c r="B1725" t="s">
        <v>186</v>
      </c>
      <c r="C1725" t="s">
        <v>203</v>
      </c>
      <c r="D1725" t="s">
        <v>217</v>
      </c>
      <c r="E1725">
        <f>IF(LEFT(D1725,6)="CLIENT",IFERROR(VLOOKUP(C1725,Config_Carteiras!$A:$B,2,FALSE),1),"")</f>
        <v>1</v>
      </c>
      <c r="F1725" s="25">
        <v>855</v>
      </c>
      <c r="G1725" s="28">
        <f>IF(LEFT(D1725,6)="CLIENT",IF(E1725=0,WORKDAY(A1725-1,1,Dias_Sem_Compensacao!$A$2:$A$500),WORKDAY(A1725,E1725,Dias_Sem_Compensacao!$A$2:$A$500)),"")</f>
        <v>46304</v>
      </c>
      <c r="H1725" s="25">
        <v>0</v>
      </c>
      <c r="I1725" s="28">
        <v>46303</v>
      </c>
      <c r="J1725" t="s">
        <v>1624</v>
      </c>
      <c r="K1725" t="s">
        <v>1625</v>
      </c>
    </row>
    <row r="1726" spans="1:11" hidden="1">
      <c r="A1726" s="28">
        <v>46303</v>
      </c>
      <c r="B1726" t="s">
        <v>186</v>
      </c>
      <c r="C1726" t="s">
        <v>203</v>
      </c>
      <c r="D1726" t="s">
        <v>217</v>
      </c>
      <c r="E1726">
        <f>IF(LEFT(D1726,6)="CLIENT",IFERROR(VLOOKUP(C1726,Config_Carteiras!$A:$B,2,FALSE),1),"")</f>
        <v>1</v>
      </c>
      <c r="F1726" s="25">
        <v>1565.81</v>
      </c>
      <c r="G1726" s="28">
        <f>IF(LEFT(D1726,6)="CLIENT",IF(E1726=0,WORKDAY(A1726-1,1,Dias_Sem_Compensacao!$A$2:$A$500),WORKDAY(A1726,E1726,Dias_Sem_Compensacao!$A$2:$A$500)),"")</f>
        <v>46304</v>
      </c>
      <c r="H1726" s="25">
        <v>0</v>
      </c>
      <c r="I1726" s="28">
        <v>46303</v>
      </c>
      <c r="J1726" t="s">
        <v>2238</v>
      </c>
      <c r="K1726" t="s">
        <v>2239</v>
      </c>
    </row>
    <row r="1727" spans="1:11" hidden="1">
      <c r="A1727" s="28">
        <v>46303</v>
      </c>
      <c r="B1727" t="s">
        <v>186</v>
      </c>
      <c r="C1727" t="s">
        <v>203</v>
      </c>
      <c r="D1727" t="s">
        <v>217</v>
      </c>
      <c r="E1727">
        <f>IF(LEFT(D1727,6)="CLIENT",IFERROR(VLOOKUP(C1727,Config_Carteiras!$A:$B,2,FALSE),1),"")</f>
        <v>1</v>
      </c>
      <c r="F1727" s="25">
        <v>2720.84</v>
      </c>
      <c r="G1727" s="28">
        <f>IF(LEFT(D1727,6)="CLIENT",IF(E1727=0,WORKDAY(A1727-1,1,Dias_Sem_Compensacao!$A$2:$A$500),WORKDAY(A1727,E1727,Dias_Sem_Compensacao!$A$2:$A$500)),"")</f>
        <v>46304</v>
      </c>
      <c r="H1727" s="25">
        <v>0</v>
      </c>
      <c r="I1727" s="28">
        <v>46303</v>
      </c>
      <c r="J1727" t="s">
        <v>2240</v>
      </c>
      <c r="K1727" t="s">
        <v>2241</v>
      </c>
    </row>
    <row r="1728" spans="1:11" hidden="1">
      <c r="A1728" s="28">
        <v>46303</v>
      </c>
      <c r="B1728" t="s">
        <v>186</v>
      </c>
      <c r="C1728" t="s">
        <v>203</v>
      </c>
      <c r="D1728" t="s">
        <v>217</v>
      </c>
      <c r="E1728">
        <f>IF(LEFT(D1728,6)="CLIENT",IFERROR(VLOOKUP(C1728,Config_Carteiras!$A:$B,2,FALSE),1),"")</f>
        <v>1</v>
      </c>
      <c r="F1728" s="25">
        <v>2232</v>
      </c>
      <c r="G1728" s="28">
        <f>IF(LEFT(D1728,6)="CLIENT",IF(E1728=0,WORKDAY(A1728-1,1,Dias_Sem_Compensacao!$A$2:$A$500),WORKDAY(A1728,E1728,Dias_Sem_Compensacao!$A$2:$A$500)),"")</f>
        <v>46304</v>
      </c>
      <c r="H1728" s="25">
        <v>0</v>
      </c>
      <c r="I1728" s="28">
        <v>46303</v>
      </c>
      <c r="J1728" t="s">
        <v>1416</v>
      </c>
      <c r="K1728" t="s">
        <v>1628</v>
      </c>
    </row>
    <row r="1729" spans="1:11" hidden="1">
      <c r="A1729" s="28">
        <v>46303</v>
      </c>
      <c r="B1729" t="s">
        <v>186</v>
      </c>
      <c r="C1729" t="s">
        <v>203</v>
      </c>
      <c r="D1729" t="s">
        <v>217</v>
      </c>
      <c r="E1729">
        <f>IF(LEFT(D1729,6)="CLIENT",IFERROR(VLOOKUP(C1729,Config_Carteiras!$A:$B,2,FALSE),1),"")</f>
        <v>1</v>
      </c>
      <c r="F1729" s="25">
        <v>636</v>
      </c>
      <c r="G1729" s="28">
        <f>IF(LEFT(D1729,6)="CLIENT",IF(E1729=0,WORKDAY(A1729-1,1,Dias_Sem_Compensacao!$A$2:$A$500),WORKDAY(A1729,E1729,Dias_Sem_Compensacao!$A$2:$A$500)),"")</f>
        <v>46304</v>
      </c>
      <c r="H1729" s="25">
        <v>0</v>
      </c>
      <c r="I1729" s="28">
        <v>46303</v>
      </c>
      <c r="J1729" t="s">
        <v>2242</v>
      </c>
      <c r="K1729" t="s">
        <v>2243</v>
      </c>
    </row>
    <row r="1730" spans="1:11" hidden="1">
      <c r="A1730" s="28">
        <v>46303</v>
      </c>
      <c r="B1730" t="s">
        <v>186</v>
      </c>
      <c r="C1730" t="s">
        <v>203</v>
      </c>
      <c r="D1730" t="s">
        <v>217</v>
      </c>
      <c r="E1730">
        <f>IF(LEFT(D1730,6)="CLIENT",IFERROR(VLOOKUP(C1730,Config_Carteiras!$A:$B,2,FALSE),1),"")</f>
        <v>1</v>
      </c>
      <c r="F1730" s="25">
        <v>1015.08</v>
      </c>
      <c r="G1730" s="28">
        <f>IF(LEFT(D1730,6)="CLIENT",IF(E1730=0,WORKDAY(A1730-1,1,Dias_Sem_Compensacao!$A$2:$A$500),WORKDAY(A1730,E1730,Dias_Sem_Compensacao!$A$2:$A$500)),"")</f>
        <v>46304</v>
      </c>
      <c r="H1730" s="25">
        <v>0</v>
      </c>
      <c r="I1730" s="28">
        <v>46303</v>
      </c>
      <c r="J1730" t="s">
        <v>2244</v>
      </c>
      <c r="K1730" t="s">
        <v>2245</v>
      </c>
    </row>
    <row r="1731" spans="1:11" hidden="1">
      <c r="A1731" s="28">
        <v>46303</v>
      </c>
      <c r="B1731" t="s">
        <v>186</v>
      </c>
      <c r="C1731" t="s">
        <v>203</v>
      </c>
      <c r="D1731" t="s">
        <v>217</v>
      </c>
      <c r="E1731">
        <f>IF(LEFT(D1731,6)="CLIENT",IFERROR(VLOOKUP(C1731,Config_Carteiras!$A:$B,2,FALSE),1),"")</f>
        <v>1</v>
      </c>
      <c r="F1731" s="25">
        <v>780</v>
      </c>
      <c r="G1731" s="28">
        <f>IF(LEFT(D1731,6)="CLIENT",IF(E1731=0,WORKDAY(A1731-1,1,Dias_Sem_Compensacao!$A$2:$A$500),WORKDAY(A1731,E1731,Dias_Sem_Compensacao!$A$2:$A$500)),"")</f>
        <v>46304</v>
      </c>
      <c r="H1731" s="25">
        <v>0</v>
      </c>
      <c r="I1731" s="28">
        <v>46303</v>
      </c>
      <c r="J1731" t="s">
        <v>1633</v>
      </c>
      <c r="K1731" t="s">
        <v>1634</v>
      </c>
    </row>
    <row r="1732" spans="1:11" hidden="1">
      <c r="A1732" s="28">
        <v>46303</v>
      </c>
      <c r="B1732" t="s">
        <v>186</v>
      </c>
      <c r="C1732" t="s">
        <v>203</v>
      </c>
      <c r="D1732" t="s">
        <v>217</v>
      </c>
      <c r="E1732">
        <f>IF(LEFT(D1732,6)="CLIENT",IFERROR(VLOOKUP(C1732,Config_Carteiras!$A:$B,2,FALSE),1),"")</f>
        <v>1</v>
      </c>
      <c r="F1732" s="25">
        <v>669.85</v>
      </c>
      <c r="G1732" s="28">
        <f>IF(LEFT(D1732,6)="CLIENT",IF(E1732=0,WORKDAY(A1732-1,1,Dias_Sem_Compensacao!$A$2:$A$500),WORKDAY(A1732,E1732,Dias_Sem_Compensacao!$A$2:$A$500)),"")</f>
        <v>46304</v>
      </c>
      <c r="H1732" s="25">
        <v>0</v>
      </c>
      <c r="I1732" s="28">
        <v>46303</v>
      </c>
      <c r="J1732" t="s">
        <v>1635</v>
      </c>
      <c r="K1732" t="s">
        <v>1636</v>
      </c>
    </row>
    <row r="1733" spans="1:11" hidden="1">
      <c r="A1733" s="28">
        <v>46303</v>
      </c>
      <c r="B1733" t="s">
        <v>186</v>
      </c>
      <c r="C1733" t="s">
        <v>203</v>
      </c>
      <c r="D1733" t="s">
        <v>217</v>
      </c>
      <c r="E1733">
        <f>IF(LEFT(D1733,6)="CLIENT",IFERROR(VLOOKUP(C1733,Config_Carteiras!$A:$B,2,FALSE),1),"")</f>
        <v>1</v>
      </c>
      <c r="F1733" s="25">
        <v>466.2</v>
      </c>
      <c r="G1733" s="28">
        <f>IF(LEFT(D1733,6)="CLIENT",IF(E1733=0,WORKDAY(A1733-1,1,Dias_Sem_Compensacao!$A$2:$A$500),WORKDAY(A1733,E1733,Dias_Sem_Compensacao!$A$2:$A$500)),"")</f>
        <v>46304</v>
      </c>
      <c r="H1733" s="25">
        <v>0</v>
      </c>
      <c r="I1733" s="28">
        <v>46303</v>
      </c>
      <c r="J1733" t="s">
        <v>1076</v>
      </c>
      <c r="K1733" t="s">
        <v>1077</v>
      </c>
    </row>
    <row r="1734" spans="1:11" hidden="1">
      <c r="A1734" s="28">
        <v>46303</v>
      </c>
      <c r="B1734" t="s">
        <v>186</v>
      </c>
      <c r="C1734" t="s">
        <v>203</v>
      </c>
      <c r="D1734" t="s">
        <v>217</v>
      </c>
      <c r="E1734">
        <f>IF(LEFT(D1734,6)="CLIENT",IFERROR(VLOOKUP(C1734,Config_Carteiras!$A:$B,2,FALSE),1),"")</f>
        <v>1</v>
      </c>
      <c r="F1734" s="25">
        <v>403.01</v>
      </c>
      <c r="G1734" s="28">
        <f>IF(LEFT(D1734,6)="CLIENT",IF(E1734=0,WORKDAY(A1734-1,1,Dias_Sem_Compensacao!$A$2:$A$500),WORKDAY(A1734,E1734,Dias_Sem_Compensacao!$A$2:$A$500)),"")</f>
        <v>46304</v>
      </c>
      <c r="H1734" s="25">
        <v>0</v>
      </c>
      <c r="I1734" s="28">
        <v>46303</v>
      </c>
      <c r="J1734" t="s">
        <v>2246</v>
      </c>
      <c r="K1734" t="s">
        <v>2247</v>
      </c>
    </row>
    <row r="1735" spans="1:11" hidden="1">
      <c r="A1735" s="28">
        <v>46303</v>
      </c>
      <c r="B1735" t="s">
        <v>186</v>
      </c>
      <c r="C1735" t="s">
        <v>203</v>
      </c>
      <c r="D1735" t="s">
        <v>217</v>
      </c>
      <c r="E1735">
        <f>IF(LEFT(D1735,6)="CLIENT",IFERROR(VLOOKUP(C1735,Config_Carteiras!$A:$B,2,FALSE),1),"")</f>
        <v>1</v>
      </c>
      <c r="F1735" s="25">
        <v>631.25</v>
      </c>
      <c r="G1735" s="28">
        <f>IF(LEFT(D1735,6)="CLIENT",IF(E1735=0,WORKDAY(A1735-1,1,Dias_Sem_Compensacao!$A$2:$A$500),WORKDAY(A1735,E1735,Dias_Sem_Compensacao!$A$2:$A$500)),"")</f>
        <v>46304</v>
      </c>
      <c r="H1735" s="25">
        <v>0</v>
      </c>
      <c r="I1735" s="28">
        <v>46303</v>
      </c>
      <c r="J1735" t="s">
        <v>475</v>
      </c>
      <c r="K1735" t="s">
        <v>1078</v>
      </c>
    </row>
    <row r="1736" spans="1:11" hidden="1">
      <c r="A1736" s="28">
        <v>46303</v>
      </c>
      <c r="B1736" t="s">
        <v>186</v>
      </c>
      <c r="C1736" t="s">
        <v>203</v>
      </c>
      <c r="D1736" t="s">
        <v>217</v>
      </c>
      <c r="E1736">
        <f>IF(LEFT(D1736,6)="CLIENT",IFERROR(VLOOKUP(C1736,Config_Carteiras!$A:$B,2,FALSE),1),"")</f>
        <v>1</v>
      </c>
      <c r="F1736" s="25">
        <v>1634</v>
      </c>
      <c r="G1736" s="28">
        <f>IF(LEFT(D1736,6)="CLIENT",IF(E1736=0,WORKDAY(A1736-1,1,Dias_Sem_Compensacao!$A$2:$A$500),WORKDAY(A1736,E1736,Dias_Sem_Compensacao!$A$2:$A$500)),"")</f>
        <v>46304</v>
      </c>
      <c r="H1736" s="25">
        <v>0</v>
      </c>
      <c r="I1736" s="28">
        <v>46303</v>
      </c>
      <c r="J1736" t="s">
        <v>2248</v>
      </c>
      <c r="K1736" t="s">
        <v>2249</v>
      </c>
    </row>
    <row r="1737" spans="1:11" hidden="1">
      <c r="A1737" s="28">
        <v>46303</v>
      </c>
      <c r="B1737" t="s">
        <v>186</v>
      </c>
      <c r="C1737" t="s">
        <v>203</v>
      </c>
      <c r="D1737" t="s">
        <v>217</v>
      </c>
      <c r="E1737">
        <f>IF(LEFT(D1737,6)="CLIENT",IFERROR(VLOOKUP(C1737,Config_Carteiras!$A:$B,2,FALSE),1),"")</f>
        <v>1</v>
      </c>
      <c r="F1737" s="25">
        <v>496</v>
      </c>
      <c r="G1737" s="28">
        <f>IF(LEFT(D1737,6)="CLIENT",IF(E1737=0,WORKDAY(A1737-1,1,Dias_Sem_Compensacao!$A$2:$A$500),WORKDAY(A1737,E1737,Dias_Sem_Compensacao!$A$2:$A$500)),"")</f>
        <v>46304</v>
      </c>
      <c r="H1737" s="25">
        <v>0</v>
      </c>
      <c r="I1737" s="28">
        <v>46303</v>
      </c>
      <c r="J1737" t="s">
        <v>2250</v>
      </c>
      <c r="K1737" t="s">
        <v>2251</v>
      </c>
    </row>
    <row r="1738" spans="1:11" hidden="1">
      <c r="A1738" s="28">
        <v>46303</v>
      </c>
      <c r="B1738" t="s">
        <v>186</v>
      </c>
      <c r="C1738" t="s">
        <v>203</v>
      </c>
      <c r="D1738" t="s">
        <v>217</v>
      </c>
      <c r="E1738">
        <f>IF(LEFT(D1738,6)="CLIENT",IFERROR(VLOOKUP(C1738,Config_Carteiras!$A:$B,2,FALSE),1),"")</f>
        <v>1</v>
      </c>
      <c r="F1738" s="25">
        <v>2165.1</v>
      </c>
      <c r="G1738" s="28">
        <f>IF(LEFT(D1738,6)="CLIENT",IF(E1738=0,WORKDAY(A1738-1,1,Dias_Sem_Compensacao!$A$2:$A$500),WORKDAY(A1738,E1738,Dias_Sem_Compensacao!$A$2:$A$500)),"")</f>
        <v>46304</v>
      </c>
      <c r="H1738" s="25">
        <v>0</v>
      </c>
      <c r="I1738" s="28">
        <v>46303</v>
      </c>
      <c r="J1738" t="s">
        <v>1643</v>
      </c>
      <c r="K1738" t="s">
        <v>1644</v>
      </c>
    </row>
    <row r="1739" spans="1:11" hidden="1">
      <c r="A1739" s="28">
        <v>46303</v>
      </c>
      <c r="B1739" t="s">
        <v>186</v>
      </c>
      <c r="C1739" t="s">
        <v>203</v>
      </c>
      <c r="D1739" t="s">
        <v>217</v>
      </c>
      <c r="E1739">
        <f>IF(LEFT(D1739,6)="CLIENT",IFERROR(VLOOKUP(C1739,Config_Carteiras!$A:$B,2,FALSE),1),"")</f>
        <v>1</v>
      </c>
      <c r="F1739" s="25">
        <v>719.62</v>
      </c>
      <c r="G1739" s="28">
        <f>IF(LEFT(D1739,6)="CLIENT",IF(E1739=0,WORKDAY(A1739-1,1,Dias_Sem_Compensacao!$A$2:$A$500),WORKDAY(A1739,E1739,Dias_Sem_Compensacao!$A$2:$A$500)),"")</f>
        <v>46304</v>
      </c>
      <c r="H1739" s="25">
        <v>0</v>
      </c>
      <c r="I1739" s="28">
        <v>46303</v>
      </c>
      <c r="J1739" t="s">
        <v>1645</v>
      </c>
      <c r="K1739" t="s">
        <v>1646</v>
      </c>
    </row>
    <row r="1740" spans="1:11" hidden="1">
      <c r="A1740" s="28">
        <v>46303</v>
      </c>
      <c r="B1740" t="s">
        <v>186</v>
      </c>
      <c r="C1740" t="s">
        <v>203</v>
      </c>
      <c r="D1740" t="s">
        <v>217</v>
      </c>
      <c r="E1740">
        <f>IF(LEFT(D1740,6)="CLIENT",IFERROR(VLOOKUP(C1740,Config_Carteiras!$A:$B,2,FALSE),1),"")</f>
        <v>1</v>
      </c>
      <c r="F1740" s="25">
        <v>478</v>
      </c>
      <c r="G1740" s="28">
        <f>IF(LEFT(D1740,6)="CLIENT",IF(E1740=0,WORKDAY(A1740-1,1,Dias_Sem_Compensacao!$A$2:$A$500),WORKDAY(A1740,E1740,Dias_Sem_Compensacao!$A$2:$A$500)),"")</f>
        <v>46304</v>
      </c>
      <c r="H1740" s="25">
        <v>0</v>
      </c>
      <c r="I1740" s="28">
        <v>46303</v>
      </c>
      <c r="J1740" t="s">
        <v>1289</v>
      </c>
      <c r="K1740" t="s">
        <v>2252</v>
      </c>
    </row>
    <row r="1741" spans="1:11" hidden="1">
      <c r="A1741" s="28">
        <v>46304</v>
      </c>
      <c r="B1741" t="s">
        <v>186</v>
      </c>
      <c r="C1741" t="s">
        <v>203</v>
      </c>
      <c r="D1741" t="s">
        <v>217</v>
      </c>
      <c r="E1741">
        <f>IF(LEFT(D1741,6)="CLIENT",IFERROR(VLOOKUP(C1741,Config_Carteiras!$A:$B,2,FALSE),1),"")</f>
        <v>1</v>
      </c>
      <c r="F1741" s="25">
        <v>1342.51</v>
      </c>
      <c r="G1741" s="28">
        <f>IF(LEFT(D1741,6)="CLIENT",IF(E1741=0,WORKDAY(A1741-1,1,Dias_Sem_Compensacao!$A$2:$A$500),WORKDAY(A1741,E1741,Dias_Sem_Compensacao!$A$2:$A$500)),"")</f>
        <v>46307</v>
      </c>
      <c r="H1741" s="25">
        <v>0</v>
      </c>
      <c r="I1741" s="28">
        <v>46304</v>
      </c>
      <c r="J1741" t="s">
        <v>1647</v>
      </c>
      <c r="K1741" t="s">
        <v>1648</v>
      </c>
    </row>
    <row r="1742" spans="1:11" hidden="1">
      <c r="A1742" s="28">
        <v>46304</v>
      </c>
      <c r="B1742" t="s">
        <v>186</v>
      </c>
      <c r="C1742" t="s">
        <v>203</v>
      </c>
      <c r="D1742" t="s">
        <v>217</v>
      </c>
      <c r="E1742">
        <f>IF(LEFT(D1742,6)="CLIENT",IFERROR(VLOOKUP(C1742,Config_Carteiras!$A:$B,2,FALSE),1),"")</f>
        <v>1</v>
      </c>
      <c r="F1742" s="25">
        <v>591.97</v>
      </c>
      <c r="G1742" s="28">
        <f>IF(LEFT(D1742,6)="CLIENT",IF(E1742=0,WORKDAY(A1742-1,1,Dias_Sem_Compensacao!$A$2:$A$500),WORKDAY(A1742,E1742,Dias_Sem_Compensacao!$A$2:$A$500)),"")</f>
        <v>46307</v>
      </c>
      <c r="H1742" s="25">
        <v>0</v>
      </c>
      <c r="I1742" s="28">
        <v>46304</v>
      </c>
      <c r="J1742" t="s">
        <v>1649</v>
      </c>
      <c r="K1742" t="s">
        <v>1650</v>
      </c>
    </row>
    <row r="1743" spans="1:11" hidden="1">
      <c r="A1743" s="28">
        <v>46304</v>
      </c>
      <c r="B1743" t="s">
        <v>186</v>
      </c>
      <c r="C1743" t="s">
        <v>203</v>
      </c>
      <c r="D1743" t="s">
        <v>217</v>
      </c>
      <c r="E1743">
        <f>IF(LEFT(D1743,6)="CLIENT",IFERROR(VLOOKUP(C1743,Config_Carteiras!$A:$B,2,FALSE),1),"")</f>
        <v>1</v>
      </c>
      <c r="F1743" s="25">
        <v>1641.21</v>
      </c>
      <c r="G1743" s="28">
        <f>IF(LEFT(D1743,6)="CLIENT",IF(E1743=0,WORKDAY(A1743-1,1,Dias_Sem_Compensacao!$A$2:$A$500),WORKDAY(A1743,E1743,Dias_Sem_Compensacao!$A$2:$A$500)),"")</f>
        <v>46307</v>
      </c>
      <c r="H1743" s="25">
        <v>0</v>
      </c>
      <c r="I1743" s="28">
        <v>46304</v>
      </c>
      <c r="J1743" t="s">
        <v>1430</v>
      </c>
      <c r="K1743" t="s">
        <v>1651</v>
      </c>
    </row>
    <row r="1744" spans="1:11" hidden="1">
      <c r="A1744" s="28">
        <v>46304</v>
      </c>
      <c r="B1744" t="s">
        <v>186</v>
      </c>
      <c r="C1744" t="s">
        <v>203</v>
      </c>
      <c r="D1744" t="s">
        <v>217</v>
      </c>
      <c r="E1744">
        <f>IF(LEFT(D1744,6)="CLIENT",IFERROR(VLOOKUP(C1744,Config_Carteiras!$A:$B,2,FALSE),1),"")</f>
        <v>1</v>
      </c>
      <c r="F1744" s="25">
        <v>1352</v>
      </c>
      <c r="G1744" s="28">
        <f>IF(LEFT(D1744,6)="CLIENT",IF(E1744=0,WORKDAY(A1744-1,1,Dias_Sem_Compensacao!$A$2:$A$500),WORKDAY(A1744,E1744,Dias_Sem_Compensacao!$A$2:$A$500)),"")</f>
        <v>46307</v>
      </c>
      <c r="H1744" s="25">
        <v>0</v>
      </c>
      <c r="I1744" s="28">
        <v>46304</v>
      </c>
      <c r="J1744" t="s">
        <v>1654</v>
      </c>
      <c r="K1744" t="s">
        <v>1655</v>
      </c>
    </row>
    <row r="1745" spans="1:11" hidden="1">
      <c r="A1745" s="28">
        <v>46304</v>
      </c>
      <c r="B1745" t="s">
        <v>186</v>
      </c>
      <c r="C1745" t="s">
        <v>203</v>
      </c>
      <c r="D1745" t="s">
        <v>217</v>
      </c>
      <c r="E1745">
        <f>IF(LEFT(D1745,6)="CLIENT",IFERROR(VLOOKUP(C1745,Config_Carteiras!$A:$B,2,FALSE),1),"")</f>
        <v>1</v>
      </c>
      <c r="F1745" s="25">
        <v>665</v>
      </c>
      <c r="G1745" s="28">
        <f>IF(LEFT(D1745,6)="CLIENT",IF(E1745=0,WORKDAY(A1745-1,1,Dias_Sem_Compensacao!$A$2:$A$500),WORKDAY(A1745,E1745,Dias_Sem_Compensacao!$A$2:$A$500)),"")</f>
        <v>46307</v>
      </c>
      <c r="H1745" s="25">
        <v>0</v>
      </c>
      <c r="I1745" s="28">
        <v>46304</v>
      </c>
      <c r="J1745" t="s">
        <v>1658</v>
      </c>
      <c r="K1745" t="s">
        <v>1659</v>
      </c>
    </row>
    <row r="1746" spans="1:11" hidden="1">
      <c r="A1746" s="28">
        <v>46304</v>
      </c>
      <c r="B1746" t="s">
        <v>186</v>
      </c>
      <c r="C1746" t="s">
        <v>203</v>
      </c>
      <c r="D1746" t="s">
        <v>217</v>
      </c>
      <c r="E1746">
        <f>IF(LEFT(D1746,6)="CLIENT",IFERROR(VLOOKUP(C1746,Config_Carteiras!$A:$B,2,FALSE),1),"")</f>
        <v>1</v>
      </c>
      <c r="F1746" s="25">
        <v>578</v>
      </c>
      <c r="G1746" s="28">
        <f>IF(LEFT(D1746,6)="CLIENT",IF(E1746=0,WORKDAY(A1746-1,1,Dias_Sem_Compensacao!$A$2:$A$500),WORKDAY(A1746,E1746,Dias_Sem_Compensacao!$A$2:$A$500)),"")</f>
        <v>46307</v>
      </c>
      <c r="H1746" s="25">
        <v>0</v>
      </c>
      <c r="I1746" s="28">
        <v>46304</v>
      </c>
      <c r="J1746" t="s">
        <v>2253</v>
      </c>
      <c r="K1746" t="s">
        <v>2254</v>
      </c>
    </row>
    <row r="1747" spans="1:11" hidden="1">
      <c r="A1747" s="28">
        <v>46304</v>
      </c>
      <c r="B1747" t="s">
        <v>186</v>
      </c>
      <c r="C1747" t="s">
        <v>203</v>
      </c>
      <c r="D1747" t="s">
        <v>217</v>
      </c>
      <c r="E1747">
        <f>IF(LEFT(D1747,6)="CLIENT",IFERROR(VLOOKUP(C1747,Config_Carteiras!$A:$B,2,FALSE),1),"")</f>
        <v>1</v>
      </c>
      <c r="F1747" s="25">
        <v>1718.06</v>
      </c>
      <c r="G1747" s="28">
        <f>IF(LEFT(D1747,6)="CLIENT",IF(E1747=0,WORKDAY(A1747-1,1,Dias_Sem_Compensacao!$A$2:$A$500),WORKDAY(A1747,E1747,Dias_Sem_Compensacao!$A$2:$A$500)),"")</f>
        <v>46307</v>
      </c>
      <c r="H1747" s="25">
        <v>0</v>
      </c>
      <c r="I1747" s="28">
        <v>46304</v>
      </c>
      <c r="J1747" t="s">
        <v>1664</v>
      </c>
      <c r="K1747" t="s">
        <v>1665</v>
      </c>
    </row>
    <row r="1748" spans="1:11" hidden="1">
      <c r="A1748" s="28">
        <v>46304</v>
      </c>
      <c r="B1748" t="s">
        <v>186</v>
      </c>
      <c r="C1748" t="s">
        <v>203</v>
      </c>
      <c r="D1748" t="s">
        <v>217</v>
      </c>
      <c r="E1748">
        <f>IF(LEFT(D1748,6)="CLIENT",IFERROR(VLOOKUP(C1748,Config_Carteiras!$A:$B,2,FALSE),1),"")</f>
        <v>1</v>
      </c>
      <c r="F1748" s="25">
        <v>1721</v>
      </c>
      <c r="G1748" s="28">
        <f>IF(LEFT(D1748,6)="CLIENT",IF(E1748=0,WORKDAY(A1748-1,1,Dias_Sem_Compensacao!$A$2:$A$500),WORKDAY(A1748,E1748,Dias_Sem_Compensacao!$A$2:$A$500)),"")</f>
        <v>46307</v>
      </c>
      <c r="H1748" s="25">
        <v>0</v>
      </c>
      <c r="I1748" s="28">
        <v>46304</v>
      </c>
      <c r="J1748" t="s">
        <v>1670</v>
      </c>
      <c r="K1748" t="s">
        <v>1671</v>
      </c>
    </row>
    <row r="1749" spans="1:11" hidden="1">
      <c r="A1749" s="28">
        <v>46304</v>
      </c>
      <c r="B1749" t="s">
        <v>186</v>
      </c>
      <c r="C1749" t="s">
        <v>203</v>
      </c>
      <c r="D1749" t="s">
        <v>217</v>
      </c>
      <c r="E1749">
        <f>IF(LEFT(D1749,6)="CLIENT",IFERROR(VLOOKUP(C1749,Config_Carteiras!$A:$B,2,FALSE),1),"")</f>
        <v>1</v>
      </c>
      <c r="F1749" s="25">
        <v>2320.58</v>
      </c>
      <c r="G1749" s="28">
        <f>IF(LEFT(D1749,6)="CLIENT",IF(E1749=0,WORKDAY(A1749-1,1,Dias_Sem_Compensacao!$A$2:$A$500),WORKDAY(A1749,E1749,Dias_Sem_Compensacao!$A$2:$A$500)),"")</f>
        <v>46307</v>
      </c>
      <c r="H1749" s="25">
        <v>0</v>
      </c>
      <c r="I1749" s="28">
        <v>46304</v>
      </c>
      <c r="J1749" t="s">
        <v>1672</v>
      </c>
      <c r="K1749" t="s">
        <v>1673</v>
      </c>
    </row>
    <row r="1750" spans="1:11" hidden="1">
      <c r="A1750" s="28">
        <v>46304</v>
      </c>
      <c r="B1750" t="s">
        <v>186</v>
      </c>
      <c r="C1750" t="s">
        <v>203</v>
      </c>
      <c r="D1750" t="s">
        <v>217</v>
      </c>
      <c r="E1750">
        <f>IF(LEFT(D1750,6)="CLIENT",IFERROR(VLOOKUP(C1750,Config_Carteiras!$A:$B,2,FALSE),1),"")</f>
        <v>1</v>
      </c>
      <c r="F1750" s="25">
        <v>5124.51</v>
      </c>
      <c r="G1750" s="28">
        <f>IF(LEFT(D1750,6)="CLIENT",IF(E1750=0,WORKDAY(A1750-1,1,Dias_Sem_Compensacao!$A$2:$A$500),WORKDAY(A1750,E1750,Dias_Sem_Compensacao!$A$2:$A$500)),"")</f>
        <v>46307</v>
      </c>
      <c r="H1750" s="25">
        <v>0</v>
      </c>
      <c r="I1750" s="28">
        <v>46304</v>
      </c>
      <c r="J1750" t="s">
        <v>1302</v>
      </c>
      <c r="K1750" t="s">
        <v>1674</v>
      </c>
    </row>
    <row r="1751" spans="1:11" hidden="1">
      <c r="A1751" s="28">
        <v>46304</v>
      </c>
      <c r="B1751" t="s">
        <v>186</v>
      </c>
      <c r="C1751" t="s">
        <v>203</v>
      </c>
      <c r="D1751" t="s">
        <v>217</v>
      </c>
      <c r="E1751">
        <f>IF(LEFT(D1751,6)="CLIENT",IFERROR(VLOOKUP(C1751,Config_Carteiras!$A:$B,2,FALSE),1),"")</f>
        <v>1</v>
      </c>
      <c r="F1751" s="25">
        <v>733.33</v>
      </c>
      <c r="G1751" s="28">
        <f>IF(LEFT(D1751,6)="CLIENT",IF(E1751=0,WORKDAY(A1751-1,1,Dias_Sem_Compensacao!$A$2:$A$500),WORKDAY(A1751,E1751,Dias_Sem_Compensacao!$A$2:$A$500)),"")</f>
        <v>46307</v>
      </c>
      <c r="H1751" s="25">
        <v>0</v>
      </c>
      <c r="I1751" s="28">
        <v>46304</v>
      </c>
      <c r="J1751" t="s">
        <v>2255</v>
      </c>
      <c r="K1751" t="s">
        <v>2256</v>
      </c>
    </row>
    <row r="1752" spans="1:11" hidden="1">
      <c r="A1752" s="28">
        <v>46304</v>
      </c>
      <c r="B1752" t="s">
        <v>186</v>
      </c>
      <c r="C1752" t="s">
        <v>203</v>
      </c>
      <c r="D1752" t="s">
        <v>217</v>
      </c>
      <c r="E1752">
        <f>IF(LEFT(D1752,6)="CLIENT",IFERROR(VLOOKUP(C1752,Config_Carteiras!$A:$B,2,FALSE),1),"")</f>
        <v>1</v>
      </c>
      <c r="F1752" s="25">
        <v>3400</v>
      </c>
      <c r="G1752" s="28">
        <f>IF(LEFT(D1752,6)="CLIENT",IF(E1752=0,WORKDAY(A1752-1,1,Dias_Sem_Compensacao!$A$2:$A$500),WORKDAY(A1752,E1752,Dias_Sem_Compensacao!$A$2:$A$500)),"")</f>
        <v>46307</v>
      </c>
      <c r="H1752" s="25">
        <v>0</v>
      </c>
      <c r="I1752" s="28">
        <v>46304</v>
      </c>
      <c r="J1752" t="s">
        <v>2257</v>
      </c>
      <c r="K1752" t="s">
        <v>2258</v>
      </c>
    </row>
    <row r="1753" spans="1:11" hidden="1">
      <c r="A1753" s="28">
        <v>46304</v>
      </c>
      <c r="B1753" t="s">
        <v>186</v>
      </c>
      <c r="C1753" t="s">
        <v>203</v>
      </c>
      <c r="D1753" t="s">
        <v>217</v>
      </c>
      <c r="E1753">
        <f>IF(LEFT(D1753,6)="CLIENT",IFERROR(VLOOKUP(C1753,Config_Carteiras!$A:$B,2,FALSE),1),"")</f>
        <v>1</v>
      </c>
      <c r="F1753" s="25">
        <v>1856</v>
      </c>
      <c r="G1753" s="28">
        <f>IF(LEFT(D1753,6)="CLIENT",IF(E1753=0,WORKDAY(A1753-1,1,Dias_Sem_Compensacao!$A$2:$A$500),WORKDAY(A1753,E1753,Dias_Sem_Compensacao!$A$2:$A$500)),"")</f>
        <v>46307</v>
      </c>
      <c r="H1753" s="25">
        <v>0</v>
      </c>
      <c r="I1753" s="28">
        <v>46304</v>
      </c>
      <c r="J1753" t="s">
        <v>2259</v>
      </c>
      <c r="K1753" t="s">
        <v>2260</v>
      </c>
    </row>
    <row r="1754" spans="1:11" hidden="1">
      <c r="A1754" s="28">
        <v>46304</v>
      </c>
      <c r="B1754" t="s">
        <v>186</v>
      </c>
      <c r="C1754" t="s">
        <v>203</v>
      </c>
      <c r="D1754" t="s">
        <v>217</v>
      </c>
      <c r="E1754">
        <f>IF(LEFT(D1754,6)="CLIENT",IFERROR(VLOOKUP(C1754,Config_Carteiras!$A:$B,2,FALSE),1),"")</f>
        <v>1</v>
      </c>
      <c r="F1754" s="25">
        <v>25521</v>
      </c>
      <c r="G1754" s="28">
        <f>IF(LEFT(D1754,6)="CLIENT",IF(E1754=0,WORKDAY(A1754-1,1,Dias_Sem_Compensacao!$A$2:$A$500),WORKDAY(A1754,E1754,Dias_Sem_Compensacao!$A$2:$A$500)),"")</f>
        <v>46307</v>
      </c>
      <c r="H1754" s="25">
        <v>0</v>
      </c>
      <c r="I1754" s="28">
        <v>46304</v>
      </c>
      <c r="J1754" t="s">
        <v>1138</v>
      </c>
      <c r="K1754" t="s">
        <v>1675</v>
      </c>
    </row>
    <row r="1755" spans="1:11" hidden="1">
      <c r="A1755" s="28">
        <v>46304</v>
      </c>
      <c r="B1755" t="s">
        <v>186</v>
      </c>
      <c r="C1755" t="s">
        <v>203</v>
      </c>
      <c r="D1755" t="s">
        <v>217</v>
      </c>
      <c r="E1755">
        <f>IF(LEFT(D1755,6)="CLIENT",IFERROR(VLOOKUP(C1755,Config_Carteiras!$A:$B,2,FALSE),1),"")</f>
        <v>1</v>
      </c>
      <c r="F1755" s="25">
        <v>678.5</v>
      </c>
      <c r="G1755" s="28">
        <f>IF(LEFT(D1755,6)="CLIENT",IF(E1755=0,WORKDAY(A1755-1,1,Dias_Sem_Compensacao!$A$2:$A$500),WORKDAY(A1755,E1755,Dias_Sem_Compensacao!$A$2:$A$500)),"")</f>
        <v>46307</v>
      </c>
      <c r="H1755" s="25">
        <v>0</v>
      </c>
      <c r="I1755" s="28">
        <v>46304</v>
      </c>
      <c r="J1755" t="s">
        <v>269</v>
      </c>
      <c r="K1755" t="s">
        <v>1680</v>
      </c>
    </row>
    <row r="1756" spans="1:11" hidden="1">
      <c r="A1756" s="28">
        <v>46304</v>
      </c>
      <c r="B1756" t="s">
        <v>186</v>
      </c>
      <c r="C1756" t="s">
        <v>203</v>
      </c>
      <c r="D1756" t="s">
        <v>217</v>
      </c>
      <c r="E1756">
        <f>IF(LEFT(D1756,6)="CLIENT",IFERROR(VLOOKUP(C1756,Config_Carteiras!$A:$B,2,FALSE),1),"")</f>
        <v>1</v>
      </c>
      <c r="F1756" s="25">
        <v>3937</v>
      </c>
      <c r="G1756" s="28">
        <f>IF(LEFT(D1756,6)="CLIENT",IF(E1756=0,WORKDAY(A1756-1,1,Dias_Sem_Compensacao!$A$2:$A$500),WORKDAY(A1756,E1756,Dias_Sem_Compensacao!$A$2:$A$500)),"")</f>
        <v>46307</v>
      </c>
      <c r="H1756" s="25">
        <v>0</v>
      </c>
      <c r="I1756" s="28">
        <v>46304</v>
      </c>
      <c r="J1756" t="s">
        <v>1685</v>
      </c>
      <c r="K1756" t="s">
        <v>1686</v>
      </c>
    </row>
    <row r="1757" spans="1:11" hidden="1">
      <c r="A1757" s="28">
        <v>46304</v>
      </c>
      <c r="B1757" t="s">
        <v>186</v>
      </c>
      <c r="C1757" t="s">
        <v>203</v>
      </c>
      <c r="D1757" t="s">
        <v>217</v>
      </c>
      <c r="E1757">
        <f>IF(LEFT(D1757,6)="CLIENT",IFERROR(VLOOKUP(C1757,Config_Carteiras!$A:$B,2,FALSE),1),"")</f>
        <v>1</v>
      </c>
      <c r="F1757" s="25">
        <v>1852</v>
      </c>
      <c r="G1757" s="28">
        <f>IF(LEFT(D1757,6)="CLIENT",IF(E1757=0,WORKDAY(A1757-1,1,Dias_Sem_Compensacao!$A$2:$A$500),WORKDAY(A1757,E1757,Dias_Sem_Compensacao!$A$2:$A$500)),"")</f>
        <v>46307</v>
      </c>
      <c r="H1757" s="25">
        <v>0</v>
      </c>
      <c r="I1757" s="28">
        <v>46304</v>
      </c>
      <c r="J1757" t="s">
        <v>2261</v>
      </c>
      <c r="K1757" t="s">
        <v>2262</v>
      </c>
    </row>
    <row r="1758" spans="1:11" hidden="1">
      <c r="A1758" s="28">
        <v>46304</v>
      </c>
      <c r="B1758" t="s">
        <v>186</v>
      </c>
      <c r="C1758" t="s">
        <v>203</v>
      </c>
      <c r="D1758" t="s">
        <v>217</v>
      </c>
      <c r="E1758">
        <f>IF(LEFT(D1758,6)="CLIENT",IFERROR(VLOOKUP(C1758,Config_Carteiras!$A:$B,2,FALSE),1),"")</f>
        <v>1</v>
      </c>
      <c r="F1758" s="25">
        <v>617.78</v>
      </c>
      <c r="G1758" s="28">
        <f>IF(LEFT(D1758,6)="CLIENT",IF(E1758=0,WORKDAY(A1758-1,1,Dias_Sem_Compensacao!$A$2:$A$500),WORKDAY(A1758,E1758,Dias_Sem_Compensacao!$A$2:$A$500)),"")</f>
        <v>46307</v>
      </c>
      <c r="H1758" s="25">
        <v>0</v>
      </c>
      <c r="I1758" s="28">
        <v>46304</v>
      </c>
      <c r="J1758" t="s">
        <v>1687</v>
      </c>
      <c r="K1758" t="s">
        <v>1688</v>
      </c>
    </row>
    <row r="1759" spans="1:11" hidden="1">
      <c r="A1759" s="28">
        <v>46304</v>
      </c>
      <c r="B1759" t="s">
        <v>186</v>
      </c>
      <c r="C1759" t="s">
        <v>203</v>
      </c>
      <c r="D1759" t="s">
        <v>217</v>
      </c>
      <c r="E1759">
        <f>IF(LEFT(D1759,6)="CLIENT",IFERROR(VLOOKUP(C1759,Config_Carteiras!$A:$B,2,FALSE),1),"")</f>
        <v>1</v>
      </c>
      <c r="F1759" s="25">
        <v>14560</v>
      </c>
      <c r="G1759" s="28">
        <f>IF(LEFT(D1759,6)="CLIENT",IF(E1759=0,WORKDAY(A1759-1,1,Dias_Sem_Compensacao!$A$2:$A$500),WORKDAY(A1759,E1759,Dias_Sem_Compensacao!$A$2:$A$500)),"")</f>
        <v>46307</v>
      </c>
      <c r="H1759" s="25">
        <v>0</v>
      </c>
      <c r="I1759" s="28">
        <v>46304</v>
      </c>
      <c r="J1759" t="s">
        <v>939</v>
      </c>
      <c r="K1759" t="s">
        <v>2263</v>
      </c>
    </row>
    <row r="1760" spans="1:11" hidden="1">
      <c r="A1760" s="28">
        <v>46304</v>
      </c>
      <c r="B1760" t="s">
        <v>186</v>
      </c>
      <c r="C1760" t="s">
        <v>203</v>
      </c>
      <c r="D1760" t="s">
        <v>217</v>
      </c>
      <c r="E1760">
        <f>IF(LEFT(D1760,6)="CLIENT",IFERROR(VLOOKUP(C1760,Config_Carteiras!$A:$B,2,FALSE),1),"")</f>
        <v>1</v>
      </c>
      <c r="F1760" s="25">
        <v>22011.58</v>
      </c>
      <c r="G1760" s="28">
        <f>IF(LEFT(D1760,6)="CLIENT",IF(E1760=0,WORKDAY(A1760-1,1,Dias_Sem_Compensacao!$A$2:$A$500),WORKDAY(A1760,E1760,Dias_Sem_Compensacao!$A$2:$A$500)),"")</f>
        <v>46307</v>
      </c>
      <c r="H1760" s="25">
        <v>0</v>
      </c>
      <c r="I1760" s="28">
        <v>46304</v>
      </c>
      <c r="J1760" t="s">
        <v>2264</v>
      </c>
      <c r="K1760" t="s">
        <v>2265</v>
      </c>
    </row>
    <row r="1761" spans="1:11" hidden="1">
      <c r="A1761" s="28">
        <v>46304</v>
      </c>
      <c r="B1761" t="s">
        <v>186</v>
      </c>
      <c r="C1761" t="s">
        <v>203</v>
      </c>
      <c r="D1761" t="s">
        <v>217</v>
      </c>
      <c r="E1761">
        <f>IF(LEFT(D1761,6)="CLIENT",IFERROR(VLOOKUP(C1761,Config_Carteiras!$A:$B,2,FALSE),1),"")</f>
        <v>1</v>
      </c>
      <c r="F1761" s="25">
        <v>17550</v>
      </c>
      <c r="G1761" s="28">
        <f>IF(LEFT(D1761,6)="CLIENT",IF(E1761=0,WORKDAY(A1761-1,1,Dias_Sem_Compensacao!$A$2:$A$500),WORKDAY(A1761,E1761,Dias_Sem_Compensacao!$A$2:$A$500)),"")</f>
        <v>46307</v>
      </c>
      <c r="H1761" s="25">
        <v>0</v>
      </c>
      <c r="I1761" s="28">
        <v>46304</v>
      </c>
      <c r="J1761" t="s">
        <v>1162</v>
      </c>
      <c r="K1761" t="s">
        <v>2266</v>
      </c>
    </row>
    <row r="1762" spans="1:11" hidden="1">
      <c r="A1762" s="28">
        <v>46304</v>
      </c>
      <c r="B1762" t="s">
        <v>186</v>
      </c>
      <c r="C1762" t="s">
        <v>203</v>
      </c>
      <c r="D1762" t="s">
        <v>217</v>
      </c>
      <c r="E1762">
        <f>IF(LEFT(D1762,6)="CLIENT",IFERROR(VLOOKUP(C1762,Config_Carteiras!$A:$B,2,FALSE),1),"")</f>
        <v>1</v>
      </c>
      <c r="F1762" s="25">
        <v>699.22</v>
      </c>
      <c r="G1762" s="28">
        <f>IF(LEFT(D1762,6)="CLIENT",IF(E1762=0,WORKDAY(A1762-1,1,Dias_Sem_Compensacao!$A$2:$A$500),WORKDAY(A1762,E1762,Dias_Sem_Compensacao!$A$2:$A$500)),"")</f>
        <v>46307</v>
      </c>
      <c r="H1762" s="25">
        <v>0</v>
      </c>
      <c r="I1762" s="28">
        <v>46304</v>
      </c>
      <c r="J1762" t="s">
        <v>2165</v>
      </c>
      <c r="K1762" t="s">
        <v>2267</v>
      </c>
    </row>
    <row r="1763" spans="1:11" hidden="1">
      <c r="A1763" s="28">
        <v>46304</v>
      </c>
      <c r="B1763" t="s">
        <v>186</v>
      </c>
      <c r="C1763" t="s">
        <v>203</v>
      </c>
      <c r="D1763" t="s">
        <v>217</v>
      </c>
      <c r="E1763">
        <f>IF(LEFT(D1763,6)="CLIENT",IFERROR(VLOOKUP(C1763,Config_Carteiras!$A:$B,2,FALSE),1),"")</f>
        <v>1</v>
      </c>
      <c r="F1763" s="25">
        <v>864</v>
      </c>
      <c r="G1763" s="28">
        <f>IF(LEFT(D1763,6)="CLIENT",IF(E1763=0,WORKDAY(A1763-1,1,Dias_Sem_Compensacao!$A$2:$A$500),WORKDAY(A1763,E1763,Dias_Sem_Compensacao!$A$2:$A$500)),"")</f>
        <v>46307</v>
      </c>
      <c r="H1763" s="25">
        <v>0</v>
      </c>
      <c r="I1763" s="28">
        <v>46304</v>
      </c>
      <c r="J1763" t="s">
        <v>1692</v>
      </c>
      <c r="K1763" t="s">
        <v>1693</v>
      </c>
    </row>
    <row r="1764" spans="1:11" hidden="1">
      <c r="A1764" s="28">
        <v>46304</v>
      </c>
      <c r="B1764" t="s">
        <v>186</v>
      </c>
      <c r="C1764" t="s">
        <v>203</v>
      </c>
      <c r="D1764" t="s">
        <v>217</v>
      </c>
      <c r="E1764">
        <f>IF(LEFT(D1764,6)="CLIENT",IFERROR(VLOOKUP(C1764,Config_Carteiras!$A:$B,2,FALSE),1),"")</f>
        <v>1</v>
      </c>
      <c r="F1764" s="25">
        <v>2491.2199999999998</v>
      </c>
      <c r="G1764" s="28">
        <f>IF(LEFT(D1764,6)="CLIENT",IF(E1764=0,WORKDAY(A1764-1,1,Dias_Sem_Compensacao!$A$2:$A$500),WORKDAY(A1764,E1764,Dias_Sem_Compensacao!$A$2:$A$500)),"")</f>
        <v>46307</v>
      </c>
      <c r="H1764" s="25">
        <v>0</v>
      </c>
      <c r="I1764" s="28">
        <v>46304</v>
      </c>
      <c r="J1764" t="s">
        <v>2268</v>
      </c>
      <c r="K1764" t="s">
        <v>2269</v>
      </c>
    </row>
    <row r="1765" spans="1:11" hidden="1">
      <c r="A1765" s="28">
        <v>46304</v>
      </c>
      <c r="B1765" t="s">
        <v>186</v>
      </c>
      <c r="C1765" t="s">
        <v>203</v>
      </c>
      <c r="D1765" t="s">
        <v>217</v>
      </c>
      <c r="E1765">
        <f>IF(LEFT(D1765,6)="CLIENT",IFERROR(VLOOKUP(C1765,Config_Carteiras!$A:$B,2,FALSE),1),"")</f>
        <v>1</v>
      </c>
      <c r="F1765" s="25">
        <v>1528</v>
      </c>
      <c r="G1765" s="28">
        <f>IF(LEFT(D1765,6)="CLIENT",IF(E1765=0,WORKDAY(A1765-1,1,Dias_Sem_Compensacao!$A$2:$A$500),WORKDAY(A1765,E1765,Dias_Sem_Compensacao!$A$2:$A$500)),"")</f>
        <v>46307</v>
      </c>
      <c r="H1765" s="25">
        <v>0</v>
      </c>
      <c r="I1765" s="28">
        <v>46304</v>
      </c>
      <c r="J1765" t="s">
        <v>1694</v>
      </c>
      <c r="K1765" t="s">
        <v>1695</v>
      </c>
    </row>
    <row r="1766" spans="1:11" hidden="1">
      <c r="A1766" s="28">
        <v>46304</v>
      </c>
      <c r="B1766" t="s">
        <v>186</v>
      </c>
      <c r="C1766" t="s">
        <v>203</v>
      </c>
      <c r="D1766" t="s">
        <v>217</v>
      </c>
      <c r="E1766">
        <f>IF(LEFT(D1766,6)="CLIENT",IFERROR(VLOOKUP(C1766,Config_Carteiras!$A:$B,2,FALSE),1),"")</f>
        <v>1</v>
      </c>
      <c r="F1766" s="25">
        <v>919</v>
      </c>
      <c r="G1766" s="28">
        <f>IF(LEFT(D1766,6)="CLIENT",IF(E1766=0,WORKDAY(A1766-1,1,Dias_Sem_Compensacao!$A$2:$A$500),WORKDAY(A1766,E1766,Dias_Sem_Compensacao!$A$2:$A$500)),"")</f>
        <v>46307</v>
      </c>
      <c r="H1766" s="25">
        <v>0</v>
      </c>
      <c r="I1766" s="28">
        <v>46304</v>
      </c>
      <c r="J1766" t="s">
        <v>2270</v>
      </c>
      <c r="K1766" t="s">
        <v>2271</v>
      </c>
    </row>
    <row r="1767" spans="1:11" hidden="1">
      <c r="A1767" s="28">
        <v>46304</v>
      </c>
      <c r="B1767" t="s">
        <v>186</v>
      </c>
      <c r="C1767" t="s">
        <v>203</v>
      </c>
      <c r="D1767" t="s">
        <v>217</v>
      </c>
      <c r="E1767">
        <f>IF(LEFT(D1767,6)="CLIENT",IFERROR(VLOOKUP(C1767,Config_Carteiras!$A:$B,2,FALSE),1),"")</f>
        <v>1</v>
      </c>
      <c r="F1767" s="25">
        <v>1127</v>
      </c>
      <c r="G1767" s="28">
        <f>IF(LEFT(D1767,6)="CLIENT",IF(E1767=0,WORKDAY(A1767-1,1,Dias_Sem_Compensacao!$A$2:$A$500),WORKDAY(A1767,E1767,Dias_Sem_Compensacao!$A$2:$A$500)),"")</f>
        <v>46307</v>
      </c>
      <c r="H1767" s="25">
        <v>0</v>
      </c>
      <c r="I1767" s="28">
        <v>46304</v>
      </c>
      <c r="J1767" t="s">
        <v>2272</v>
      </c>
      <c r="K1767" t="s">
        <v>2273</v>
      </c>
    </row>
    <row r="1768" spans="1:11" hidden="1">
      <c r="A1768" s="28">
        <v>46304</v>
      </c>
      <c r="B1768" t="s">
        <v>186</v>
      </c>
      <c r="C1768" t="s">
        <v>203</v>
      </c>
      <c r="D1768" t="s">
        <v>217</v>
      </c>
      <c r="E1768">
        <f>IF(LEFT(D1768,6)="CLIENT",IFERROR(VLOOKUP(C1768,Config_Carteiras!$A:$B,2,FALSE),1),"")</f>
        <v>1</v>
      </c>
      <c r="F1768" s="25">
        <v>1651.87</v>
      </c>
      <c r="G1768" s="28">
        <f>IF(LEFT(D1768,6)="CLIENT",IF(E1768=0,WORKDAY(A1768-1,1,Dias_Sem_Compensacao!$A$2:$A$500),WORKDAY(A1768,E1768,Dias_Sem_Compensacao!$A$2:$A$500)),"")</f>
        <v>46307</v>
      </c>
      <c r="H1768" s="25">
        <v>0</v>
      </c>
      <c r="I1768" s="28">
        <v>46304</v>
      </c>
      <c r="J1768" t="s">
        <v>1344</v>
      </c>
      <c r="K1768" t="s">
        <v>1698</v>
      </c>
    </row>
    <row r="1769" spans="1:11" hidden="1">
      <c r="A1769" s="28">
        <v>46304</v>
      </c>
      <c r="B1769" t="s">
        <v>186</v>
      </c>
      <c r="C1769" t="s">
        <v>203</v>
      </c>
      <c r="D1769" t="s">
        <v>217</v>
      </c>
      <c r="E1769">
        <f>IF(LEFT(D1769,6)="CLIENT",IFERROR(VLOOKUP(C1769,Config_Carteiras!$A:$B,2,FALSE),1),"")</f>
        <v>1</v>
      </c>
      <c r="F1769" s="25">
        <v>5594</v>
      </c>
      <c r="G1769" s="28">
        <f>IF(LEFT(D1769,6)="CLIENT",IF(E1769=0,WORKDAY(A1769-1,1,Dias_Sem_Compensacao!$A$2:$A$500),WORKDAY(A1769,E1769,Dias_Sem_Compensacao!$A$2:$A$500)),"")</f>
        <v>46307</v>
      </c>
      <c r="H1769" s="25">
        <v>0</v>
      </c>
      <c r="I1769" s="28">
        <v>46304</v>
      </c>
      <c r="J1769" t="s">
        <v>1701</v>
      </c>
      <c r="K1769" t="s">
        <v>1702</v>
      </c>
    </row>
    <row r="1770" spans="1:11" hidden="1">
      <c r="A1770" s="28">
        <v>46304</v>
      </c>
      <c r="B1770" t="s">
        <v>186</v>
      </c>
      <c r="C1770" t="s">
        <v>203</v>
      </c>
      <c r="D1770" t="s">
        <v>217</v>
      </c>
      <c r="E1770">
        <f>IF(LEFT(D1770,6)="CLIENT",IFERROR(VLOOKUP(C1770,Config_Carteiras!$A:$B,2,FALSE),1),"")</f>
        <v>1</v>
      </c>
      <c r="F1770" s="25">
        <v>338</v>
      </c>
      <c r="G1770" s="28">
        <f>IF(LEFT(D1770,6)="CLIENT",IF(E1770=0,WORKDAY(A1770-1,1,Dias_Sem_Compensacao!$A$2:$A$500),WORKDAY(A1770,E1770,Dias_Sem_Compensacao!$A$2:$A$500)),"")</f>
        <v>46307</v>
      </c>
      <c r="H1770" s="25">
        <v>0</v>
      </c>
      <c r="I1770" s="28">
        <v>46304</v>
      </c>
      <c r="J1770" t="s">
        <v>2274</v>
      </c>
      <c r="K1770" t="s">
        <v>2275</v>
      </c>
    </row>
    <row r="1771" spans="1:11" hidden="1">
      <c r="A1771" s="28">
        <v>46304</v>
      </c>
      <c r="B1771" t="s">
        <v>186</v>
      </c>
      <c r="C1771" t="s">
        <v>203</v>
      </c>
      <c r="D1771" t="s">
        <v>217</v>
      </c>
      <c r="E1771">
        <f>IF(LEFT(D1771,6)="CLIENT",IFERROR(VLOOKUP(C1771,Config_Carteiras!$A:$B,2,FALSE),1),"")</f>
        <v>1</v>
      </c>
      <c r="F1771" s="25">
        <v>1201</v>
      </c>
      <c r="G1771" s="28">
        <f>IF(LEFT(D1771,6)="CLIENT",IF(E1771=0,WORKDAY(A1771-1,1,Dias_Sem_Compensacao!$A$2:$A$500),WORKDAY(A1771,E1771,Dias_Sem_Compensacao!$A$2:$A$500)),"")</f>
        <v>46307</v>
      </c>
      <c r="H1771" s="25">
        <v>0</v>
      </c>
      <c r="I1771" s="28">
        <v>46304</v>
      </c>
      <c r="J1771" t="s">
        <v>1703</v>
      </c>
      <c r="K1771" t="s">
        <v>1704</v>
      </c>
    </row>
    <row r="1772" spans="1:11" hidden="1">
      <c r="A1772" s="28">
        <v>46304</v>
      </c>
      <c r="B1772" t="s">
        <v>186</v>
      </c>
      <c r="C1772" t="s">
        <v>203</v>
      </c>
      <c r="D1772" t="s">
        <v>217</v>
      </c>
      <c r="E1772">
        <f>IF(LEFT(D1772,6)="CLIENT",IFERROR(VLOOKUP(C1772,Config_Carteiras!$A:$B,2,FALSE),1),"")</f>
        <v>1</v>
      </c>
      <c r="F1772" s="25">
        <v>1602.89</v>
      </c>
      <c r="G1772" s="28">
        <f>IF(LEFT(D1772,6)="CLIENT",IF(E1772=0,WORKDAY(A1772-1,1,Dias_Sem_Compensacao!$A$2:$A$500),WORKDAY(A1772,E1772,Dias_Sem_Compensacao!$A$2:$A$500)),"")</f>
        <v>46307</v>
      </c>
      <c r="H1772" s="25">
        <v>0</v>
      </c>
      <c r="I1772" s="28">
        <v>46304</v>
      </c>
      <c r="J1772" t="s">
        <v>1705</v>
      </c>
      <c r="K1772" t="s">
        <v>1706</v>
      </c>
    </row>
    <row r="1773" spans="1:11" hidden="1">
      <c r="A1773" s="28">
        <v>46304</v>
      </c>
      <c r="B1773" t="s">
        <v>186</v>
      </c>
      <c r="C1773" t="s">
        <v>203</v>
      </c>
      <c r="D1773" t="s">
        <v>217</v>
      </c>
      <c r="E1773">
        <f>IF(LEFT(D1773,6)="CLIENT",IFERROR(VLOOKUP(C1773,Config_Carteiras!$A:$B,2,FALSE),1),"")</f>
        <v>1</v>
      </c>
      <c r="F1773" s="25">
        <v>643</v>
      </c>
      <c r="G1773" s="28">
        <f>IF(LEFT(D1773,6)="CLIENT",IF(E1773=0,WORKDAY(A1773-1,1,Dias_Sem_Compensacao!$A$2:$A$500),WORKDAY(A1773,E1773,Dias_Sem_Compensacao!$A$2:$A$500)),"")</f>
        <v>46307</v>
      </c>
      <c r="H1773" s="25">
        <v>0</v>
      </c>
      <c r="I1773" s="28">
        <v>46304</v>
      </c>
      <c r="J1773" t="s">
        <v>1184</v>
      </c>
      <c r="K1773" t="s">
        <v>2276</v>
      </c>
    </row>
    <row r="1774" spans="1:11" hidden="1">
      <c r="A1774" s="28">
        <v>46304</v>
      </c>
      <c r="B1774" t="s">
        <v>186</v>
      </c>
      <c r="C1774" t="s">
        <v>203</v>
      </c>
      <c r="D1774" t="s">
        <v>217</v>
      </c>
      <c r="E1774">
        <f>IF(LEFT(D1774,6)="CLIENT",IFERROR(VLOOKUP(C1774,Config_Carteiras!$A:$B,2,FALSE),1),"")</f>
        <v>1</v>
      </c>
      <c r="F1774" s="25">
        <v>921.98</v>
      </c>
      <c r="G1774" s="28">
        <f>IF(LEFT(D1774,6)="CLIENT",IF(E1774=0,WORKDAY(A1774-1,1,Dias_Sem_Compensacao!$A$2:$A$500),WORKDAY(A1774,E1774,Dias_Sem_Compensacao!$A$2:$A$500)),"")</f>
        <v>46307</v>
      </c>
      <c r="H1774" s="25">
        <v>0</v>
      </c>
      <c r="I1774" s="28">
        <v>46304</v>
      </c>
      <c r="J1774" t="s">
        <v>1709</v>
      </c>
      <c r="K1774" t="s">
        <v>1710</v>
      </c>
    </row>
    <row r="1775" spans="1:11" hidden="1">
      <c r="A1775" s="28">
        <v>46304</v>
      </c>
      <c r="B1775" t="s">
        <v>186</v>
      </c>
      <c r="C1775" t="s">
        <v>203</v>
      </c>
      <c r="D1775" t="s">
        <v>217</v>
      </c>
      <c r="E1775">
        <f>IF(LEFT(D1775,6)="CLIENT",IFERROR(VLOOKUP(C1775,Config_Carteiras!$A:$B,2,FALSE),1),"")</f>
        <v>1</v>
      </c>
      <c r="F1775" s="25">
        <v>1629</v>
      </c>
      <c r="G1775" s="28">
        <f>IF(LEFT(D1775,6)="CLIENT",IF(E1775=0,WORKDAY(A1775-1,1,Dias_Sem_Compensacao!$A$2:$A$500),WORKDAY(A1775,E1775,Dias_Sem_Compensacao!$A$2:$A$500)),"")</f>
        <v>46307</v>
      </c>
      <c r="H1775" s="25">
        <v>0</v>
      </c>
      <c r="I1775" s="28">
        <v>46304</v>
      </c>
      <c r="K1775" t="s">
        <v>2277</v>
      </c>
    </row>
    <row r="1776" spans="1:11" hidden="1">
      <c r="A1776" s="28">
        <v>46304</v>
      </c>
      <c r="B1776" t="s">
        <v>186</v>
      </c>
      <c r="C1776" t="s">
        <v>203</v>
      </c>
      <c r="D1776" t="s">
        <v>217</v>
      </c>
      <c r="E1776">
        <f>IF(LEFT(D1776,6)="CLIENT",IFERROR(VLOOKUP(C1776,Config_Carteiras!$A:$B,2,FALSE),1),"")</f>
        <v>1</v>
      </c>
      <c r="F1776" s="25">
        <v>1851.31</v>
      </c>
      <c r="G1776" s="28">
        <f>IF(LEFT(D1776,6)="CLIENT",IF(E1776=0,WORKDAY(A1776-1,1,Dias_Sem_Compensacao!$A$2:$A$500),WORKDAY(A1776,E1776,Dias_Sem_Compensacao!$A$2:$A$500)),"")</f>
        <v>46307</v>
      </c>
      <c r="H1776" s="25">
        <v>0</v>
      </c>
      <c r="I1776" s="28">
        <v>46304</v>
      </c>
      <c r="J1776" t="s">
        <v>1711</v>
      </c>
      <c r="K1776" t="s">
        <v>1712</v>
      </c>
    </row>
    <row r="1777" spans="1:11" hidden="1">
      <c r="A1777" s="28">
        <v>46304</v>
      </c>
      <c r="B1777" t="s">
        <v>186</v>
      </c>
      <c r="C1777" t="s">
        <v>203</v>
      </c>
      <c r="D1777" t="s">
        <v>217</v>
      </c>
      <c r="E1777">
        <f>IF(LEFT(D1777,6)="CLIENT",IFERROR(VLOOKUP(C1777,Config_Carteiras!$A:$B,2,FALSE),1),"")</f>
        <v>1</v>
      </c>
      <c r="F1777" s="25">
        <v>733.37</v>
      </c>
      <c r="G1777" s="28">
        <f>IF(LEFT(D1777,6)="CLIENT",IF(E1777=0,WORKDAY(A1777-1,1,Dias_Sem_Compensacao!$A$2:$A$500),WORKDAY(A1777,E1777,Dias_Sem_Compensacao!$A$2:$A$500)),"")</f>
        <v>46307</v>
      </c>
      <c r="H1777" s="25">
        <v>0</v>
      </c>
      <c r="I1777" s="28">
        <v>46304</v>
      </c>
      <c r="J1777" t="s">
        <v>1715</v>
      </c>
      <c r="K1777" t="s">
        <v>1716</v>
      </c>
    </row>
    <row r="1778" spans="1:11" hidden="1">
      <c r="A1778" s="28">
        <v>46304</v>
      </c>
      <c r="B1778" t="s">
        <v>186</v>
      </c>
      <c r="C1778" t="s">
        <v>203</v>
      </c>
      <c r="D1778" t="s">
        <v>217</v>
      </c>
      <c r="E1778">
        <f>IF(LEFT(D1778,6)="CLIENT",IFERROR(VLOOKUP(C1778,Config_Carteiras!$A:$B,2,FALSE),1),"")</f>
        <v>1</v>
      </c>
      <c r="F1778" s="25">
        <v>425.44</v>
      </c>
      <c r="G1778" s="28">
        <f>IF(LEFT(D1778,6)="CLIENT",IF(E1778=0,WORKDAY(A1778-1,1,Dias_Sem_Compensacao!$A$2:$A$500),WORKDAY(A1778,E1778,Dias_Sem_Compensacao!$A$2:$A$500)),"")</f>
        <v>46307</v>
      </c>
      <c r="H1778" s="25">
        <v>0</v>
      </c>
      <c r="I1778" s="28">
        <v>46304</v>
      </c>
      <c r="J1778" t="s">
        <v>1717</v>
      </c>
      <c r="K1778" t="s">
        <v>1718</v>
      </c>
    </row>
    <row r="1779" spans="1:11" hidden="1">
      <c r="A1779" s="28">
        <v>46304</v>
      </c>
      <c r="B1779" t="s">
        <v>186</v>
      </c>
      <c r="C1779" t="s">
        <v>203</v>
      </c>
      <c r="D1779" t="s">
        <v>217</v>
      </c>
      <c r="E1779">
        <f>IF(LEFT(D1779,6)="CLIENT",IFERROR(VLOOKUP(C1779,Config_Carteiras!$A:$B,2,FALSE),1),"")</f>
        <v>1</v>
      </c>
      <c r="F1779" s="25">
        <v>1173</v>
      </c>
      <c r="G1779" s="28">
        <f>IF(LEFT(D1779,6)="CLIENT",IF(E1779=0,WORKDAY(A1779-1,1,Dias_Sem_Compensacao!$A$2:$A$500),WORKDAY(A1779,E1779,Dias_Sem_Compensacao!$A$2:$A$500)),"")</f>
        <v>46307</v>
      </c>
      <c r="H1779" s="25">
        <v>0</v>
      </c>
      <c r="I1779" s="28">
        <v>46304</v>
      </c>
      <c r="J1779" t="s">
        <v>2278</v>
      </c>
      <c r="K1779" t="s">
        <v>2279</v>
      </c>
    </row>
    <row r="1780" spans="1:11" hidden="1">
      <c r="A1780" s="28">
        <v>46304</v>
      </c>
      <c r="B1780" t="s">
        <v>186</v>
      </c>
      <c r="C1780" t="s">
        <v>203</v>
      </c>
      <c r="D1780" t="s">
        <v>217</v>
      </c>
      <c r="E1780">
        <f>IF(LEFT(D1780,6)="CLIENT",IFERROR(VLOOKUP(C1780,Config_Carteiras!$A:$B,2,FALSE),1),"")</f>
        <v>1</v>
      </c>
      <c r="F1780" s="25">
        <v>664.14</v>
      </c>
      <c r="G1780" s="28">
        <f>IF(LEFT(D1780,6)="CLIENT",IF(E1780=0,WORKDAY(A1780-1,1,Dias_Sem_Compensacao!$A$2:$A$500),WORKDAY(A1780,E1780,Dias_Sem_Compensacao!$A$2:$A$500)),"")</f>
        <v>46307</v>
      </c>
      <c r="H1780" s="25">
        <v>0</v>
      </c>
      <c r="I1780" s="28">
        <v>46304</v>
      </c>
      <c r="J1780" t="s">
        <v>1719</v>
      </c>
      <c r="K1780" t="s">
        <v>1720</v>
      </c>
    </row>
    <row r="1781" spans="1:11" hidden="1">
      <c r="A1781" s="28">
        <v>46304</v>
      </c>
      <c r="B1781" t="s">
        <v>186</v>
      </c>
      <c r="C1781" t="s">
        <v>203</v>
      </c>
      <c r="D1781" t="s">
        <v>217</v>
      </c>
      <c r="E1781">
        <f>IF(LEFT(D1781,6)="CLIENT",IFERROR(VLOOKUP(C1781,Config_Carteiras!$A:$B,2,FALSE),1),"")</f>
        <v>1</v>
      </c>
      <c r="F1781" s="25">
        <v>853.38</v>
      </c>
      <c r="G1781" s="28">
        <f>IF(LEFT(D1781,6)="CLIENT",IF(E1781=0,WORKDAY(A1781-1,1,Dias_Sem_Compensacao!$A$2:$A$500),WORKDAY(A1781,E1781,Dias_Sem_Compensacao!$A$2:$A$500)),"")</f>
        <v>46307</v>
      </c>
      <c r="H1781" s="25">
        <v>0</v>
      </c>
      <c r="I1781" s="28">
        <v>46304</v>
      </c>
      <c r="J1781" t="s">
        <v>1721</v>
      </c>
      <c r="K1781" t="s">
        <v>1722</v>
      </c>
    </row>
    <row r="1782" spans="1:11" hidden="1">
      <c r="A1782" s="28">
        <v>46304</v>
      </c>
      <c r="B1782" t="s">
        <v>186</v>
      </c>
      <c r="C1782" t="s">
        <v>203</v>
      </c>
      <c r="D1782" t="s">
        <v>217</v>
      </c>
      <c r="E1782">
        <f>IF(LEFT(D1782,6)="CLIENT",IFERROR(VLOOKUP(C1782,Config_Carteiras!$A:$B,2,FALSE),1),"")</f>
        <v>1</v>
      </c>
      <c r="F1782" s="25">
        <v>751.59</v>
      </c>
      <c r="G1782" s="28">
        <f>IF(LEFT(D1782,6)="CLIENT",IF(E1782=0,WORKDAY(A1782-1,1,Dias_Sem_Compensacao!$A$2:$A$500),WORKDAY(A1782,E1782,Dias_Sem_Compensacao!$A$2:$A$500)),"")</f>
        <v>46307</v>
      </c>
      <c r="H1782" s="25">
        <v>0</v>
      </c>
      <c r="I1782" s="28">
        <v>46304</v>
      </c>
      <c r="J1782" t="s">
        <v>2280</v>
      </c>
      <c r="K1782" t="s">
        <v>2281</v>
      </c>
    </row>
    <row r="1783" spans="1:11" hidden="1">
      <c r="A1783" s="28">
        <v>46304</v>
      </c>
      <c r="B1783" t="s">
        <v>186</v>
      </c>
      <c r="C1783" t="s">
        <v>203</v>
      </c>
      <c r="D1783" t="s">
        <v>217</v>
      </c>
      <c r="E1783">
        <f>IF(LEFT(D1783,6)="CLIENT",IFERROR(VLOOKUP(C1783,Config_Carteiras!$A:$B,2,FALSE),1),"")</f>
        <v>1</v>
      </c>
      <c r="F1783" s="25">
        <v>2822</v>
      </c>
      <c r="G1783" s="28">
        <f>IF(LEFT(D1783,6)="CLIENT",IF(E1783=0,WORKDAY(A1783-1,1,Dias_Sem_Compensacao!$A$2:$A$500),WORKDAY(A1783,E1783,Dias_Sem_Compensacao!$A$2:$A$500)),"")</f>
        <v>46307</v>
      </c>
      <c r="H1783" s="25">
        <v>0</v>
      </c>
      <c r="I1783" s="28">
        <v>46304</v>
      </c>
      <c r="J1783" t="s">
        <v>2282</v>
      </c>
      <c r="K1783" t="s">
        <v>2283</v>
      </c>
    </row>
    <row r="1784" spans="1:11" hidden="1">
      <c r="A1784" s="28">
        <v>46304</v>
      </c>
      <c r="B1784" t="s">
        <v>186</v>
      </c>
      <c r="C1784" t="s">
        <v>203</v>
      </c>
      <c r="D1784" t="s">
        <v>217</v>
      </c>
      <c r="E1784">
        <f>IF(LEFT(D1784,6)="CLIENT",IFERROR(VLOOKUP(C1784,Config_Carteiras!$A:$B,2,FALSE),1),"")</f>
        <v>1</v>
      </c>
      <c r="F1784" s="25">
        <v>1490.83</v>
      </c>
      <c r="G1784" s="28">
        <f>IF(LEFT(D1784,6)="CLIENT",IF(E1784=0,WORKDAY(A1784-1,1,Dias_Sem_Compensacao!$A$2:$A$500),WORKDAY(A1784,E1784,Dias_Sem_Compensacao!$A$2:$A$500)),"")</f>
        <v>46307</v>
      </c>
      <c r="H1784" s="25">
        <v>0</v>
      </c>
      <c r="I1784" s="28">
        <v>46304</v>
      </c>
      <c r="J1784" t="s">
        <v>1034</v>
      </c>
      <c r="K1784" t="s">
        <v>1731</v>
      </c>
    </row>
    <row r="1785" spans="1:11" hidden="1">
      <c r="A1785" s="28">
        <v>46304</v>
      </c>
      <c r="B1785" t="s">
        <v>186</v>
      </c>
      <c r="C1785" t="s">
        <v>203</v>
      </c>
      <c r="D1785" t="s">
        <v>217</v>
      </c>
      <c r="E1785">
        <f>IF(LEFT(D1785,6)="CLIENT",IFERROR(VLOOKUP(C1785,Config_Carteiras!$A:$B,2,FALSE),1),"")</f>
        <v>1</v>
      </c>
      <c r="F1785" s="25">
        <v>4295.43</v>
      </c>
      <c r="G1785" s="28">
        <f>IF(LEFT(D1785,6)="CLIENT",IF(E1785=0,WORKDAY(A1785-1,1,Dias_Sem_Compensacao!$A$2:$A$500),WORKDAY(A1785,E1785,Dias_Sem_Compensacao!$A$2:$A$500)),"")</f>
        <v>46307</v>
      </c>
      <c r="H1785" s="25">
        <v>0</v>
      </c>
      <c r="I1785" s="28">
        <v>46304</v>
      </c>
      <c r="J1785" t="s">
        <v>1732</v>
      </c>
      <c r="K1785" t="s">
        <v>1733</v>
      </c>
    </row>
    <row r="1786" spans="1:11" hidden="1">
      <c r="A1786" s="28">
        <v>46304</v>
      </c>
      <c r="B1786" t="s">
        <v>186</v>
      </c>
      <c r="C1786" t="s">
        <v>203</v>
      </c>
      <c r="D1786" t="s">
        <v>217</v>
      </c>
      <c r="E1786">
        <f>IF(LEFT(D1786,6)="CLIENT",IFERROR(VLOOKUP(C1786,Config_Carteiras!$A:$B,2,FALSE),1),"")</f>
        <v>1</v>
      </c>
      <c r="F1786" s="25">
        <v>558.91999999999996</v>
      </c>
      <c r="G1786" s="28">
        <f>IF(LEFT(D1786,6)="CLIENT",IF(E1786=0,WORKDAY(A1786-1,1,Dias_Sem_Compensacao!$A$2:$A$500),WORKDAY(A1786,E1786,Dias_Sem_Compensacao!$A$2:$A$500)),"")</f>
        <v>46307</v>
      </c>
      <c r="H1786" s="25">
        <v>0</v>
      </c>
      <c r="I1786" s="28">
        <v>46304</v>
      </c>
      <c r="J1786" t="s">
        <v>1085</v>
      </c>
      <c r="K1786" t="s">
        <v>1086</v>
      </c>
    </row>
    <row r="1787" spans="1:11" hidden="1">
      <c r="A1787" s="28">
        <v>46304</v>
      </c>
      <c r="B1787" t="s">
        <v>186</v>
      </c>
      <c r="C1787" t="s">
        <v>203</v>
      </c>
      <c r="D1787" t="s">
        <v>217</v>
      </c>
      <c r="E1787">
        <f>IF(LEFT(D1787,6)="CLIENT",IFERROR(VLOOKUP(C1787,Config_Carteiras!$A:$B,2,FALSE),1),"")</f>
        <v>1</v>
      </c>
      <c r="F1787" s="25">
        <v>628</v>
      </c>
      <c r="G1787" s="28">
        <f>IF(LEFT(D1787,6)="CLIENT",IF(E1787=0,WORKDAY(A1787-1,1,Dias_Sem_Compensacao!$A$2:$A$500),WORKDAY(A1787,E1787,Dias_Sem_Compensacao!$A$2:$A$500)),"")</f>
        <v>46307</v>
      </c>
      <c r="H1787" s="25">
        <v>0</v>
      </c>
      <c r="I1787" s="28">
        <v>46304</v>
      </c>
      <c r="J1787" t="s">
        <v>2284</v>
      </c>
      <c r="K1787" t="s">
        <v>2285</v>
      </c>
    </row>
    <row r="1788" spans="1:11" hidden="1">
      <c r="A1788" s="28">
        <v>46304</v>
      </c>
      <c r="B1788" t="s">
        <v>186</v>
      </c>
      <c r="C1788" t="s">
        <v>203</v>
      </c>
      <c r="D1788" t="s">
        <v>217</v>
      </c>
      <c r="E1788">
        <f>IF(LEFT(D1788,6)="CLIENT",IFERROR(VLOOKUP(C1788,Config_Carteiras!$A:$B,2,FALSE),1),"")</f>
        <v>1</v>
      </c>
      <c r="F1788" s="25">
        <v>1347</v>
      </c>
      <c r="G1788" s="28">
        <f>IF(LEFT(D1788,6)="CLIENT",IF(E1788=0,WORKDAY(A1788-1,1,Dias_Sem_Compensacao!$A$2:$A$500),WORKDAY(A1788,E1788,Dias_Sem_Compensacao!$A$2:$A$500)),"")</f>
        <v>46307</v>
      </c>
      <c r="H1788" s="25">
        <v>0</v>
      </c>
      <c r="I1788" s="28">
        <v>46304</v>
      </c>
      <c r="J1788" t="s">
        <v>2286</v>
      </c>
      <c r="K1788" t="s">
        <v>2287</v>
      </c>
    </row>
    <row r="1789" spans="1:11" hidden="1">
      <c r="A1789" s="28">
        <v>46304</v>
      </c>
      <c r="B1789" t="s">
        <v>186</v>
      </c>
      <c r="C1789" t="s">
        <v>203</v>
      </c>
      <c r="D1789" t="s">
        <v>217</v>
      </c>
      <c r="E1789">
        <f>IF(LEFT(D1789,6)="CLIENT",IFERROR(VLOOKUP(C1789,Config_Carteiras!$A:$B,2,FALSE),1),"")</f>
        <v>1</v>
      </c>
      <c r="F1789" s="25">
        <v>710</v>
      </c>
      <c r="G1789" s="28">
        <f>IF(LEFT(D1789,6)="CLIENT",IF(E1789=0,WORKDAY(A1789-1,1,Dias_Sem_Compensacao!$A$2:$A$500),WORKDAY(A1789,E1789,Dias_Sem_Compensacao!$A$2:$A$500)),"")</f>
        <v>46307</v>
      </c>
      <c r="H1789" s="25">
        <v>0</v>
      </c>
      <c r="I1789" s="28">
        <v>46304</v>
      </c>
      <c r="J1789" t="s">
        <v>1740</v>
      </c>
      <c r="K1789" t="s">
        <v>1741</v>
      </c>
    </row>
    <row r="1790" spans="1:11" hidden="1">
      <c r="A1790" s="28">
        <v>46304</v>
      </c>
      <c r="B1790" t="s">
        <v>186</v>
      </c>
      <c r="C1790" t="s">
        <v>203</v>
      </c>
      <c r="D1790" t="s">
        <v>217</v>
      </c>
      <c r="E1790">
        <f>IF(LEFT(D1790,6)="CLIENT",IFERROR(VLOOKUP(C1790,Config_Carteiras!$A:$B,2,FALSE),1),"")</f>
        <v>1</v>
      </c>
      <c r="F1790" s="25">
        <v>827.26</v>
      </c>
      <c r="G1790" s="28">
        <f>IF(LEFT(D1790,6)="CLIENT",IF(E1790=0,WORKDAY(A1790-1,1,Dias_Sem_Compensacao!$A$2:$A$500),WORKDAY(A1790,E1790,Dias_Sem_Compensacao!$A$2:$A$500)),"")</f>
        <v>46307</v>
      </c>
      <c r="H1790" s="25">
        <v>0</v>
      </c>
      <c r="I1790" s="28">
        <v>46304</v>
      </c>
      <c r="J1790" t="s">
        <v>2288</v>
      </c>
      <c r="K1790" t="s">
        <v>2289</v>
      </c>
    </row>
    <row r="1791" spans="1:11" hidden="1">
      <c r="A1791" s="28">
        <v>46304</v>
      </c>
      <c r="B1791" t="s">
        <v>186</v>
      </c>
      <c r="C1791" t="s">
        <v>203</v>
      </c>
      <c r="D1791" t="s">
        <v>217</v>
      </c>
      <c r="E1791">
        <f>IF(LEFT(D1791,6)="CLIENT",IFERROR(VLOOKUP(C1791,Config_Carteiras!$A:$B,2,FALSE),1),"")</f>
        <v>1</v>
      </c>
      <c r="F1791" s="25">
        <v>449.61</v>
      </c>
      <c r="G1791" s="28">
        <f>IF(LEFT(D1791,6)="CLIENT",IF(E1791=0,WORKDAY(A1791-1,1,Dias_Sem_Compensacao!$A$2:$A$500),WORKDAY(A1791,E1791,Dias_Sem_Compensacao!$A$2:$A$500)),"")</f>
        <v>46307</v>
      </c>
      <c r="H1791" s="25">
        <v>0</v>
      </c>
      <c r="I1791" s="28">
        <v>46304</v>
      </c>
      <c r="J1791" t="s">
        <v>2290</v>
      </c>
      <c r="K1791" t="s">
        <v>2291</v>
      </c>
    </row>
    <row r="1792" spans="1:11" hidden="1">
      <c r="A1792" s="28">
        <v>46304</v>
      </c>
      <c r="B1792" t="s">
        <v>186</v>
      </c>
      <c r="C1792" t="s">
        <v>203</v>
      </c>
      <c r="D1792" t="s">
        <v>217</v>
      </c>
      <c r="E1792">
        <f>IF(LEFT(D1792,6)="CLIENT",IFERROR(VLOOKUP(C1792,Config_Carteiras!$A:$B,2,FALSE),1),"")</f>
        <v>1</v>
      </c>
      <c r="F1792" s="25">
        <v>838.72</v>
      </c>
      <c r="G1792" s="28">
        <f>IF(LEFT(D1792,6)="CLIENT",IF(E1792=0,WORKDAY(A1792-1,1,Dias_Sem_Compensacao!$A$2:$A$500),WORKDAY(A1792,E1792,Dias_Sem_Compensacao!$A$2:$A$500)),"")</f>
        <v>46307</v>
      </c>
      <c r="H1792" s="25">
        <v>0</v>
      </c>
      <c r="I1792" s="28">
        <v>46304</v>
      </c>
      <c r="J1792" t="s">
        <v>1742</v>
      </c>
      <c r="K1792" t="s">
        <v>1743</v>
      </c>
    </row>
    <row r="1793" spans="1:11" hidden="1">
      <c r="A1793" s="28">
        <v>46304</v>
      </c>
      <c r="B1793" t="s">
        <v>186</v>
      </c>
      <c r="C1793" t="s">
        <v>203</v>
      </c>
      <c r="D1793" t="s">
        <v>217</v>
      </c>
      <c r="E1793">
        <f>IF(LEFT(D1793,6)="CLIENT",IFERROR(VLOOKUP(C1793,Config_Carteiras!$A:$B,2,FALSE),1),"")</f>
        <v>1</v>
      </c>
      <c r="F1793" s="25">
        <v>1687</v>
      </c>
      <c r="G1793" s="28">
        <f>IF(LEFT(D1793,6)="CLIENT",IF(E1793=0,WORKDAY(A1793-1,1,Dias_Sem_Compensacao!$A$2:$A$500),WORKDAY(A1793,E1793,Dias_Sem_Compensacao!$A$2:$A$500)),"")</f>
        <v>46307</v>
      </c>
      <c r="H1793" s="25">
        <v>0</v>
      </c>
      <c r="I1793" s="28">
        <v>46304</v>
      </c>
      <c r="J1793" t="s">
        <v>316</v>
      </c>
      <c r="K1793" t="s">
        <v>2292</v>
      </c>
    </row>
    <row r="1794" spans="1:11" hidden="1">
      <c r="A1794" s="28">
        <v>46304</v>
      </c>
      <c r="B1794" t="s">
        <v>186</v>
      </c>
      <c r="C1794" t="s">
        <v>203</v>
      </c>
      <c r="D1794" t="s">
        <v>217</v>
      </c>
      <c r="E1794">
        <f>IF(LEFT(D1794,6)="CLIENT",IFERROR(VLOOKUP(C1794,Config_Carteiras!$A:$B,2,FALSE),1),"")</f>
        <v>1</v>
      </c>
      <c r="F1794" s="25">
        <v>1309</v>
      </c>
      <c r="G1794" s="28">
        <f>IF(LEFT(D1794,6)="CLIENT",IF(E1794=0,WORKDAY(A1794-1,1,Dias_Sem_Compensacao!$A$2:$A$500),WORKDAY(A1794,E1794,Dias_Sem_Compensacao!$A$2:$A$500)),"")</f>
        <v>46307</v>
      </c>
      <c r="H1794" s="25">
        <v>0</v>
      </c>
      <c r="I1794" s="28">
        <v>46304</v>
      </c>
      <c r="J1794" t="s">
        <v>2293</v>
      </c>
      <c r="K1794" t="s">
        <v>2294</v>
      </c>
    </row>
    <row r="1795" spans="1:11" hidden="1">
      <c r="A1795" s="28">
        <v>46304</v>
      </c>
      <c r="B1795" t="s">
        <v>186</v>
      </c>
      <c r="C1795" t="s">
        <v>203</v>
      </c>
      <c r="D1795" t="s">
        <v>217</v>
      </c>
      <c r="E1795">
        <f>IF(LEFT(D1795,6)="CLIENT",IFERROR(VLOOKUP(C1795,Config_Carteiras!$A:$B,2,FALSE),1),"")</f>
        <v>1</v>
      </c>
      <c r="F1795" s="25">
        <v>1457.05</v>
      </c>
      <c r="G1795" s="28">
        <f>IF(LEFT(D1795,6)="CLIENT",IF(E1795=0,WORKDAY(A1795-1,1,Dias_Sem_Compensacao!$A$2:$A$500),WORKDAY(A1795,E1795,Dias_Sem_Compensacao!$A$2:$A$500)),"")</f>
        <v>46307</v>
      </c>
      <c r="H1795" s="25">
        <v>0</v>
      </c>
      <c r="I1795" s="28">
        <v>46304</v>
      </c>
      <c r="J1795" t="s">
        <v>1746</v>
      </c>
      <c r="K1795" t="s">
        <v>1747</v>
      </c>
    </row>
    <row r="1796" spans="1:11" hidden="1">
      <c r="A1796" s="28">
        <v>46304</v>
      </c>
      <c r="B1796" t="s">
        <v>186</v>
      </c>
      <c r="C1796" t="s">
        <v>203</v>
      </c>
      <c r="D1796" t="s">
        <v>217</v>
      </c>
      <c r="E1796">
        <f>IF(LEFT(D1796,6)="CLIENT",IFERROR(VLOOKUP(C1796,Config_Carteiras!$A:$B,2,FALSE),1),"")</f>
        <v>1</v>
      </c>
      <c r="F1796" s="25">
        <v>3905</v>
      </c>
      <c r="G1796" s="28">
        <f>IF(LEFT(D1796,6)="CLIENT",IF(E1796=0,WORKDAY(A1796-1,1,Dias_Sem_Compensacao!$A$2:$A$500),WORKDAY(A1796,E1796,Dias_Sem_Compensacao!$A$2:$A$500)),"")</f>
        <v>46307</v>
      </c>
      <c r="H1796" s="25">
        <v>0</v>
      </c>
      <c r="I1796" s="28">
        <v>46304</v>
      </c>
      <c r="J1796" t="s">
        <v>2295</v>
      </c>
      <c r="K1796" t="s">
        <v>2296</v>
      </c>
    </row>
    <row r="1797" spans="1:11" hidden="1">
      <c r="A1797" s="28">
        <v>46304</v>
      </c>
      <c r="B1797" t="s">
        <v>186</v>
      </c>
      <c r="C1797" t="s">
        <v>203</v>
      </c>
      <c r="D1797" t="s">
        <v>217</v>
      </c>
      <c r="E1797">
        <f>IF(LEFT(D1797,6)="CLIENT",IFERROR(VLOOKUP(C1797,Config_Carteiras!$A:$B,2,FALSE),1),"")</f>
        <v>1</v>
      </c>
      <c r="F1797" s="25">
        <v>1221</v>
      </c>
      <c r="G1797" s="28">
        <f>IF(LEFT(D1797,6)="CLIENT",IF(E1797=0,WORKDAY(A1797-1,1,Dias_Sem_Compensacao!$A$2:$A$500),WORKDAY(A1797,E1797,Dias_Sem_Compensacao!$A$2:$A$500)),"")</f>
        <v>46307</v>
      </c>
      <c r="H1797" s="25">
        <v>0</v>
      </c>
      <c r="I1797" s="28">
        <v>46304</v>
      </c>
      <c r="J1797" t="s">
        <v>2297</v>
      </c>
      <c r="K1797" t="s">
        <v>2298</v>
      </c>
    </row>
    <row r="1798" spans="1:11" hidden="1">
      <c r="A1798" s="28">
        <v>46304</v>
      </c>
      <c r="B1798" t="s">
        <v>186</v>
      </c>
      <c r="C1798" t="s">
        <v>203</v>
      </c>
      <c r="D1798" t="s">
        <v>217</v>
      </c>
      <c r="E1798">
        <f>IF(LEFT(D1798,6)="CLIENT",IFERROR(VLOOKUP(C1798,Config_Carteiras!$A:$B,2,FALSE),1),"")</f>
        <v>1</v>
      </c>
      <c r="F1798" s="25">
        <v>1797</v>
      </c>
      <c r="G1798" s="28">
        <f>IF(LEFT(D1798,6)="CLIENT",IF(E1798=0,WORKDAY(A1798-1,1,Dias_Sem_Compensacao!$A$2:$A$500),WORKDAY(A1798,E1798,Dias_Sem_Compensacao!$A$2:$A$500)),"")</f>
        <v>46307</v>
      </c>
      <c r="H1798" s="25">
        <v>0</v>
      </c>
      <c r="I1798" s="28">
        <v>46304</v>
      </c>
      <c r="J1798" t="s">
        <v>1748</v>
      </c>
      <c r="K1798" t="s">
        <v>1749</v>
      </c>
    </row>
    <row r="1799" spans="1:11" hidden="1">
      <c r="A1799" s="28">
        <v>46304</v>
      </c>
      <c r="B1799" t="s">
        <v>186</v>
      </c>
      <c r="C1799" t="s">
        <v>203</v>
      </c>
      <c r="D1799" t="s">
        <v>217</v>
      </c>
      <c r="E1799">
        <f>IF(LEFT(D1799,6)="CLIENT",IFERROR(VLOOKUP(C1799,Config_Carteiras!$A:$B,2,FALSE),1),"")</f>
        <v>1</v>
      </c>
      <c r="F1799" s="25">
        <v>350.71</v>
      </c>
      <c r="G1799" s="28">
        <f>IF(LEFT(D1799,6)="CLIENT",IF(E1799=0,WORKDAY(A1799-1,1,Dias_Sem_Compensacao!$A$2:$A$500),WORKDAY(A1799,E1799,Dias_Sem_Compensacao!$A$2:$A$500)),"")</f>
        <v>46307</v>
      </c>
      <c r="H1799" s="25">
        <v>0</v>
      </c>
      <c r="I1799" s="28">
        <v>46304</v>
      </c>
      <c r="J1799" t="s">
        <v>1750</v>
      </c>
      <c r="K1799" t="s">
        <v>1751</v>
      </c>
    </row>
    <row r="1800" spans="1:11" hidden="1">
      <c r="A1800" s="28">
        <v>46304</v>
      </c>
      <c r="B1800" t="s">
        <v>186</v>
      </c>
      <c r="C1800" t="s">
        <v>203</v>
      </c>
      <c r="D1800" t="s">
        <v>217</v>
      </c>
      <c r="E1800">
        <f>IF(LEFT(D1800,6)="CLIENT",IFERROR(VLOOKUP(C1800,Config_Carteiras!$A:$B,2,FALSE),1),"")</f>
        <v>1</v>
      </c>
      <c r="F1800" s="25">
        <v>598</v>
      </c>
      <c r="G1800" s="28">
        <f>IF(LEFT(D1800,6)="CLIENT",IF(E1800=0,WORKDAY(A1800-1,1,Dias_Sem_Compensacao!$A$2:$A$500),WORKDAY(A1800,E1800,Dias_Sem_Compensacao!$A$2:$A$500)),"")</f>
        <v>46307</v>
      </c>
      <c r="H1800" s="25">
        <v>0</v>
      </c>
      <c r="I1800" s="28">
        <v>46304</v>
      </c>
      <c r="J1800" t="s">
        <v>2299</v>
      </c>
      <c r="K1800" t="s">
        <v>2300</v>
      </c>
    </row>
    <row r="1801" spans="1:11" hidden="1">
      <c r="A1801" s="28">
        <v>46304</v>
      </c>
      <c r="B1801" t="s">
        <v>186</v>
      </c>
      <c r="C1801" t="s">
        <v>203</v>
      </c>
      <c r="D1801" t="s">
        <v>217</v>
      </c>
      <c r="E1801">
        <f>IF(LEFT(D1801,6)="CLIENT",IFERROR(VLOOKUP(C1801,Config_Carteiras!$A:$B,2,FALSE),1),"")</f>
        <v>1</v>
      </c>
      <c r="F1801" s="25">
        <v>2196</v>
      </c>
      <c r="G1801" s="28">
        <f>IF(LEFT(D1801,6)="CLIENT",IF(E1801=0,WORKDAY(A1801-1,1,Dias_Sem_Compensacao!$A$2:$A$500),WORKDAY(A1801,E1801,Dias_Sem_Compensacao!$A$2:$A$500)),"")</f>
        <v>46307</v>
      </c>
      <c r="H1801" s="25">
        <v>0</v>
      </c>
      <c r="I1801" s="28">
        <v>46304</v>
      </c>
      <c r="J1801" t="s">
        <v>2301</v>
      </c>
      <c r="K1801" t="s">
        <v>2302</v>
      </c>
    </row>
    <row r="1802" spans="1:11" hidden="1">
      <c r="A1802" s="28">
        <v>46304</v>
      </c>
      <c r="B1802" t="s">
        <v>186</v>
      </c>
      <c r="C1802" t="s">
        <v>203</v>
      </c>
      <c r="D1802" t="s">
        <v>217</v>
      </c>
      <c r="E1802">
        <f>IF(LEFT(D1802,6)="CLIENT",IFERROR(VLOOKUP(C1802,Config_Carteiras!$A:$B,2,FALSE),1),"")</f>
        <v>1</v>
      </c>
      <c r="F1802" s="25">
        <v>1022.2</v>
      </c>
      <c r="G1802" s="28">
        <f>IF(LEFT(D1802,6)="CLIENT",IF(E1802=0,WORKDAY(A1802-1,1,Dias_Sem_Compensacao!$A$2:$A$500),WORKDAY(A1802,E1802,Dias_Sem_Compensacao!$A$2:$A$500)),"")</f>
        <v>46307</v>
      </c>
      <c r="H1802" s="25">
        <v>0</v>
      </c>
      <c r="I1802" s="28">
        <v>46304</v>
      </c>
      <c r="J1802" t="s">
        <v>1752</v>
      </c>
      <c r="K1802" t="s">
        <v>1753</v>
      </c>
    </row>
    <row r="1803" spans="1:11" hidden="1">
      <c r="A1803" s="28">
        <v>46304</v>
      </c>
      <c r="B1803" t="s">
        <v>186</v>
      </c>
      <c r="C1803" t="s">
        <v>203</v>
      </c>
      <c r="D1803" t="s">
        <v>217</v>
      </c>
      <c r="E1803">
        <f>IF(LEFT(D1803,6)="CLIENT",IFERROR(VLOOKUP(C1803,Config_Carteiras!$A:$B,2,FALSE),1),"")</f>
        <v>1</v>
      </c>
      <c r="F1803" s="25">
        <v>655</v>
      </c>
      <c r="G1803" s="28">
        <f>IF(LEFT(D1803,6)="CLIENT",IF(E1803=0,WORKDAY(A1803-1,1,Dias_Sem_Compensacao!$A$2:$A$500),WORKDAY(A1803,E1803,Dias_Sem_Compensacao!$A$2:$A$500)),"")</f>
        <v>46307</v>
      </c>
      <c r="H1803" s="25">
        <v>0</v>
      </c>
      <c r="I1803" s="28">
        <v>46304</v>
      </c>
      <c r="J1803" t="s">
        <v>2303</v>
      </c>
      <c r="K1803" t="s">
        <v>2304</v>
      </c>
    </row>
    <row r="1804" spans="1:11" hidden="1">
      <c r="A1804" s="28">
        <v>46304</v>
      </c>
      <c r="B1804" t="s">
        <v>186</v>
      </c>
      <c r="C1804" t="s">
        <v>203</v>
      </c>
      <c r="D1804" t="s">
        <v>217</v>
      </c>
      <c r="E1804">
        <f>IF(LEFT(D1804,6)="CLIENT",IFERROR(VLOOKUP(C1804,Config_Carteiras!$A:$B,2,FALSE),1),"")</f>
        <v>1</v>
      </c>
      <c r="F1804" s="25">
        <v>880</v>
      </c>
      <c r="G1804" s="28">
        <f>IF(LEFT(D1804,6)="CLIENT",IF(E1804=0,WORKDAY(A1804-1,1,Dias_Sem_Compensacao!$A$2:$A$500),WORKDAY(A1804,E1804,Dias_Sem_Compensacao!$A$2:$A$500)),"")</f>
        <v>46307</v>
      </c>
      <c r="H1804" s="25">
        <v>0</v>
      </c>
      <c r="I1804" s="28">
        <v>46304</v>
      </c>
      <c r="J1804" t="s">
        <v>2305</v>
      </c>
      <c r="K1804" t="s">
        <v>2306</v>
      </c>
    </row>
    <row r="1805" spans="1:11" hidden="1">
      <c r="A1805" s="28">
        <v>46304</v>
      </c>
      <c r="B1805" t="s">
        <v>186</v>
      </c>
      <c r="C1805" t="s">
        <v>203</v>
      </c>
      <c r="D1805" t="s">
        <v>217</v>
      </c>
      <c r="E1805">
        <f>IF(LEFT(D1805,6)="CLIENT",IFERROR(VLOOKUP(C1805,Config_Carteiras!$A:$B,2,FALSE),1),"")</f>
        <v>1</v>
      </c>
      <c r="F1805" s="25">
        <v>1515</v>
      </c>
      <c r="G1805" s="28">
        <f>IF(LEFT(D1805,6)="CLIENT",IF(E1805=0,WORKDAY(A1805-1,1,Dias_Sem_Compensacao!$A$2:$A$500),WORKDAY(A1805,E1805,Dias_Sem_Compensacao!$A$2:$A$500)),"")</f>
        <v>46307</v>
      </c>
      <c r="H1805" s="25">
        <v>0</v>
      </c>
      <c r="I1805" s="28">
        <v>46304</v>
      </c>
      <c r="J1805" t="s">
        <v>2307</v>
      </c>
      <c r="K1805" t="s">
        <v>2308</v>
      </c>
    </row>
    <row r="1806" spans="1:11" hidden="1">
      <c r="A1806" s="28">
        <v>46304</v>
      </c>
      <c r="B1806" t="s">
        <v>186</v>
      </c>
      <c r="C1806" t="s">
        <v>203</v>
      </c>
      <c r="D1806" t="s">
        <v>217</v>
      </c>
      <c r="E1806">
        <f>IF(LEFT(D1806,6)="CLIENT",IFERROR(VLOOKUP(C1806,Config_Carteiras!$A:$B,2,FALSE),1),"")</f>
        <v>1</v>
      </c>
      <c r="F1806" s="25">
        <v>868.09</v>
      </c>
      <c r="G1806" s="28">
        <f>IF(LEFT(D1806,6)="CLIENT",IF(E1806=0,WORKDAY(A1806-1,1,Dias_Sem_Compensacao!$A$2:$A$500),WORKDAY(A1806,E1806,Dias_Sem_Compensacao!$A$2:$A$500)),"")</f>
        <v>46307</v>
      </c>
      <c r="H1806" s="25">
        <v>0</v>
      </c>
      <c r="I1806" s="28">
        <v>46304</v>
      </c>
      <c r="J1806" t="s">
        <v>1764</v>
      </c>
      <c r="K1806" t="s">
        <v>1765</v>
      </c>
    </row>
    <row r="1807" spans="1:11" hidden="1">
      <c r="A1807" s="28">
        <v>46304</v>
      </c>
      <c r="B1807" t="s">
        <v>186</v>
      </c>
      <c r="C1807" t="s">
        <v>203</v>
      </c>
      <c r="D1807" t="s">
        <v>217</v>
      </c>
      <c r="E1807">
        <f>IF(LEFT(D1807,6)="CLIENT",IFERROR(VLOOKUP(C1807,Config_Carteiras!$A:$B,2,FALSE),1),"")</f>
        <v>1</v>
      </c>
      <c r="F1807" s="25">
        <v>1549</v>
      </c>
      <c r="G1807" s="28">
        <f>IF(LEFT(D1807,6)="CLIENT",IF(E1807=0,WORKDAY(A1807-1,1,Dias_Sem_Compensacao!$A$2:$A$500),WORKDAY(A1807,E1807,Dias_Sem_Compensacao!$A$2:$A$500)),"")</f>
        <v>46307</v>
      </c>
      <c r="H1807" s="25">
        <v>0</v>
      </c>
      <c r="I1807" s="28">
        <v>46304</v>
      </c>
      <c r="J1807" t="s">
        <v>1766</v>
      </c>
      <c r="K1807" t="s">
        <v>1767</v>
      </c>
    </row>
    <row r="1808" spans="1:11" hidden="1">
      <c r="A1808" s="28">
        <v>46304</v>
      </c>
      <c r="B1808" t="s">
        <v>186</v>
      </c>
      <c r="C1808" t="s">
        <v>203</v>
      </c>
      <c r="D1808" t="s">
        <v>217</v>
      </c>
      <c r="E1808">
        <f>IF(LEFT(D1808,6)="CLIENT",IFERROR(VLOOKUP(C1808,Config_Carteiras!$A:$B,2,FALSE),1),"")</f>
        <v>1</v>
      </c>
      <c r="F1808" s="25">
        <v>1801.15</v>
      </c>
      <c r="G1808" s="28">
        <f>IF(LEFT(D1808,6)="CLIENT",IF(E1808=0,WORKDAY(A1808-1,1,Dias_Sem_Compensacao!$A$2:$A$500),WORKDAY(A1808,E1808,Dias_Sem_Compensacao!$A$2:$A$500)),"")</f>
        <v>46307</v>
      </c>
      <c r="H1808" s="25">
        <v>0</v>
      </c>
      <c r="I1808" s="28">
        <v>46304</v>
      </c>
      <c r="J1808" t="s">
        <v>1768</v>
      </c>
      <c r="K1808" t="s">
        <v>1769</v>
      </c>
    </row>
    <row r="1809" spans="1:11" hidden="1">
      <c r="A1809" s="28">
        <v>46304</v>
      </c>
      <c r="B1809" t="s">
        <v>186</v>
      </c>
      <c r="C1809" t="s">
        <v>203</v>
      </c>
      <c r="D1809" t="s">
        <v>217</v>
      </c>
      <c r="E1809">
        <f>IF(LEFT(D1809,6)="CLIENT",IFERROR(VLOOKUP(C1809,Config_Carteiras!$A:$B,2,FALSE),1),"")</f>
        <v>1</v>
      </c>
      <c r="F1809" s="25">
        <v>5013.72</v>
      </c>
      <c r="G1809" s="28">
        <f>IF(LEFT(D1809,6)="CLIENT",IF(E1809=0,WORKDAY(A1809-1,1,Dias_Sem_Compensacao!$A$2:$A$500),WORKDAY(A1809,E1809,Dias_Sem_Compensacao!$A$2:$A$500)),"")</f>
        <v>46307</v>
      </c>
      <c r="H1809" s="25">
        <v>0</v>
      </c>
      <c r="I1809" s="28">
        <v>46304</v>
      </c>
      <c r="J1809" t="s">
        <v>1770</v>
      </c>
      <c r="K1809" t="s">
        <v>1771</v>
      </c>
    </row>
    <row r="1810" spans="1:11" hidden="1">
      <c r="A1810" s="28">
        <v>46304</v>
      </c>
      <c r="B1810" t="s">
        <v>186</v>
      </c>
      <c r="C1810" t="s">
        <v>203</v>
      </c>
      <c r="D1810" t="s">
        <v>217</v>
      </c>
      <c r="E1810">
        <f>IF(LEFT(D1810,6)="CLIENT",IFERROR(VLOOKUP(C1810,Config_Carteiras!$A:$B,2,FALSE),1),"")</f>
        <v>1</v>
      </c>
      <c r="F1810" s="25">
        <v>1458.31</v>
      </c>
      <c r="G1810" s="28">
        <f>IF(LEFT(D1810,6)="CLIENT",IF(E1810=0,WORKDAY(A1810-1,1,Dias_Sem_Compensacao!$A$2:$A$500),WORKDAY(A1810,E1810,Dias_Sem_Compensacao!$A$2:$A$500)),"")</f>
        <v>46307</v>
      </c>
      <c r="H1810" s="25">
        <v>0</v>
      </c>
      <c r="I1810" s="28">
        <v>46304</v>
      </c>
      <c r="J1810" t="s">
        <v>2309</v>
      </c>
      <c r="K1810" t="s">
        <v>2310</v>
      </c>
    </row>
    <row r="1811" spans="1:11" hidden="1">
      <c r="A1811" s="28">
        <v>46304</v>
      </c>
      <c r="B1811" t="s">
        <v>186</v>
      </c>
      <c r="C1811" t="s">
        <v>203</v>
      </c>
      <c r="D1811" t="s">
        <v>217</v>
      </c>
      <c r="E1811">
        <f>IF(LEFT(D1811,6)="CLIENT",IFERROR(VLOOKUP(C1811,Config_Carteiras!$A:$B,2,FALSE),1),"")</f>
        <v>1</v>
      </c>
      <c r="F1811" s="25">
        <v>1750</v>
      </c>
      <c r="G1811" s="28">
        <f>IF(LEFT(D1811,6)="CLIENT",IF(E1811=0,WORKDAY(A1811-1,1,Dias_Sem_Compensacao!$A$2:$A$500),WORKDAY(A1811,E1811,Dias_Sem_Compensacao!$A$2:$A$500)),"")</f>
        <v>46307</v>
      </c>
      <c r="H1811" s="25">
        <v>0</v>
      </c>
      <c r="I1811" s="28">
        <v>46304</v>
      </c>
      <c r="J1811" t="s">
        <v>1772</v>
      </c>
      <c r="K1811" t="s">
        <v>1773</v>
      </c>
    </row>
    <row r="1812" spans="1:11" hidden="1">
      <c r="A1812" s="28">
        <v>46304</v>
      </c>
      <c r="B1812" t="s">
        <v>186</v>
      </c>
      <c r="C1812" t="s">
        <v>203</v>
      </c>
      <c r="D1812" t="s">
        <v>217</v>
      </c>
      <c r="E1812">
        <f>IF(LEFT(D1812,6)="CLIENT",IFERROR(VLOOKUP(C1812,Config_Carteiras!$A:$B,2,FALSE),1),"")</f>
        <v>1</v>
      </c>
      <c r="F1812" s="25">
        <v>2429.77</v>
      </c>
      <c r="G1812" s="28">
        <f>IF(LEFT(D1812,6)="CLIENT",IF(E1812=0,WORKDAY(A1812-1,1,Dias_Sem_Compensacao!$A$2:$A$500),WORKDAY(A1812,E1812,Dias_Sem_Compensacao!$A$2:$A$500)),"")</f>
        <v>46307</v>
      </c>
      <c r="H1812" s="25">
        <v>0</v>
      </c>
      <c r="I1812" s="28">
        <v>46304</v>
      </c>
      <c r="J1812" t="s">
        <v>1774</v>
      </c>
      <c r="K1812" t="s">
        <v>1775</v>
      </c>
    </row>
    <row r="1813" spans="1:11" hidden="1">
      <c r="A1813" s="28">
        <v>46304</v>
      </c>
      <c r="B1813" t="s">
        <v>186</v>
      </c>
      <c r="C1813" t="s">
        <v>203</v>
      </c>
      <c r="D1813" t="s">
        <v>217</v>
      </c>
      <c r="E1813">
        <f>IF(LEFT(D1813,6)="CLIENT",IFERROR(VLOOKUP(C1813,Config_Carteiras!$A:$B,2,FALSE),1),"")</f>
        <v>1</v>
      </c>
      <c r="F1813" s="25">
        <v>17391</v>
      </c>
      <c r="G1813" s="28">
        <f>IF(LEFT(D1813,6)="CLIENT",IF(E1813=0,WORKDAY(A1813-1,1,Dias_Sem_Compensacao!$A$2:$A$500),WORKDAY(A1813,E1813,Dias_Sem_Compensacao!$A$2:$A$500)),"")</f>
        <v>46307</v>
      </c>
      <c r="H1813" s="25">
        <v>0</v>
      </c>
      <c r="I1813" s="28">
        <v>46304</v>
      </c>
      <c r="J1813" t="s">
        <v>1776</v>
      </c>
      <c r="K1813" t="s">
        <v>1777</v>
      </c>
    </row>
    <row r="1814" spans="1:11" hidden="1">
      <c r="A1814" s="28">
        <v>46304</v>
      </c>
      <c r="B1814" t="s">
        <v>186</v>
      </c>
      <c r="C1814" t="s">
        <v>203</v>
      </c>
      <c r="D1814" t="s">
        <v>217</v>
      </c>
      <c r="E1814">
        <f>IF(LEFT(D1814,6)="CLIENT",IFERROR(VLOOKUP(C1814,Config_Carteiras!$A:$B,2,FALSE),1),"")</f>
        <v>1</v>
      </c>
      <c r="F1814" s="25">
        <v>1553.92</v>
      </c>
      <c r="G1814" s="28">
        <f>IF(LEFT(D1814,6)="CLIENT",IF(E1814=0,WORKDAY(A1814-1,1,Dias_Sem_Compensacao!$A$2:$A$500),WORKDAY(A1814,E1814,Dias_Sem_Compensacao!$A$2:$A$500)),"")</f>
        <v>46307</v>
      </c>
      <c r="H1814" s="25">
        <v>0</v>
      </c>
      <c r="I1814" s="28">
        <v>46304</v>
      </c>
      <c r="J1814" t="s">
        <v>2311</v>
      </c>
      <c r="K1814" t="s">
        <v>2312</v>
      </c>
    </row>
    <row r="1815" spans="1:11" hidden="1">
      <c r="A1815" s="28">
        <v>46304</v>
      </c>
      <c r="B1815" t="s">
        <v>186</v>
      </c>
      <c r="C1815" t="s">
        <v>203</v>
      </c>
      <c r="D1815" t="s">
        <v>217</v>
      </c>
      <c r="E1815">
        <f>IF(LEFT(D1815,6)="CLIENT",IFERROR(VLOOKUP(C1815,Config_Carteiras!$A:$B,2,FALSE),1),"")</f>
        <v>1</v>
      </c>
      <c r="F1815" s="25">
        <v>494</v>
      </c>
      <c r="G1815" s="28">
        <f>IF(LEFT(D1815,6)="CLIENT",IF(E1815=0,WORKDAY(A1815-1,1,Dias_Sem_Compensacao!$A$2:$A$500),WORKDAY(A1815,E1815,Dias_Sem_Compensacao!$A$2:$A$500)),"")</f>
        <v>46307</v>
      </c>
      <c r="H1815" s="25">
        <v>0</v>
      </c>
      <c r="I1815" s="28">
        <v>46304</v>
      </c>
      <c r="J1815" t="s">
        <v>2313</v>
      </c>
      <c r="K1815" t="s">
        <v>2314</v>
      </c>
    </row>
    <row r="1816" spans="1:11" hidden="1">
      <c r="A1816" s="28">
        <v>46304</v>
      </c>
      <c r="B1816" t="s">
        <v>186</v>
      </c>
      <c r="C1816" t="s">
        <v>203</v>
      </c>
      <c r="D1816" t="s">
        <v>217</v>
      </c>
      <c r="E1816">
        <f>IF(LEFT(D1816,6)="CLIENT",IFERROR(VLOOKUP(C1816,Config_Carteiras!$A:$B,2,FALSE),1),"")</f>
        <v>1</v>
      </c>
      <c r="F1816" s="25">
        <v>1709</v>
      </c>
      <c r="G1816" s="28">
        <f>IF(LEFT(D1816,6)="CLIENT",IF(E1816=0,WORKDAY(A1816-1,1,Dias_Sem_Compensacao!$A$2:$A$500),WORKDAY(A1816,E1816,Dias_Sem_Compensacao!$A$2:$A$500)),"")</f>
        <v>46307</v>
      </c>
      <c r="H1816" s="25">
        <v>0</v>
      </c>
      <c r="I1816" s="28">
        <v>46304</v>
      </c>
      <c r="J1816" t="s">
        <v>1778</v>
      </c>
      <c r="K1816" t="s">
        <v>1779</v>
      </c>
    </row>
    <row r="1817" spans="1:11" hidden="1">
      <c r="A1817" s="28">
        <v>46304</v>
      </c>
      <c r="B1817" t="s">
        <v>186</v>
      </c>
      <c r="C1817" t="s">
        <v>203</v>
      </c>
      <c r="D1817" t="s">
        <v>217</v>
      </c>
      <c r="E1817">
        <f>IF(LEFT(D1817,6)="CLIENT",IFERROR(VLOOKUP(C1817,Config_Carteiras!$A:$B,2,FALSE),1),"")</f>
        <v>1</v>
      </c>
      <c r="F1817" s="25">
        <v>835.38</v>
      </c>
      <c r="G1817" s="28">
        <f>IF(LEFT(D1817,6)="CLIENT",IF(E1817=0,WORKDAY(A1817-1,1,Dias_Sem_Compensacao!$A$2:$A$500),WORKDAY(A1817,E1817,Dias_Sem_Compensacao!$A$2:$A$500)),"")</f>
        <v>46307</v>
      </c>
      <c r="H1817" s="25">
        <v>0</v>
      </c>
      <c r="I1817" s="28">
        <v>46304</v>
      </c>
      <c r="J1817" t="s">
        <v>2315</v>
      </c>
      <c r="K1817" t="s">
        <v>2316</v>
      </c>
    </row>
    <row r="1818" spans="1:11" hidden="1">
      <c r="A1818" s="28">
        <v>46304</v>
      </c>
      <c r="B1818" t="s">
        <v>186</v>
      </c>
      <c r="C1818" t="s">
        <v>203</v>
      </c>
      <c r="D1818" t="s">
        <v>217</v>
      </c>
      <c r="E1818">
        <f>IF(LEFT(D1818,6)="CLIENT",IFERROR(VLOOKUP(C1818,Config_Carteiras!$A:$B,2,FALSE),1),"")</f>
        <v>1</v>
      </c>
      <c r="F1818" s="25">
        <v>813.2</v>
      </c>
      <c r="G1818" s="28">
        <f>IF(LEFT(D1818,6)="CLIENT",IF(E1818=0,WORKDAY(A1818-1,1,Dias_Sem_Compensacao!$A$2:$A$500),WORKDAY(A1818,E1818,Dias_Sem_Compensacao!$A$2:$A$500)),"")</f>
        <v>46307</v>
      </c>
      <c r="H1818" s="25">
        <v>0</v>
      </c>
      <c r="I1818" s="28">
        <v>46304</v>
      </c>
      <c r="J1818" t="s">
        <v>1781</v>
      </c>
      <c r="K1818" t="s">
        <v>1782</v>
      </c>
    </row>
    <row r="1819" spans="1:11" hidden="1">
      <c r="A1819" s="28">
        <v>46304</v>
      </c>
      <c r="B1819" t="s">
        <v>186</v>
      </c>
      <c r="C1819" t="s">
        <v>203</v>
      </c>
      <c r="D1819" t="s">
        <v>217</v>
      </c>
      <c r="E1819">
        <f>IF(LEFT(D1819,6)="CLIENT",IFERROR(VLOOKUP(C1819,Config_Carteiras!$A:$B,2,FALSE),1),"")</f>
        <v>1</v>
      </c>
      <c r="F1819" s="25">
        <v>923.03</v>
      </c>
      <c r="G1819" s="28">
        <f>IF(LEFT(D1819,6)="CLIENT",IF(E1819=0,WORKDAY(A1819-1,1,Dias_Sem_Compensacao!$A$2:$A$500),WORKDAY(A1819,E1819,Dias_Sem_Compensacao!$A$2:$A$500)),"")</f>
        <v>46307</v>
      </c>
      <c r="H1819" s="25">
        <v>0</v>
      </c>
      <c r="I1819" s="28">
        <v>46304</v>
      </c>
      <c r="J1819" t="s">
        <v>1783</v>
      </c>
      <c r="K1819" t="s">
        <v>1784</v>
      </c>
    </row>
    <row r="1820" spans="1:11" hidden="1">
      <c r="A1820" s="28">
        <v>46304</v>
      </c>
      <c r="B1820" t="s">
        <v>186</v>
      </c>
      <c r="C1820" t="s">
        <v>203</v>
      </c>
      <c r="D1820" t="s">
        <v>217</v>
      </c>
      <c r="E1820">
        <f>IF(LEFT(D1820,6)="CLIENT",IFERROR(VLOOKUP(C1820,Config_Carteiras!$A:$B,2,FALSE),1),"")</f>
        <v>1</v>
      </c>
      <c r="F1820" s="25">
        <v>448</v>
      </c>
      <c r="G1820" s="28">
        <f>IF(LEFT(D1820,6)="CLIENT",IF(E1820=0,WORKDAY(A1820-1,1,Dias_Sem_Compensacao!$A$2:$A$500),WORKDAY(A1820,E1820,Dias_Sem_Compensacao!$A$2:$A$500)),"")</f>
        <v>46307</v>
      </c>
      <c r="H1820" s="25">
        <v>0</v>
      </c>
      <c r="I1820" s="28">
        <v>46304</v>
      </c>
      <c r="J1820" t="s">
        <v>2317</v>
      </c>
      <c r="K1820" t="s">
        <v>2318</v>
      </c>
    </row>
    <row r="1821" spans="1:11" hidden="1">
      <c r="A1821" s="28">
        <v>46304</v>
      </c>
      <c r="B1821" t="s">
        <v>186</v>
      </c>
      <c r="C1821" t="s">
        <v>203</v>
      </c>
      <c r="D1821" t="s">
        <v>217</v>
      </c>
      <c r="E1821">
        <f>IF(LEFT(D1821,6)="CLIENT",IFERROR(VLOOKUP(C1821,Config_Carteiras!$A:$B,2,FALSE),1),"")</f>
        <v>1</v>
      </c>
      <c r="F1821" s="25">
        <v>2701.81</v>
      </c>
      <c r="G1821" s="28">
        <f>IF(LEFT(D1821,6)="CLIENT",IF(E1821=0,WORKDAY(A1821-1,1,Dias_Sem_Compensacao!$A$2:$A$500),WORKDAY(A1821,E1821,Dias_Sem_Compensacao!$A$2:$A$500)),"")</f>
        <v>46307</v>
      </c>
      <c r="H1821" s="25">
        <v>0</v>
      </c>
      <c r="I1821" s="28">
        <v>46304</v>
      </c>
      <c r="J1821" t="s">
        <v>1032</v>
      </c>
      <c r="K1821" t="s">
        <v>1033</v>
      </c>
    </row>
    <row r="1822" spans="1:11" hidden="1">
      <c r="A1822" s="28">
        <v>46304</v>
      </c>
      <c r="B1822" t="s">
        <v>186</v>
      </c>
      <c r="C1822" t="s">
        <v>203</v>
      </c>
      <c r="D1822" t="s">
        <v>217</v>
      </c>
      <c r="E1822">
        <f>IF(LEFT(D1822,6)="CLIENT",IFERROR(VLOOKUP(C1822,Config_Carteiras!$A:$B,2,FALSE),1),"")</f>
        <v>1</v>
      </c>
      <c r="F1822" s="25">
        <v>1392</v>
      </c>
      <c r="G1822" s="28">
        <f>IF(LEFT(D1822,6)="CLIENT",IF(E1822=0,WORKDAY(A1822-1,1,Dias_Sem_Compensacao!$A$2:$A$500),WORKDAY(A1822,E1822,Dias_Sem_Compensacao!$A$2:$A$500)),"")</f>
        <v>46307</v>
      </c>
      <c r="H1822" s="25">
        <v>0</v>
      </c>
      <c r="I1822" s="28">
        <v>46304</v>
      </c>
      <c r="J1822" t="s">
        <v>1789</v>
      </c>
      <c r="K1822" t="s">
        <v>1790</v>
      </c>
    </row>
    <row r="1823" spans="1:11" hidden="1">
      <c r="A1823" s="28">
        <v>46304</v>
      </c>
      <c r="B1823" t="s">
        <v>186</v>
      </c>
      <c r="C1823" t="s">
        <v>203</v>
      </c>
      <c r="D1823" t="s">
        <v>217</v>
      </c>
      <c r="E1823">
        <f>IF(LEFT(D1823,6)="CLIENT",IFERROR(VLOOKUP(C1823,Config_Carteiras!$A:$B,2,FALSE),1),"")</f>
        <v>1</v>
      </c>
      <c r="F1823" s="25">
        <v>3870</v>
      </c>
      <c r="G1823" s="28">
        <f>IF(LEFT(D1823,6)="CLIENT",IF(E1823=0,WORKDAY(A1823-1,1,Dias_Sem_Compensacao!$A$2:$A$500),WORKDAY(A1823,E1823,Dias_Sem_Compensacao!$A$2:$A$500)),"")</f>
        <v>46307</v>
      </c>
      <c r="H1823" s="25">
        <v>0</v>
      </c>
      <c r="I1823" s="28">
        <v>46304</v>
      </c>
      <c r="J1823" t="s">
        <v>2319</v>
      </c>
      <c r="K1823" t="s">
        <v>2320</v>
      </c>
    </row>
    <row r="1824" spans="1:11" hidden="1">
      <c r="A1824" s="28">
        <v>46304</v>
      </c>
      <c r="B1824" t="s">
        <v>186</v>
      </c>
      <c r="C1824" t="s">
        <v>203</v>
      </c>
      <c r="D1824" t="s">
        <v>217</v>
      </c>
      <c r="E1824">
        <f>IF(LEFT(D1824,6)="CLIENT",IFERROR(VLOOKUP(C1824,Config_Carteiras!$A:$B,2,FALSE),1),"")</f>
        <v>1</v>
      </c>
      <c r="F1824" s="25">
        <v>4753</v>
      </c>
      <c r="G1824" s="28">
        <f>IF(LEFT(D1824,6)="CLIENT",IF(E1824=0,WORKDAY(A1824-1,1,Dias_Sem_Compensacao!$A$2:$A$500),WORKDAY(A1824,E1824,Dias_Sem_Compensacao!$A$2:$A$500)),"")</f>
        <v>46307</v>
      </c>
      <c r="H1824" s="25">
        <v>0</v>
      </c>
      <c r="I1824" s="28">
        <v>46304</v>
      </c>
      <c r="J1824" t="s">
        <v>2321</v>
      </c>
      <c r="K1824" t="s">
        <v>2322</v>
      </c>
    </row>
    <row r="1825" spans="1:11" hidden="1">
      <c r="A1825" s="28">
        <v>46304</v>
      </c>
      <c r="B1825" t="s">
        <v>186</v>
      </c>
      <c r="C1825" t="s">
        <v>203</v>
      </c>
      <c r="D1825" t="s">
        <v>217</v>
      </c>
      <c r="E1825">
        <f>IF(LEFT(D1825,6)="CLIENT",IFERROR(VLOOKUP(C1825,Config_Carteiras!$A:$B,2,FALSE),1),"")</f>
        <v>1</v>
      </c>
      <c r="F1825" s="25">
        <v>588</v>
      </c>
      <c r="G1825" s="28">
        <f>IF(LEFT(D1825,6)="CLIENT",IF(E1825=0,WORKDAY(A1825-1,1,Dias_Sem_Compensacao!$A$2:$A$500),WORKDAY(A1825,E1825,Dias_Sem_Compensacao!$A$2:$A$500)),"")</f>
        <v>46307</v>
      </c>
      <c r="H1825" s="25">
        <v>0</v>
      </c>
      <c r="I1825" s="28">
        <v>46304</v>
      </c>
      <c r="J1825" t="s">
        <v>2323</v>
      </c>
      <c r="K1825" t="s">
        <v>2324</v>
      </c>
    </row>
    <row r="1826" spans="1:11" hidden="1">
      <c r="A1826" s="28">
        <v>46304</v>
      </c>
      <c r="B1826" t="s">
        <v>186</v>
      </c>
      <c r="C1826" t="s">
        <v>203</v>
      </c>
      <c r="D1826" t="s">
        <v>217</v>
      </c>
      <c r="E1826">
        <f>IF(LEFT(D1826,6)="CLIENT",IFERROR(VLOOKUP(C1826,Config_Carteiras!$A:$B,2,FALSE),1),"")</f>
        <v>1</v>
      </c>
      <c r="F1826" s="25">
        <v>1314</v>
      </c>
      <c r="G1826" s="28">
        <f>IF(LEFT(D1826,6)="CLIENT",IF(E1826=0,WORKDAY(A1826-1,1,Dias_Sem_Compensacao!$A$2:$A$500),WORKDAY(A1826,E1826,Dias_Sem_Compensacao!$A$2:$A$500)),"")</f>
        <v>46307</v>
      </c>
      <c r="H1826" s="25">
        <v>0</v>
      </c>
      <c r="I1826" s="28">
        <v>46304</v>
      </c>
      <c r="J1826" t="s">
        <v>1791</v>
      </c>
      <c r="K1826" t="s">
        <v>1792</v>
      </c>
    </row>
    <row r="1827" spans="1:11" hidden="1">
      <c r="A1827" s="28">
        <v>46304</v>
      </c>
      <c r="B1827" t="s">
        <v>186</v>
      </c>
      <c r="C1827" t="s">
        <v>203</v>
      </c>
      <c r="D1827" t="s">
        <v>217</v>
      </c>
      <c r="E1827">
        <f>IF(LEFT(D1827,6)="CLIENT",IFERROR(VLOOKUP(C1827,Config_Carteiras!$A:$B,2,FALSE),1),"")</f>
        <v>1</v>
      </c>
      <c r="F1827" s="25">
        <v>808.78</v>
      </c>
      <c r="G1827" s="28">
        <f>IF(LEFT(D1827,6)="CLIENT",IF(E1827=0,WORKDAY(A1827-1,1,Dias_Sem_Compensacao!$A$2:$A$500),WORKDAY(A1827,E1827,Dias_Sem_Compensacao!$A$2:$A$500)),"")</f>
        <v>46307</v>
      </c>
      <c r="H1827" s="25">
        <v>0</v>
      </c>
      <c r="I1827" s="28">
        <v>46304</v>
      </c>
      <c r="J1827" t="s">
        <v>1793</v>
      </c>
      <c r="K1827" t="s">
        <v>1794</v>
      </c>
    </row>
    <row r="1828" spans="1:11" hidden="1">
      <c r="A1828" s="28">
        <v>46308</v>
      </c>
      <c r="B1828" t="s">
        <v>186</v>
      </c>
      <c r="C1828" t="s">
        <v>203</v>
      </c>
      <c r="D1828" t="s">
        <v>217</v>
      </c>
      <c r="E1828">
        <f>IF(LEFT(D1828,6)="CLIENT",IFERROR(VLOOKUP(C1828,Config_Carteiras!$A:$B,2,FALSE),1),"")</f>
        <v>1</v>
      </c>
      <c r="F1828" s="25">
        <v>1631</v>
      </c>
      <c r="G1828" s="28">
        <f>IF(LEFT(D1828,6)="CLIENT",IF(E1828=0,WORKDAY(A1828-1,1,Dias_Sem_Compensacao!$A$2:$A$500),WORKDAY(A1828,E1828,Dias_Sem_Compensacao!$A$2:$A$500)),"")</f>
        <v>46309</v>
      </c>
      <c r="H1828" s="25">
        <v>0</v>
      </c>
      <c r="I1828" s="28">
        <v>46308</v>
      </c>
      <c r="J1828" t="s">
        <v>2325</v>
      </c>
      <c r="K1828" t="s">
        <v>2326</v>
      </c>
    </row>
    <row r="1829" spans="1:11" hidden="1">
      <c r="A1829" s="28">
        <v>46308</v>
      </c>
      <c r="B1829" t="s">
        <v>186</v>
      </c>
      <c r="C1829" t="s">
        <v>203</v>
      </c>
      <c r="D1829" t="s">
        <v>217</v>
      </c>
      <c r="E1829">
        <f>IF(LEFT(D1829,6)="CLIENT",IFERROR(VLOOKUP(C1829,Config_Carteiras!$A:$B,2,FALSE),1),"")</f>
        <v>1</v>
      </c>
      <c r="F1829" s="25">
        <v>805.73</v>
      </c>
      <c r="G1829" s="28">
        <f>IF(LEFT(D1829,6)="CLIENT",IF(E1829=0,WORKDAY(A1829-1,1,Dias_Sem_Compensacao!$A$2:$A$500),WORKDAY(A1829,E1829,Dias_Sem_Compensacao!$A$2:$A$500)),"")</f>
        <v>46309</v>
      </c>
      <c r="H1829" s="25">
        <v>0</v>
      </c>
      <c r="I1829" s="28">
        <v>46308</v>
      </c>
      <c r="J1829" t="s">
        <v>2327</v>
      </c>
      <c r="K1829" t="s">
        <v>2328</v>
      </c>
    </row>
    <row r="1830" spans="1:11" hidden="1">
      <c r="A1830" s="28">
        <v>46308</v>
      </c>
      <c r="B1830" t="s">
        <v>186</v>
      </c>
      <c r="C1830" t="s">
        <v>203</v>
      </c>
      <c r="D1830" t="s">
        <v>217</v>
      </c>
      <c r="E1830">
        <f>IF(LEFT(D1830,6)="CLIENT",IFERROR(VLOOKUP(C1830,Config_Carteiras!$A:$B,2,FALSE),1),"")</f>
        <v>1</v>
      </c>
      <c r="F1830" s="25">
        <v>346.61</v>
      </c>
      <c r="G1830" s="28">
        <f>IF(LEFT(D1830,6)="CLIENT",IF(E1830=0,WORKDAY(A1830-1,1,Dias_Sem_Compensacao!$A$2:$A$500),WORKDAY(A1830,E1830,Dias_Sem_Compensacao!$A$2:$A$500)),"")</f>
        <v>46309</v>
      </c>
      <c r="H1830" s="25">
        <v>0</v>
      </c>
      <c r="I1830" s="28">
        <v>46308</v>
      </c>
      <c r="K1830" t="s">
        <v>2329</v>
      </c>
    </row>
    <row r="1831" spans="1:11" hidden="1">
      <c r="A1831" s="28">
        <v>46308</v>
      </c>
      <c r="B1831" t="s">
        <v>186</v>
      </c>
      <c r="C1831" t="s">
        <v>203</v>
      </c>
      <c r="D1831" t="s">
        <v>217</v>
      </c>
      <c r="E1831">
        <f>IF(LEFT(D1831,6)="CLIENT",IFERROR(VLOOKUP(C1831,Config_Carteiras!$A:$B,2,FALSE),1),"")</f>
        <v>1</v>
      </c>
      <c r="F1831" s="25">
        <v>480</v>
      </c>
      <c r="G1831" s="28">
        <f>IF(LEFT(D1831,6)="CLIENT",IF(E1831=0,WORKDAY(A1831-1,1,Dias_Sem_Compensacao!$A$2:$A$500),WORKDAY(A1831,E1831,Dias_Sem_Compensacao!$A$2:$A$500)),"")</f>
        <v>46309</v>
      </c>
      <c r="H1831" s="25">
        <v>0</v>
      </c>
      <c r="I1831" s="28">
        <v>46308</v>
      </c>
      <c r="J1831" t="s">
        <v>539</v>
      </c>
      <c r="K1831" t="s">
        <v>1795</v>
      </c>
    </row>
    <row r="1832" spans="1:11" hidden="1">
      <c r="A1832" s="28">
        <v>46308</v>
      </c>
      <c r="B1832" t="s">
        <v>186</v>
      </c>
      <c r="C1832" t="s">
        <v>203</v>
      </c>
      <c r="D1832" t="s">
        <v>217</v>
      </c>
      <c r="E1832">
        <f>IF(LEFT(D1832,6)="CLIENT",IFERROR(VLOOKUP(C1832,Config_Carteiras!$A:$B,2,FALSE),1),"")</f>
        <v>1</v>
      </c>
      <c r="F1832" s="25">
        <v>18156.599999999999</v>
      </c>
      <c r="G1832" s="28">
        <f>IF(LEFT(D1832,6)="CLIENT",IF(E1832=0,WORKDAY(A1832-1,1,Dias_Sem_Compensacao!$A$2:$A$500),WORKDAY(A1832,E1832,Dias_Sem_Compensacao!$A$2:$A$500)),"")</f>
        <v>46309</v>
      </c>
      <c r="H1832" s="25">
        <v>0</v>
      </c>
      <c r="I1832" s="28">
        <v>46308</v>
      </c>
      <c r="J1832" t="s">
        <v>937</v>
      </c>
      <c r="K1832" t="s">
        <v>2330</v>
      </c>
    </row>
    <row r="1833" spans="1:11" hidden="1">
      <c r="A1833" s="28">
        <v>46308</v>
      </c>
      <c r="B1833" t="s">
        <v>186</v>
      </c>
      <c r="C1833" t="s">
        <v>203</v>
      </c>
      <c r="D1833" t="s">
        <v>217</v>
      </c>
      <c r="E1833">
        <f>IF(LEFT(D1833,6)="CLIENT",IFERROR(VLOOKUP(C1833,Config_Carteiras!$A:$B,2,FALSE),1),"")</f>
        <v>1</v>
      </c>
      <c r="F1833" s="25">
        <v>849</v>
      </c>
      <c r="G1833" s="28">
        <f>IF(LEFT(D1833,6)="CLIENT",IF(E1833=0,WORKDAY(A1833-1,1,Dias_Sem_Compensacao!$A$2:$A$500),WORKDAY(A1833,E1833,Dias_Sem_Compensacao!$A$2:$A$500)),"")</f>
        <v>46309</v>
      </c>
      <c r="H1833" s="25">
        <v>0</v>
      </c>
      <c r="I1833" s="28">
        <v>46308</v>
      </c>
      <c r="J1833" t="s">
        <v>2331</v>
      </c>
      <c r="K1833" t="s">
        <v>2332</v>
      </c>
    </row>
    <row r="1834" spans="1:11" hidden="1">
      <c r="A1834" s="28">
        <v>46308</v>
      </c>
      <c r="B1834" t="s">
        <v>186</v>
      </c>
      <c r="C1834" t="s">
        <v>203</v>
      </c>
      <c r="D1834" t="s">
        <v>217</v>
      </c>
      <c r="E1834">
        <f>IF(LEFT(D1834,6)="CLIENT",IFERROR(VLOOKUP(C1834,Config_Carteiras!$A:$B,2,FALSE),1),"")</f>
        <v>1</v>
      </c>
      <c r="F1834" s="25">
        <v>7797</v>
      </c>
      <c r="G1834" s="28">
        <f>IF(LEFT(D1834,6)="CLIENT",IF(E1834=0,WORKDAY(A1834-1,1,Dias_Sem_Compensacao!$A$2:$A$500),WORKDAY(A1834,E1834,Dias_Sem_Compensacao!$A$2:$A$500)),"")</f>
        <v>46309</v>
      </c>
      <c r="H1834" s="25">
        <v>0</v>
      </c>
      <c r="I1834" s="28">
        <v>46308</v>
      </c>
      <c r="J1834" t="s">
        <v>2333</v>
      </c>
      <c r="K1834" t="s">
        <v>2334</v>
      </c>
    </row>
    <row r="1835" spans="1:11" hidden="1">
      <c r="A1835" s="28">
        <v>46308</v>
      </c>
      <c r="B1835" t="s">
        <v>186</v>
      </c>
      <c r="C1835" t="s">
        <v>203</v>
      </c>
      <c r="D1835" t="s">
        <v>217</v>
      </c>
      <c r="E1835">
        <f>IF(LEFT(D1835,6)="CLIENT",IFERROR(VLOOKUP(C1835,Config_Carteiras!$A:$B,2,FALSE),1),"")</f>
        <v>1</v>
      </c>
      <c r="F1835" s="25">
        <v>5962</v>
      </c>
      <c r="G1835" s="28">
        <f>IF(LEFT(D1835,6)="CLIENT",IF(E1835=0,WORKDAY(A1835-1,1,Dias_Sem_Compensacao!$A$2:$A$500),WORKDAY(A1835,E1835,Dias_Sem_Compensacao!$A$2:$A$500)),"")</f>
        <v>46309</v>
      </c>
      <c r="H1835" s="25">
        <v>0</v>
      </c>
      <c r="I1835" s="28">
        <v>46308</v>
      </c>
      <c r="K1835" t="s">
        <v>2335</v>
      </c>
    </row>
    <row r="1836" spans="1:11" hidden="1">
      <c r="A1836" s="28">
        <v>46308</v>
      </c>
      <c r="B1836" t="s">
        <v>186</v>
      </c>
      <c r="C1836" t="s">
        <v>203</v>
      </c>
      <c r="D1836" t="s">
        <v>217</v>
      </c>
      <c r="E1836">
        <f>IF(LEFT(D1836,6)="CLIENT",IFERROR(VLOOKUP(C1836,Config_Carteiras!$A:$B,2,FALSE),1),"")</f>
        <v>1</v>
      </c>
      <c r="F1836" s="25">
        <v>1461</v>
      </c>
      <c r="G1836" s="28">
        <f>IF(LEFT(D1836,6)="CLIENT",IF(E1836=0,WORKDAY(A1836-1,1,Dias_Sem_Compensacao!$A$2:$A$500),WORKDAY(A1836,E1836,Dias_Sem_Compensacao!$A$2:$A$500)),"")</f>
        <v>46309</v>
      </c>
      <c r="H1836" s="25">
        <v>0</v>
      </c>
      <c r="I1836" s="28">
        <v>46308</v>
      </c>
      <c r="J1836" t="s">
        <v>1101</v>
      </c>
      <c r="K1836" t="s">
        <v>1102</v>
      </c>
    </row>
    <row r="1837" spans="1:11" hidden="1">
      <c r="A1837" s="28">
        <v>46308</v>
      </c>
      <c r="B1837" t="s">
        <v>186</v>
      </c>
      <c r="C1837" t="s">
        <v>203</v>
      </c>
      <c r="D1837" t="s">
        <v>217</v>
      </c>
      <c r="E1837">
        <f>IF(LEFT(D1837,6)="CLIENT",IFERROR(VLOOKUP(C1837,Config_Carteiras!$A:$B,2,FALSE),1),"")</f>
        <v>1</v>
      </c>
      <c r="F1837" s="25">
        <v>558.6</v>
      </c>
      <c r="G1837" s="28">
        <f>IF(LEFT(D1837,6)="CLIENT",IF(E1837=0,WORKDAY(A1837-1,1,Dias_Sem_Compensacao!$A$2:$A$500),WORKDAY(A1837,E1837,Dias_Sem_Compensacao!$A$2:$A$500)),"")</f>
        <v>46309</v>
      </c>
      <c r="H1837" s="25">
        <v>0</v>
      </c>
      <c r="I1837" s="28">
        <v>46308</v>
      </c>
      <c r="J1837" t="s">
        <v>1935</v>
      </c>
      <c r="K1837" t="s">
        <v>1936</v>
      </c>
    </row>
    <row r="1838" spans="1:11" hidden="1">
      <c r="A1838" s="28">
        <v>46308</v>
      </c>
      <c r="B1838" t="s">
        <v>186</v>
      </c>
      <c r="C1838" t="s">
        <v>203</v>
      </c>
      <c r="D1838" t="s">
        <v>217</v>
      </c>
      <c r="E1838">
        <f>IF(LEFT(D1838,6)="CLIENT",IFERROR(VLOOKUP(C1838,Config_Carteiras!$A:$B,2,FALSE),1),"")</f>
        <v>1</v>
      </c>
      <c r="F1838" s="25">
        <v>8700</v>
      </c>
      <c r="G1838" s="28">
        <f>IF(LEFT(D1838,6)="CLIENT",IF(E1838=0,WORKDAY(A1838-1,1,Dias_Sem_Compensacao!$A$2:$A$500),WORKDAY(A1838,E1838,Dias_Sem_Compensacao!$A$2:$A$500)),"")</f>
        <v>46309</v>
      </c>
      <c r="H1838" s="25">
        <v>0</v>
      </c>
      <c r="I1838" s="28">
        <v>46308</v>
      </c>
      <c r="J1838" t="s">
        <v>2336</v>
      </c>
      <c r="K1838" t="s">
        <v>2337</v>
      </c>
    </row>
    <row r="1839" spans="1:11" hidden="1">
      <c r="A1839" s="28">
        <v>46308</v>
      </c>
      <c r="B1839" t="s">
        <v>186</v>
      </c>
      <c r="C1839" t="s">
        <v>203</v>
      </c>
      <c r="D1839" t="s">
        <v>217</v>
      </c>
      <c r="E1839">
        <f>IF(LEFT(D1839,6)="CLIENT",IFERROR(VLOOKUP(C1839,Config_Carteiras!$A:$B,2,FALSE),1),"")</f>
        <v>1</v>
      </c>
      <c r="F1839" s="25">
        <v>908</v>
      </c>
      <c r="G1839" s="28">
        <f>IF(LEFT(D1839,6)="CLIENT",IF(E1839=0,WORKDAY(A1839-1,1,Dias_Sem_Compensacao!$A$2:$A$500),WORKDAY(A1839,E1839,Dias_Sem_Compensacao!$A$2:$A$500)),"")</f>
        <v>46309</v>
      </c>
      <c r="H1839" s="25">
        <v>0</v>
      </c>
      <c r="I1839" s="28">
        <v>46308</v>
      </c>
      <c r="J1839" t="s">
        <v>2338</v>
      </c>
      <c r="K1839" t="s">
        <v>2339</v>
      </c>
    </row>
    <row r="1840" spans="1:11" hidden="1">
      <c r="A1840" s="28">
        <v>46308</v>
      </c>
      <c r="B1840" t="s">
        <v>186</v>
      </c>
      <c r="C1840" t="s">
        <v>203</v>
      </c>
      <c r="D1840" t="s">
        <v>217</v>
      </c>
      <c r="E1840">
        <f>IF(LEFT(D1840,6)="CLIENT",IFERROR(VLOOKUP(C1840,Config_Carteiras!$A:$B,2,FALSE),1),"")</f>
        <v>1</v>
      </c>
      <c r="F1840" s="25">
        <v>477.2</v>
      </c>
      <c r="G1840" s="28">
        <f>IF(LEFT(D1840,6)="CLIENT",IF(E1840=0,WORKDAY(A1840-1,1,Dias_Sem_Compensacao!$A$2:$A$500),WORKDAY(A1840,E1840,Dias_Sem_Compensacao!$A$2:$A$500)),"")</f>
        <v>46309</v>
      </c>
      <c r="H1840" s="25">
        <v>0</v>
      </c>
      <c r="I1840" s="28">
        <v>46308</v>
      </c>
      <c r="J1840" t="s">
        <v>1126</v>
      </c>
      <c r="K1840" t="s">
        <v>2340</v>
      </c>
    </row>
    <row r="1841" spans="1:11" hidden="1">
      <c r="A1841" s="28">
        <v>46308</v>
      </c>
      <c r="B1841" t="s">
        <v>186</v>
      </c>
      <c r="C1841" t="s">
        <v>203</v>
      </c>
      <c r="D1841" t="s">
        <v>217</v>
      </c>
      <c r="E1841">
        <f>IF(LEFT(D1841,6)="CLIENT",IFERROR(VLOOKUP(C1841,Config_Carteiras!$A:$B,2,FALSE),1),"")</f>
        <v>1</v>
      </c>
      <c r="F1841" s="25">
        <v>1009.16</v>
      </c>
      <c r="G1841" s="28">
        <f>IF(LEFT(D1841,6)="CLIENT",IF(E1841=0,WORKDAY(A1841-1,1,Dias_Sem_Compensacao!$A$2:$A$500),WORKDAY(A1841,E1841,Dias_Sem_Compensacao!$A$2:$A$500)),"")</f>
        <v>46309</v>
      </c>
      <c r="H1841" s="25">
        <v>0</v>
      </c>
      <c r="I1841" s="28">
        <v>46308</v>
      </c>
      <c r="J1841" t="s">
        <v>1128</v>
      </c>
      <c r="K1841" t="s">
        <v>1129</v>
      </c>
    </row>
    <row r="1842" spans="1:11" hidden="1">
      <c r="A1842" s="28">
        <v>46308</v>
      </c>
      <c r="B1842" t="s">
        <v>186</v>
      </c>
      <c r="C1842" t="s">
        <v>203</v>
      </c>
      <c r="D1842" t="s">
        <v>217</v>
      </c>
      <c r="E1842">
        <f>IF(LEFT(D1842,6)="CLIENT",IFERROR(VLOOKUP(C1842,Config_Carteiras!$A:$B,2,FALSE),1),"")</f>
        <v>1</v>
      </c>
      <c r="F1842" s="25">
        <v>843</v>
      </c>
      <c r="G1842" s="28">
        <f>IF(LEFT(D1842,6)="CLIENT",IF(E1842=0,WORKDAY(A1842-1,1,Dias_Sem_Compensacao!$A$2:$A$500),WORKDAY(A1842,E1842,Dias_Sem_Compensacao!$A$2:$A$500)),"")</f>
        <v>46309</v>
      </c>
      <c r="H1842" s="25">
        <v>0</v>
      </c>
      <c r="I1842" s="28">
        <v>46308</v>
      </c>
      <c r="J1842" t="s">
        <v>2341</v>
      </c>
      <c r="K1842" t="s">
        <v>2342</v>
      </c>
    </row>
    <row r="1843" spans="1:11" hidden="1">
      <c r="A1843" s="28">
        <v>46308</v>
      </c>
      <c r="B1843" t="s">
        <v>186</v>
      </c>
      <c r="C1843" t="s">
        <v>203</v>
      </c>
      <c r="D1843" t="s">
        <v>217</v>
      </c>
      <c r="E1843">
        <f>IF(LEFT(D1843,6)="CLIENT",IFERROR(VLOOKUP(C1843,Config_Carteiras!$A:$B,2,FALSE),1),"")</f>
        <v>1</v>
      </c>
      <c r="F1843" s="25">
        <v>1648</v>
      </c>
      <c r="G1843" s="28">
        <f>IF(LEFT(D1843,6)="CLIENT",IF(E1843=0,WORKDAY(A1843-1,1,Dias_Sem_Compensacao!$A$2:$A$500),WORKDAY(A1843,E1843,Dias_Sem_Compensacao!$A$2:$A$500)),"")</f>
        <v>46309</v>
      </c>
      <c r="H1843" s="25">
        <v>0</v>
      </c>
      <c r="I1843" s="28">
        <v>46308</v>
      </c>
      <c r="J1843" t="s">
        <v>2343</v>
      </c>
      <c r="K1843" t="s">
        <v>2344</v>
      </c>
    </row>
    <row r="1844" spans="1:11" hidden="1">
      <c r="A1844" s="28">
        <v>46308</v>
      </c>
      <c r="B1844" t="s">
        <v>186</v>
      </c>
      <c r="C1844" t="s">
        <v>203</v>
      </c>
      <c r="D1844" t="s">
        <v>217</v>
      </c>
      <c r="E1844">
        <f>IF(LEFT(D1844,6)="CLIENT",IFERROR(VLOOKUP(C1844,Config_Carteiras!$A:$B,2,FALSE),1),"")</f>
        <v>1</v>
      </c>
      <c r="F1844" s="25">
        <v>2975</v>
      </c>
      <c r="G1844" s="28">
        <f>IF(LEFT(D1844,6)="CLIENT",IF(E1844=0,WORKDAY(A1844-1,1,Dias_Sem_Compensacao!$A$2:$A$500),WORKDAY(A1844,E1844,Dias_Sem_Compensacao!$A$2:$A$500)),"")</f>
        <v>46309</v>
      </c>
      <c r="H1844" s="25">
        <v>0</v>
      </c>
      <c r="I1844" s="28">
        <v>46308</v>
      </c>
      <c r="J1844" t="s">
        <v>2345</v>
      </c>
      <c r="K1844" t="s">
        <v>2346</v>
      </c>
    </row>
    <row r="1845" spans="1:11" hidden="1">
      <c r="A1845" s="28">
        <v>46308</v>
      </c>
      <c r="B1845" t="s">
        <v>186</v>
      </c>
      <c r="C1845" t="s">
        <v>203</v>
      </c>
      <c r="D1845" t="s">
        <v>217</v>
      </c>
      <c r="E1845">
        <f>IF(LEFT(D1845,6)="CLIENT",IFERROR(VLOOKUP(C1845,Config_Carteiras!$A:$B,2,FALSE),1),"")</f>
        <v>1</v>
      </c>
      <c r="F1845" s="25">
        <v>408</v>
      </c>
      <c r="G1845" s="28">
        <f>IF(LEFT(D1845,6)="CLIENT",IF(E1845=0,WORKDAY(A1845-1,1,Dias_Sem_Compensacao!$A$2:$A$500),WORKDAY(A1845,E1845,Dias_Sem_Compensacao!$A$2:$A$500)),"")</f>
        <v>46309</v>
      </c>
      <c r="H1845" s="25">
        <v>0</v>
      </c>
      <c r="I1845" s="28">
        <v>46308</v>
      </c>
      <c r="J1845" t="s">
        <v>2347</v>
      </c>
      <c r="K1845" t="s">
        <v>2348</v>
      </c>
    </row>
    <row r="1846" spans="1:11" hidden="1">
      <c r="A1846" s="28">
        <v>46308</v>
      </c>
      <c r="B1846" t="s">
        <v>186</v>
      </c>
      <c r="C1846" t="s">
        <v>203</v>
      </c>
      <c r="D1846" t="s">
        <v>217</v>
      </c>
      <c r="E1846">
        <f>IF(LEFT(D1846,6)="CLIENT",IFERROR(VLOOKUP(C1846,Config_Carteiras!$A:$B,2,FALSE),1),"")</f>
        <v>1</v>
      </c>
      <c r="F1846" s="25">
        <v>1194</v>
      </c>
      <c r="G1846" s="28">
        <f>IF(LEFT(D1846,6)="CLIENT",IF(E1846=0,WORKDAY(A1846-1,1,Dias_Sem_Compensacao!$A$2:$A$500),WORKDAY(A1846,E1846,Dias_Sem_Compensacao!$A$2:$A$500)),"")</f>
        <v>46309</v>
      </c>
      <c r="H1846" s="25">
        <v>0</v>
      </c>
      <c r="I1846" s="28">
        <v>46308</v>
      </c>
      <c r="J1846" t="s">
        <v>2349</v>
      </c>
      <c r="K1846" t="s">
        <v>2350</v>
      </c>
    </row>
    <row r="1847" spans="1:11" hidden="1">
      <c r="A1847" s="28">
        <v>46308</v>
      </c>
      <c r="B1847" t="s">
        <v>186</v>
      </c>
      <c r="C1847" t="s">
        <v>203</v>
      </c>
      <c r="D1847" t="s">
        <v>217</v>
      </c>
      <c r="E1847">
        <f>IF(LEFT(D1847,6)="CLIENT",IFERROR(VLOOKUP(C1847,Config_Carteiras!$A:$B,2,FALSE),1),"")</f>
        <v>1</v>
      </c>
      <c r="F1847" s="25">
        <v>371</v>
      </c>
      <c r="G1847" s="28">
        <f>IF(LEFT(D1847,6)="CLIENT",IF(E1847=0,WORKDAY(A1847-1,1,Dias_Sem_Compensacao!$A$2:$A$500),WORKDAY(A1847,E1847,Dias_Sem_Compensacao!$A$2:$A$500)),"")</f>
        <v>46309</v>
      </c>
      <c r="H1847" s="25">
        <v>0</v>
      </c>
      <c r="I1847" s="28">
        <v>46308</v>
      </c>
      <c r="J1847" t="s">
        <v>2351</v>
      </c>
      <c r="K1847" t="s">
        <v>2352</v>
      </c>
    </row>
    <row r="1848" spans="1:11" hidden="1">
      <c r="A1848" s="28">
        <v>46308</v>
      </c>
      <c r="B1848" t="s">
        <v>186</v>
      </c>
      <c r="C1848" t="s">
        <v>203</v>
      </c>
      <c r="D1848" t="s">
        <v>217</v>
      </c>
      <c r="E1848">
        <f>IF(LEFT(D1848,6)="CLIENT",IFERROR(VLOOKUP(C1848,Config_Carteiras!$A:$B,2,FALSE),1),"")</f>
        <v>1</v>
      </c>
      <c r="F1848" s="25">
        <v>1981</v>
      </c>
      <c r="G1848" s="28">
        <f>IF(LEFT(D1848,6)="CLIENT",IF(E1848=0,WORKDAY(A1848-1,1,Dias_Sem_Compensacao!$A$2:$A$500),WORKDAY(A1848,E1848,Dias_Sem_Compensacao!$A$2:$A$500)),"")</f>
        <v>46309</v>
      </c>
      <c r="H1848" s="25">
        <v>0</v>
      </c>
      <c r="I1848" s="28">
        <v>46308</v>
      </c>
      <c r="J1848" t="s">
        <v>2353</v>
      </c>
      <c r="K1848" t="s">
        <v>2354</v>
      </c>
    </row>
    <row r="1849" spans="1:11" hidden="1">
      <c r="A1849" s="28">
        <v>46308</v>
      </c>
      <c r="B1849" t="s">
        <v>186</v>
      </c>
      <c r="C1849" t="s">
        <v>203</v>
      </c>
      <c r="D1849" t="s">
        <v>217</v>
      </c>
      <c r="E1849">
        <f>IF(LEFT(D1849,6)="CLIENT",IFERROR(VLOOKUP(C1849,Config_Carteiras!$A:$B,2,FALSE),1),"")</f>
        <v>1</v>
      </c>
      <c r="F1849" s="25">
        <v>833</v>
      </c>
      <c r="G1849" s="28">
        <f>IF(LEFT(D1849,6)="CLIENT",IF(E1849=0,WORKDAY(A1849-1,1,Dias_Sem_Compensacao!$A$2:$A$500),WORKDAY(A1849,E1849,Dias_Sem_Compensacao!$A$2:$A$500)),"")</f>
        <v>46309</v>
      </c>
      <c r="H1849" s="25">
        <v>0</v>
      </c>
      <c r="I1849" s="28">
        <v>46308</v>
      </c>
      <c r="K1849" t="s">
        <v>2355</v>
      </c>
    </row>
    <row r="1850" spans="1:11" hidden="1">
      <c r="A1850" s="28">
        <v>46308</v>
      </c>
      <c r="B1850" t="s">
        <v>186</v>
      </c>
      <c r="C1850" t="s">
        <v>203</v>
      </c>
      <c r="D1850" t="s">
        <v>217</v>
      </c>
      <c r="E1850">
        <f>IF(LEFT(D1850,6)="CLIENT",IFERROR(VLOOKUP(C1850,Config_Carteiras!$A:$B,2,FALSE),1),"")</f>
        <v>1</v>
      </c>
      <c r="F1850" s="25">
        <v>736</v>
      </c>
      <c r="G1850" s="28">
        <f>IF(LEFT(D1850,6)="CLIENT",IF(E1850=0,WORKDAY(A1850-1,1,Dias_Sem_Compensacao!$A$2:$A$500),WORKDAY(A1850,E1850,Dias_Sem_Compensacao!$A$2:$A$500)),"")</f>
        <v>46309</v>
      </c>
      <c r="H1850" s="25">
        <v>0</v>
      </c>
      <c r="I1850" s="28">
        <v>46308</v>
      </c>
      <c r="K1850" t="s">
        <v>2356</v>
      </c>
    </row>
    <row r="1851" spans="1:11" hidden="1">
      <c r="A1851" s="28">
        <v>46308</v>
      </c>
      <c r="B1851" t="s">
        <v>186</v>
      </c>
      <c r="C1851" t="s">
        <v>203</v>
      </c>
      <c r="D1851" t="s">
        <v>217</v>
      </c>
      <c r="E1851">
        <f>IF(LEFT(D1851,6)="CLIENT",IFERROR(VLOOKUP(C1851,Config_Carteiras!$A:$B,2,FALSE),1),"")</f>
        <v>1</v>
      </c>
      <c r="F1851" s="25">
        <v>1026</v>
      </c>
      <c r="G1851" s="28">
        <f>IF(LEFT(D1851,6)="CLIENT",IF(E1851=0,WORKDAY(A1851-1,1,Dias_Sem_Compensacao!$A$2:$A$500),WORKDAY(A1851,E1851,Dias_Sem_Compensacao!$A$2:$A$500)),"")</f>
        <v>46309</v>
      </c>
      <c r="H1851" s="25">
        <v>0</v>
      </c>
      <c r="I1851" s="28">
        <v>46308</v>
      </c>
      <c r="K1851" t="s">
        <v>2357</v>
      </c>
    </row>
    <row r="1852" spans="1:11" hidden="1">
      <c r="A1852" s="28">
        <v>46308</v>
      </c>
      <c r="B1852" t="s">
        <v>186</v>
      </c>
      <c r="C1852" t="s">
        <v>203</v>
      </c>
      <c r="D1852" t="s">
        <v>217</v>
      </c>
      <c r="E1852">
        <f>IF(LEFT(D1852,6)="CLIENT",IFERROR(VLOOKUP(C1852,Config_Carteiras!$A:$B,2,FALSE),1),"")</f>
        <v>1</v>
      </c>
      <c r="F1852" s="25">
        <v>827</v>
      </c>
      <c r="G1852" s="28">
        <f>IF(LEFT(D1852,6)="CLIENT",IF(E1852=0,WORKDAY(A1852-1,1,Dias_Sem_Compensacao!$A$2:$A$500),WORKDAY(A1852,E1852,Dias_Sem_Compensacao!$A$2:$A$500)),"")</f>
        <v>46309</v>
      </c>
      <c r="H1852" s="25">
        <v>0</v>
      </c>
      <c r="I1852" s="28">
        <v>46308</v>
      </c>
      <c r="K1852" t="s">
        <v>2358</v>
      </c>
    </row>
    <row r="1853" spans="1:11" hidden="1">
      <c r="A1853" s="28">
        <v>46308</v>
      </c>
      <c r="B1853" t="s">
        <v>186</v>
      </c>
      <c r="C1853" t="s">
        <v>203</v>
      </c>
      <c r="D1853" t="s">
        <v>217</v>
      </c>
      <c r="E1853">
        <f>IF(LEFT(D1853,6)="CLIENT",IFERROR(VLOOKUP(C1853,Config_Carteiras!$A:$B,2,FALSE),1),"")</f>
        <v>1</v>
      </c>
      <c r="F1853" s="25">
        <v>872</v>
      </c>
      <c r="G1853" s="28">
        <f>IF(LEFT(D1853,6)="CLIENT",IF(E1853=0,WORKDAY(A1853-1,1,Dias_Sem_Compensacao!$A$2:$A$500),WORKDAY(A1853,E1853,Dias_Sem_Compensacao!$A$2:$A$500)),"")</f>
        <v>46309</v>
      </c>
      <c r="H1853" s="25">
        <v>0</v>
      </c>
      <c r="I1853" s="28">
        <v>46308</v>
      </c>
      <c r="K1853" t="s">
        <v>2359</v>
      </c>
    </row>
    <row r="1854" spans="1:11" hidden="1">
      <c r="A1854" s="28">
        <v>46308</v>
      </c>
      <c r="B1854" t="s">
        <v>186</v>
      </c>
      <c r="C1854" t="s">
        <v>203</v>
      </c>
      <c r="D1854" t="s">
        <v>217</v>
      </c>
      <c r="E1854">
        <f>IF(LEFT(D1854,6)="CLIENT",IFERROR(VLOOKUP(C1854,Config_Carteiras!$A:$B,2,FALSE),1),"")</f>
        <v>1</v>
      </c>
      <c r="F1854" s="25">
        <v>1122</v>
      </c>
      <c r="G1854" s="28">
        <f>IF(LEFT(D1854,6)="CLIENT",IF(E1854=0,WORKDAY(A1854-1,1,Dias_Sem_Compensacao!$A$2:$A$500),WORKDAY(A1854,E1854,Dias_Sem_Compensacao!$A$2:$A$500)),"")</f>
        <v>46309</v>
      </c>
      <c r="H1854" s="25">
        <v>0</v>
      </c>
      <c r="I1854" s="28">
        <v>46308</v>
      </c>
      <c r="K1854" t="s">
        <v>2360</v>
      </c>
    </row>
    <row r="1855" spans="1:11" hidden="1">
      <c r="A1855" s="28">
        <v>46308</v>
      </c>
      <c r="B1855" t="s">
        <v>186</v>
      </c>
      <c r="C1855" t="s">
        <v>203</v>
      </c>
      <c r="D1855" t="s">
        <v>217</v>
      </c>
      <c r="E1855">
        <f>IF(LEFT(D1855,6)="CLIENT",IFERROR(VLOOKUP(C1855,Config_Carteiras!$A:$B,2,FALSE),1),"")</f>
        <v>1</v>
      </c>
      <c r="F1855" s="25">
        <v>956</v>
      </c>
      <c r="G1855" s="28">
        <f>IF(LEFT(D1855,6)="CLIENT",IF(E1855=0,WORKDAY(A1855-1,1,Dias_Sem_Compensacao!$A$2:$A$500),WORKDAY(A1855,E1855,Dias_Sem_Compensacao!$A$2:$A$500)),"")</f>
        <v>46309</v>
      </c>
      <c r="H1855" s="25">
        <v>0</v>
      </c>
      <c r="I1855" s="28">
        <v>46308</v>
      </c>
      <c r="K1855" t="s">
        <v>2361</v>
      </c>
    </row>
    <row r="1856" spans="1:11" hidden="1">
      <c r="A1856" s="28">
        <v>46308</v>
      </c>
      <c r="B1856" t="s">
        <v>186</v>
      </c>
      <c r="C1856" t="s">
        <v>203</v>
      </c>
      <c r="D1856" t="s">
        <v>217</v>
      </c>
      <c r="E1856">
        <f>IF(LEFT(D1856,6)="CLIENT",IFERROR(VLOOKUP(C1856,Config_Carteiras!$A:$B,2,FALSE),1),"")</f>
        <v>1</v>
      </c>
      <c r="F1856" s="25">
        <v>1148</v>
      </c>
      <c r="G1856" s="28">
        <f>IF(LEFT(D1856,6)="CLIENT",IF(E1856=0,WORKDAY(A1856-1,1,Dias_Sem_Compensacao!$A$2:$A$500),WORKDAY(A1856,E1856,Dias_Sem_Compensacao!$A$2:$A$500)),"")</f>
        <v>46309</v>
      </c>
      <c r="H1856" s="25">
        <v>0</v>
      </c>
      <c r="I1856" s="28">
        <v>46308</v>
      </c>
      <c r="K1856" t="s">
        <v>2362</v>
      </c>
    </row>
    <row r="1857" spans="1:11" hidden="1">
      <c r="A1857" s="28">
        <v>46308</v>
      </c>
      <c r="B1857" t="s">
        <v>186</v>
      </c>
      <c r="C1857" t="s">
        <v>203</v>
      </c>
      <c r="D1857" t="s">
        <v>217</v>
      </c>
      <c r="E1857">
        <f>IF(LEFT(D1857,6)="CLIENT",IFERROR(VLOOKUP(C1857,Config_Carteiras!$A:$B,2,FALSE),1),"")</f>
        <v>1</v>
      </c>
      <c r="F1857" s="25">
        <v>1039</v>
      </c>
      <c r="G1857" s="28">
        <f>IF(LEFT(D1857,6)="CLIENT",IF(E1857=0,WORKDAY(A1857-1,1,Dias_Sem_Compensacao!$A$2:$A$500),WORKDAY(A1857,E1857,Dias_Sem_Compensacao!$A$2:$A$500)),"")</f>
        <v>46309</v>
      </c>
      <c r="H1857" s="25">
        <v>0</v>
      </c>
      <c r="I1857" s="28">
        <v>46308</v>
      </c>
      <c r="K1857" t="s">
        <v>2363</v>
      </c>
    </row>
    <row r="1858" spans="1:11" hidden="1">
      <c r="A1858" s="28">
        <v>46308</v>
      </c>
      <c r="B1858" t="s">
        <v>186</v>
      </c>
      <c r="C1858" t="s">
        <v>203</v>
      </c>
      <c r="D1858" t="s">
        <v>217</v>
      </c>
      <c r="E1858">
        <f>IF(LEFT(D1858,6)="CLIENT",IFERROR(VLOOKUP(C1858,Config_Carteiras!$A:$B,2,FALSE),1),"")</f>
        <v>1</v>
      </c>
      <c r="F1858" s="25">
        <v>1450</v>
      </c>
      <c r="G1858" s="28">
        <f>IF(LEFT(D1858,6)="CLIENT",IF(E1858=0,WORKDAY(A1858-1,1,Dias_Sem_Compensacao!$A$2:$A$500),WORKDAY(A1858,E1858,Dias_Sem_Compensacao!$A$2:$A$500)),"")</f>
        <v>46309</v>
      </c>
      <c r="H1858" s="25">
        <v>0</v>
      </c>
      <c r="I1858" s="28">
        <v>46308</v>
      </c>
      <c r="K1858" t="s">
        <v>2364</v>
      </c>
    </row>
    <row r="1859" spans="1:11" hidden="1">
      <c r="A1859" s="28">
        <v>46308</v>
      </c>
      <c r="B1859" t="s">
        <v>186</v>
      </c>
      <c r="C1859" t="s">
        <v>203</v>
      </c>
      <c r="D1859" t="s">
        <v>217</v>
      </c>
      <c r="E1859">
        <f>IF(LEFT(D1859,6)="CLIENT",IFERROR(VLOOKUP(C1859,Config_Carteiras!$A:$B,2,FALSE),1),"")</f>
        <v>1</v>
      </c>
      <c r="F1859" s="25">
        <v>806.59</v>
      </c>
      <c r="G1859" s="28">
        <f>IF(LEFT(D1859,6)="CLIENT",IF(E1859=0,WORKDAY(A1859-1,1,Dias_Sem_Compensacao!$A$2:$A$500),WORKDAY(A1859,E1859,Dias_Sem_Compensacao!$A$2:$A$500)),"")</f>
        <v>46309</v>
      </c>
      <c r="H1859" s="25">
        <v>0</v>
      </c>
      <c r="I1859" s="28">
        <v>46308</v>
      </c>
      <c r="J1859" t="s">
        <v>1136</v>
      </c>
      <c r="K1859" t="s">
        <v>1137</v>
      </c>
    </row>
    <row r="1860" spans="1:11" hidden="1">
      <c r="A1860" s="28">
        <v>46308</v>
      </c>
      <c r="B1860" t="s">
        <v>186</v>
      </c>
      <c r="C1860" t="s">
        <v>203</v>
      </c>
      <c r="D1860" t="s">
        <v>217</v>
      </c>
      <c r="E1860">
        <f>IF(LEFT(D1860,6)="CLIENT",IFERROR(VLOOKUP(C1860,Config_Carteiras!$A:$B,2,FALSE),1),"")</f>
        <v>1</v>
      </c>
      <c r="F1860" s="25">
        <v>939</v>
      </c>
      <c r="G1860" s="28">
        <f>IF(LEFT(D1860,6)="CLIENT",IF(E1860=0,WORKDAY(A1860-1,1,Dias_Sem_Compensacao!$A$2:$A$500),WORKDAY(A1860,E1860,Dias_Sem_Compensacao!$A$2:$A$500)),"")</f>
        <v>46309</v>
      </c>
      <c r="H1860" s="25">
        <v>0</v>
      </c>
      <c r="I1860" s="28">
        <v>46308</v>
      </c>
      <c r="J1860" t="s">
        <v>2365</v>
      </c>
      <c r="K1860" t="s">
        <v>2366</v>
      </c>
    </row>
    <row r="1861" spans="1:11" hidden="1">
      <c r="A1861" s="28">
        <v>46308</v>
      </c>
      <c r="B1861" t="s">
        <v>186</v>
      </c>
      <c r="C1861" t="s">
        <v>203</v>
      </c>
      <c r="D1861" t="s">
        <v>217</v>
      </c>
      <c r="E1861">
        <f>IF(LEFT(D1861,6)="CLIENT",IFERROR(VLOOKUP(C1861,Config_Carteiras!$A:$B,2,FALSE),1),"")</f>
        <v>1</v>
      </c>
      <c r="F1861" s="25">
        <v>27221</v>
      </c>
      <c r="G1861" s="28">
        <f>IF(LEFT(D1861,6)="CLIENT",IF(E1861=0,WORKDAY(A1861-1,1,Dias_Sem_Compensacao!$A$2:$A$500),WORKDAY(A1861,E1861,Dias_Sem_Compensacao!$A$2:$A$500)),"")</f>
        <v>46309</v>
      </c>
      <c r="H1861" s="25">
        <v>0</v>
      </c>
      <c r="I1861" s="28">
        <v>46308</v>
      </c>
      <c r="J1861" t="s">
        <v>1138</v>
      </c>
      <c r="K1861" t="s">
        <v>1942</v>
      </c>
    </row>
    <row r="1862" spans="1:11" hidden="1">
      <c r="A1862" s="28">
        <v>46308</v>
      </c>
      <c r="B1862" t="s">
        <v>186</v>
      </c>
      <c r="C1862" t="s">
        <v>203</v>
      </c>
      <c r="D1862" t="s">
        <v>217</v>
      </c>
      <c r="E1862">
        <f>IF(LEFT(D1862,6)="CLIENT",IFERROR(VLOOKUP(C1862,Config_Carteiras!$A:$B,2,FALSE),1),"")</f>
        <v>1</v>
      </c>
      <c r="F1862" s="25">
        <v>26087</v>
      </c>
      <c r="G1862" s="28">
        <f>IF(LEFT(D1862,6)="CLIENT",IF(E1862=0,WORKDAY(A1862-1,1,Dias_Sem_Compensacao!$A$2:$A$500),WORKDAY(A1862,E1862,Dias_Sem_Compensacao!$A$2:$A$500)),"")</f>
        <v>46309</v>
      </c>
      <c r="H1862" s="25">
        <v>0</v>
      </c>
      <c r="I1862" s="28">
        <v>46308</v>
      </c>
      <c r="K1862" t="s">
        <v>2367</v>
      </c>
    </row>
    <row r="1863" spans="1:11" hidden="1">
      <c r="A1863" s="28">
        <v>46308</v>
      </c>
      <c r="B1863" t="s">
        <v>186</v>
      </c>
      <c r="C1863" t="s">
        <v>203</v>
      </c>
      <c r="D1863" t="s">
        <v>217</v>
      </c>
      <c r="E1863">
        <f>IF(LEFT(D1863,6)="CLIENT",IFERROR(VLOOKUP(C1863,Config_Carteiras!$A:$B,2,FALSE),1),"")</f>
        <v>1</v>
      </c>
      <c r="F1863" s="25">
        <v>950</v>
      </c>
      <c r="G1863" s="28">
        <f>IF(LEFT(D1863,6)="CLIENT",IF(E1863=0,WORKDAY(A1863-1,1,Dias_Sem_Compensacao!$A$2:$A$500),WORKDAY(A1863,E1863,Dias_Sem_Compensacao!$A$2:$A$500)),"")</f>
        <v>46309</v>
      </c>
      <c r="H1863" s="25">
        <v>0</v>
      </c>
      <c r="I1863" s="28">
        <v>46308</v>
      </c>
      <c r="J1863" t="s">
        <v>1457</v>
      </c>
      <c r="K1863" t="s">
        <v>1798</v>
      </c>
    </row>
    <row r="1864" spans="1:11" hidden="1">
      <c r="A1864" s="28">
        <v>46308</v>
      </c>
      <c r="B1864" t="s">
        <v>186</v>
      </c>
      <c r="C1864" t="s">
        <v>203</v>
      </c>
      <c r="D1864" t="s">
        <v>217</v>
      </c>
      <c r="E1864">
        <f>IF(LEFT(D1864,6)="CLIENT",IFERROR(VLOOKUP(C1864,Config_Carteiras!$A:$B,2,FALSE),1),"")</f>
        <v>1</v>
      </c>
      <c r="F1864" s="25">
        <v>467</v>
      </c>
      <c r="G1864" s="28">
        <f>IF(LEFT(D1864,6)="CLIENT",IF(E1864=0,WORKDAY(A1864-1,1,Dias_Sem_Compensacao!$A$2:$A$500),WORKDAY(A1864,E1864,Dias_Sem_Compensacao!$A$2:$A$500)),"")</f>
        <v>46309</v>
      </c>
      <c r="H1864" s="25">
        <v>0</v>
      </c>
      <c r="I1864" s="28">
        <v>46308</v>
      </c>
      <c r="J1864" t="s">
        <v>1801</v>
      </c>
      <c r="K1864" t="s">
        <v>1802</v>
      </c>
    </row>
    <row r="1865" spans="1:11" hidden="1">
      <c r="A1865" s="28">
        <v>46308</v>
      </c>
      <c r="B1865" t="s">
        <v>186</v>
      </c>
      <c r="C1865" t="s">
        <v>203</v>
      </c>
      <c r="D1865" t="s">
        <v>217</v>
      </c>
      <c r="E1865">
        <f>IF(LEFT(D1865,6)="CLIENT",IFERROR(VLOOKUP(C1865,Config_Carteiras!$A:$B,2,FALSE),1),"")</f>
        <v>1</v>
      </c>
      <c r="F1865" s="25">
        <v>982.69</v>
      </c>
      <c r="G1865" s="28">
        <f>IF(LEFT(D1865,6)="CLIENT",IF(E1865=0,WORKDAY(A1865-1,1,Dias_Sem_Compensacao!$A$2:$A$500),WORKDAY(A1865,E1865,Dias_Sem_Compensacao!$A$2:$A$500)),"")</f>
        <v>46309</v>
      </c>
      <c r="H1865" s="25">
        <v>0</v>
      </c>
      <c r="I1865" s="28">
        <v>46308</v>
      </c>
      <c r="J1865" t="s">
        <v>1803</v>
      </c>
      <c r="K1865" t="s">
        <v>1804</v>
      </c>
    </row>
    <row r="1866" spans="1:11" hidden="1">
      <c r="A1866" s="28">
        <v>46308</v>
      </c>
      <c r="B1866" t="s">
        <v>186</v>
      </c>
      <c r="C1866" t="s">
        <v>203</v>
      </c>
      <c r="D1866" t="s">
        <v>217</v>
      </c>
      <c r="E1866">
        <f>IF(LEFT(D1866,6)="CLIENT",IFERROR(VLOOKUP(C1866,Config_Carteiras!$A:$B,2,FALSE),1),"")</f>
        <v>1</v>
      </c>
      <c r="F1866" s="25">
        <v>663.9</v>
      </c>
      <c r="G1866" s="28">
        <f>IF(LEFT(D1866,6)="CLIENT",IF(E1866=0,WORKDAY(A1866-1,1,Dias_Sem_Compensacao!$A$2:$A$500),WORKDAY(A1866,E1866,Dias_Sem_Compensacao!$A$2:$A$500)),"")</f>
        <v>46309</v>
      </c>
      <c r="H1866" s="25">
        <v>0</v>
      </c>
      <c r="I1866" s="28">
        <v>46308</v>
      </c>
      <c r="J1866" t="s">
        <v>2368</v>
      </c>
      <c r="K1866" t="s">
        <v>2369</v>
      </c>
    </row>
    <row r="1867" spans="1:11" hidden="1">
      <c r="A1867" s="28">
        <v>46308</v>
      </c>
      <c r="B1867" t="s">
        <v>186</v>
      </c>
      <c r="C1867" t="s">
        <v>203</v>
      </c>
      <c r="D1867" t="s">
        <v>217</v>
      </c>
      <c r="E1867">
        <f>IF(LEFT(D1867,6)="CLIENT",IFERROR(VLOOKUP(C1867,Config_Carteiras!$A:$B,2,FALSE),1),"")</f>
        <v>1</v>
      </c>
      <c r="F1867" s="25">
        <v>1866.02</v>
      </c>
      <c r="G1867" s="28">
        <f>IF(LEFT(D1867,6)="CLIENT",IF(E1867=0,WORKDAY(A1867-1,1,Dias_Sem_Compensacao!$A$2:$A$500),WORKDAY(A1867,E1867,Dias_Sem_Compensacao!$A$2:$A$500)),"")</f>
        <v>46309</v>
      </c>
      <c r="H1867" s="25">
        <v>0</v>
      </c>
      <c r="I1867" s="28">
        <v>46308</v>
      </c>
      <c r="J1867" t="s">
        <v>2370</v>
      </c>
      <c r="K1867" t="s">
        <v>2371</v>
      </c>
    </row>
    <row r="1868" spans="1:11" hidden="1">
      <c r="A1868" s="28">
        <v>46308</v>
      </c>
      <c r="B1868" t="s">
        <v>186</v>
      </c>
      <c r="C1868" t="s">
        <v>203</v>
      </c>
      <c r="D1868" t="s">
        <v>217</v>
      </c>
      <c r="E1868">
        <f>IF(LEFT(D1868,6)="CLIENT",IFERROR(VLOOKUP(C1868,Config_Carteiras!$A:$B,2,FALSE),1),"")</f>
        <v>1</v>
      </c>
      <c r="F1868" s="25">
        <v>888.23</v>
      </c>
      <c r="G1868" s="28">
        <f>IF(LEFT(D1868,6)="CLIENT",IF(E1868=0,WORKDAY(A1868-1,1,Dias_Sem_Compensacao!$A$2:$A$500),WORKDAY(A1868,E1868,Dias_Sem_Compensacao!$A$2:$A$500)),"")</f>
        <v>46309</v>
      </c>
      <c r="H1868" s="25">
        <v>0</v>
      </c>
      <c r="I1868" s="28">
        <v>46308</v>
      </c>
      <c r="K1868" t="s">
        <v>2372</v>
      </c>
    </row>
    <row r="1869" spans="1:11" hidden="1">
      <c r="A1869" s="28">
        <v>46308</v>
      </c>
      <c r="B1869" t="s">
        <v>186</v>
      </c>
      <c r="C1869" t="s">
        <v>203</v>
      </c>
      <c r="D1869" t="s">
        <v>217</v>
      </c>
      <c r="E1869">
        <f>IF(LEFT(D1869,6)="CLIENT",IFERROR(VLOOKUP(C1869,Config_Carteiras!$A:$B,2,FALSE),1),"")</f>
        <v>1</v>
      </c>
      <c r="F1869" s="25">
        <v>1027.1099999999999</v>
      </c>
      <c r="G1869" s="28">
        <f>IF(LEFT(D1869,6)="CLIENT",IF(E1869=0,WORKDAY(A1869-1,1,Dias_Sem_Compensacao!$A$2:$A$500),WORKDAY(A1869,E1869,Dias_Sem_Compensacao!$A$2:$A$500)),"")</f>
        <v>46309</v>
      </c>
      <c r="H1869" s="25">
        <v>0</v>
      </c>
      <c r="I1869" s="28">
        <v>46308</v>
      </c>
      <c r="K1869" t="s">
        <v>2373</v>
      </c>
    </row>
    <row r="1870" spans="1:11" hidden="1">
      <c r="A1870" s="28">
        <v>46308</v>
      </c>
      <c r="B1870" t="s">
        <v>186</v>
      </c>
      <c r="C1870" t="s">
        <v>203</v>
      </c>
      <c r="D1870" t="s">
        <v>217</v>
      </c>
      <c r="E1870">
        <f>IF(LEFT(D1870,6)="CLIENT",IFERROR(VLOOKUP(C1870,Config_Carteiras!$A:$B,2,FALSE),1),"")</f>
        <v>1</v>
      </c>
      <c r="F1870" s="25">
        <v>648.41999999999996</v>
      </c>
      <c r="G1870" s="28">
        <f>IF(LEFT(D1870,6)="CLIENT",IF(E1870=0,WORKDAY(A1870-1,1,Dias_Sem_Compensacao!$A$2:$A$500),WORKDAY(A1870,E1870,Dias_Sem_Compensacao!$A$2:$A$500)),"")</f>
        <v>46309</v>
      </c>
      <c r="H1870" s="25">
        <v>0</v>
      </c>
      <c r="I1870" s="28">
        <v>46308</v>
      </c>
      <c r="K1870" t="s">
        <v>2374</v>
      </c>
    </row>
    <row r="1871" spans="1:11" hidden="1">
      <c r="A1871" s="28">
        <v>46308</v>
      </c>
      <c r="B1871" t="s">
        <v>186</v>
      </c>
      <c r="C1871" t="s">
        <v>203</v>
      </c>
      <c r="D1871" t="s">
        <v>217</v>
      </c>
      <c r="E1871">
        <f>IF(LEFT(D1871,6)="CLIENT",IFERROR(VLOOKUP(C1871,Config_Carteiras!$A:$B,2,FALSE),1),"")</f>
        <v>1</v>
      </c>
      <c r="F1871" s="25">
        <v>479.02</v>
      </c>
      <c r="G1871" s="28">
        <f>IF(LEFT(D1871,6)="CLIENT",IF(E1871=0,WORKDAY(A1871-1,1,Dias_Sem_Compensacao!$A$2:$A$500),WORKDAY(A1871,E1871,Dias_Sem_Compensacao!$A$2:$A$500)),"")</f>
        <v>46309</v>
      </c>
      <c r="H1871" s="25">
        <v>0</v>
      </c>
      <c r="I1871" s="28">
        <v>46308</v>
      </c>
      <c r="J1871" t="s">
        <v>1943</v>
      </c>
      <c r="K1871" t="s">
        <v>1944</v>
      </c>
    </row>
    <row r="1872" spans="1:11" hidden="1">
      <c r="A1872" s="28">
        <v>46308</v>
      </c>
      <c r="B1872" t="s">
        <v>186</v>
      </c>
      <c r="C1872" t="s">
        <v>203</v>
      </c>
      <c r="D1872" t="s">
        <v>217</v>
      </c>
      <c r="E1872">
        <f>IF(LEFT(D1872,6)="CLIENT",IFERROR(VLOOKUP(C1872,Config_Carteiras!$A:$B,2,FALSE),1),"")</f>
        <v>1</v>
      </c>
      <c r="F1872" s="25">
        <v>516</v>
      </c>
      <c r="G1872" s="28">
        <f>IF(LEFT(D1872,6)="CLIENT",IF(E1872=0,WORKDAY(A1872-1,1,Dias_Sem_Compensacao!$A$2:$A$500),WORKDAY(A1872,E1872,Dias_Sem_Compensacao!$A$2:$A$500)),"")</f>
        <v>46309</v>
      </c>
      <c r="H1872" s="25">
        <v>0</v>
      </c>
      <c r="I1872" s="28">
        <v>46308</v>
      </c>
      <c r="J1872" t="s">
        <v>2375</v>
      </c>
      <c r="K1872" t="s">
        <v>2376</v>
      </c>
    </row>
    <row r="1873" spans="1:11" hidden="1">
      <c r="A1873" s="28">
        <v>46308</v>
      </c>
      <c r="B1873" t="s">
        <v>186</v>
      </c>
      <c r="C1873" t="s">
        <v>203</v>
      </c>
      <c r="D1873" t="s">
        <v>217</v>
      </c>
      <c r="E1873">
        <f>IF(LEFT(D1873,6)="CLIENT",IFERROR(VLOOKUP(C1873,Config_Carteiras!$A:$B,2,FALSE),1),"")</f>
        <v>1</v>
      </c>
      <c r="F1873" s="25">
        <v>1112</v>
      </c>
      <c r="G1873" s="28">
        <f>IF(LEFT(D1873,6)="CLIENT",IF(E1873=0,WORKDAY(A1873-1,1,Dias_Sem_Compensacao!$A$2:$A$500),WORKDAY(A1873,E1873,Dias_Sem_Compensacao!$A$2:$A$500)),"")</f>
        <v>46309</v>
      </c>
      <c r="H1873" s="25">
        <v>0</v>
      </c>
      <c r="I1873" s="28">
        <v>46308</v>
      </c>
      <c r="J1873" t="s">
        <v>1945</v>
      </c>
      <c r="K1873" t="s">
        <v>1946</v>
      </c>
    </row>
    <row r="1874" spans="1:11" hidden="1">
      <c r="A1874" s="28">
        <v>46308</v>
      </c>
      <c r="B1874" t="s">
        <v>186</v>
      </c>
      <c r="C1874" t="s">
        <v>203</v>
      </c>
      <c r="D1874" t="s">
        <v>217</v>
      </c>
      <c r="E1874">
        <f>IF(LEFT(D1874,6)="CLIENT",IFERROR(VLOOKUP(C1874,Config_Carteiras!$A:$B,2,FALSE),1),"")</f>
        <v>1</v>
      </c>
      <c r="F1874" s="25">
        <v>1117</v>
      </c>
      <c r="G1874" s="28">
        <f>IF(LEFT(D1874,6)="CLIENT",IF(E1874=0,WORKDAY(A1874-1,1,Dias_Sem_Compensacao!$A$2:$A$500),WORKDAY(A1874,E1874,Dias_Sem_Compensacao!$A$2:$A$500)),"")</f>
        <v>46309</v>
      </c>
      <c r="H1874" s="25">
        <v>0</v>
      </c>
      <c r="I1874" s="28">
        <v>46308</v>
      </c>
      <c r="J1874" t="s">
        <v>1325</v>
      </c>
      <c r="K1874" t="s">
        <v>1947</v>
      </c>
    </row>
    <row r="1875" spans="1:11" hidden="1">
      <c r="A1875" s="28">
        <v>46308</v>
      </c>
      <c r="B1875" t="s">
        <v>186</v>
      </c>
      <c r="C1875" t="s">
        <v>203</v>
      </c>
      <c r="D1875" t="s">
        <v>217</v>
      </c>
      <c r="E1875">
        <f>IF(LEFT(D1875,6)="CLIENT",IFERROR(VLOOKUP(C1875,Config_Carteiras!$A:$B,2,FALSE),1),"")</f>
        <v>1</v>
      </c>
      <c r="F1875" s="25">
        <v>1646</v>
      </c>
      <c r="G1875" s="28">
        <f>IF(LEFT(D1875,6)="CLIENT",IF(E1875=0,WORKDAY(A1875-1,1,Dias_Sem_Compensacao!$A$2:$A$500),WORKDAY(A1875,E1875,Dias_Sem_Compensacao!$A$2:$A$500)),"")</f>
        <v>46309</v>
      </c>
      <c r="H1875" s="25">
        <v>0</v>
      </c>
      <c r="I1875" s="28">
        <v>46308</v>
      </c>
      <c r="J1875" t="s">
        <v>2377</v>
      </c>
      <c r="K1875" t="s">
        <v>2378</v>
      </c>
    </row>
    <row r="1876" spans="1:11" hidden="1">
      <c r="A1876" s="28">
        <v>46308</v>
      </c>
      <c r="B1876" t="s">
        <v>186</v>
      </c>
      <c r="C1876" t="s">
        <v>203</v>
      </c>
      <c r="D1876" t="s">
        <v>217</v>
      </c>
      <c r="E1876">
        <f>IF(LEFT(D1876,6)="CLIENT",IFERROR(VLOOKUP(C1876,Config_Carteiras!$A:$B,2,FALSE),1),"")</f>
        <v>1</v>
      </c>
      <c r="F1876" s="25">
        <v>1385</v>
      </c>
      <c r="G1876" s="28">
        <f>IF(LEFT(D1876,6)="CLIENT",IF(E1876=0,WORKDAY(A1876-1,1,Dias_Sem_Compensacao!$A$2:$A$500),WORKDAY(A1876,E1876,Dias_Sem_Compensacao!$A$2:$A$500)),"")</f>
        <v>46309</v>
      </c>
      <c r="H1876" s="25">
        <v>0</v>
      </c>
      <c r="I1876" s="28">
        <v>46308</v>
      </c>
      <c r="J1876" t="s">
        <v>2379</v>
      </c>
      <c r="K1876" t="s">
        <v>2380</v>
      </c>
    </row>
    <row r="1877" spans="1:11" hidden="1">
      <c r="A1877" s="28">
        <v>46308</v>
      </c>
      <c r="B1877" t="s">
        <v>186</v>
      </c>
      <c r="C1877" t="s">
        <v>203</v>
      </c>
      <c r="D1877" t="s">
        <v>217</v>
      </c>
      <c r="E1877">
        <f>IF(LEFT(D1877,6)="CLIENT",IFERROR(VLOOKUP(C1877,Config_Carteiras!$A:$B,2,FALSE),1),"")</f>
        <v>1</v>
      </c>
      <c r="F1877" s="25">
        <v>1081.81</v>
      </c>
      <c r="G1877" s="28">
        <f>IF(LEFT(D1877,6)="CLIENT",IF(E1877=0,WORKDAY(A1877-1,1,Dias_Sem_Compensacao!$A$2:$A$500),WORKDAY(A1877,E1877,Dias_Sem_Compensacao!$A$2:$A$500)),"")</f>
        <v>46309</v>
      </c>
      <c r="H1877" s="25">
        <v>0</v>
      </c>
      <c r="I1877" s="28">
        <v>46308</v>
      </c>
      <c r="J1877" t="s">
        <v>1151</v>
      </c>
      <c r="K1877" t="s">
        <v>1152</v>
      </c>
    </row>
    <row r="1878" spans="1:11" hidden="1">
      <c r="A1878" s="28">
        <v>46308</v>
      </c>
      <c r="B1878" t="s">
        <v>186</v>
      </c>
      <c r="C1878" t="s">
        <v>203</v>
      </c>
      <c r="D1878" t="s">
        <v>217</v>
      </c>
      <c r="E1878">
        <f>IF(LEFT(D1878,6)="CLIENT",IFERROR(VLOOKUP(C1878,Config_Carteiras!$A:$B,2,FALSE),1),"")</f>
        <v>1</v>
      </c>
      <c r="F1878" s="25">
        <v>2337</v>
      </c>
      <c r="G1878" s="28">
        <f>IF(LEFT(D1878,6)="CLIENT",IF(E1878=0,WORKDAY(A1878-1,1,Dias_Sem_Compensacao!$A$2:$A$500),WORKDAY(A1878,E1878,Dias_Sem_Compensacao!$A$2:$A$500)),"")</f>
        <v>46309</v>
      </c>
      <c r="H1878" s="25">
        <v>0</v>
      </c>
      <c r="I1878" s="28">
        <v>46308</v>
      </c>
      <c r="J1878" t="s">
        <v>2381</v>
      </c>
      <c r="K1878" t="s">
        <v>2382</v>
      </c>
    </row>
    <row r="1879" spans="1:11" hidden="1">
      <c r="A1879" s="28">
        <v>46308</v>
      </c>
      <c r="B1879" t="s">
        <v>186</v>
      </c>
      <c r="C1879" t="s">
        <v>203</v>
      </c>
      <c r="D1879" t="s">
        <v>217</v>
      </c>
      <c r="E1879">
        <f>IF(LEFT(D1879,6)="CLIENT",IFERROR(VLOOKUP(C1879,Config_Carteiras!$A:$B,2,FALSE),1),"")</f>
        <v>1</v>
      </c>
      <c r="F1879" s="25">
        <v>1477</v>
      </c>
      <c r="G1879" s="28">
        <f>IF(LEFT(D1879,6)="CLIENT",IF(E1879=0,WORKDAY(A1879-1,1,Dias_Sem_Compensacao!$A$2:$A$500),WORKDAY(A1879,E1879,Dias_Sem_Compensacao!$A$2:$A$500)),"")</f>
        <v>46309</v>
      </c>
      <c r="H1879" s="25">
        <v>0</v>
      </c>
      <c r="I1879" s="28">
        <v>46308</v>
      </c>
      <c r="J1879" t="s">
        <v>2383</v>
      </c>
      <c r="K1879" t="s">
        <v>2384</v>
      </c>
    </row>
    <row r="1880" spans="1:11" hidden="1">
      <c r="A1880" s="28">
        <v>46308</v>
      </c>
      <c r="B1880" t="s">
        <v>186</v>
      </c>
      <c r="C1880" t="s">
        <v>203</v>
      </c>
      <c r="D1880" t="s">
        <v>217</v>
      </c>
      <c r="E1880">
        <f>IF(LEFT(D1880,6)="CLIENT",IFERROR(VLOOKUP(C1880,Config_Carteiras!$A:$B,2,FALSE),1),"")</f>
        <v>1</v>
      </c>
      <c r="F1880" s="25">
        <v>1708</v>
      </c>
      <c r="G1880" s="28">
        <f>IF(LEFT(D1880,6)="CLIENT",IF(E1880=0,WORKDAY(A1880-1,1,Dias_Sem_Compensacao!$A$2:$A$500),WORKDAY(A1880,E1880,Dias_Sem_Compensacao!$A$2:$A$500)),"")</f>
        <v>46309</v>
      </c>
      <c r="H1880" s="25">
        <v>0</v>
      </c>
      <c r="I1880" s="28">
        <v>46308</v>
      </c>
      <c r="J1880" t="s">
        <v>2385</v>
      </c>
      <c r="K1880" t="s">
        <v>2386</v>
      </c>
    </row>
    <row r="1881" spans="1:11" hidden="1">
      <c r="A1881" s="28">
        <v>46308</v>
      </c>
      <c r="B1881" t="s">
        <v>186</v>
      </c>
      <c r="C1881" t="s">
        <v>203</v>
      </c>
      <c r="D1881" t="s">
        <v>217</v>
      </c>
      <c r="E1881">
        <f>IF(LEFT(D1881,6)="CLIENT",IFERROR(VLOOKUP(C1881,Config_Carteiras!$A:$B,2,FALSE),1),"")</f>
        <v>1</v>
      </c>
      <c r="F1881" s="25">
        <v>1000</v>
      </c>
      <c r="G1881" s="28">
        <f>IF(LEFT(D1881,6)="CLIENT",IF(E1881=0,WORKDAY(A1881-1,1,Dias_Sem_Compensacao!$A$2:$A$500),WORKDAY(A1881,E1881,Dias_Sem_Compensacao!$A$2:$A$500)),"")</f>
        <v>46309</v>
      </c>
      <c r="H1881" s="25">
        <v>0</v>
      </c>
      <c r="I1881" s="28">
        <v>46308</v>
      </c>
      <c r="J1881" t="s">
        <v>1807</v>
      </c>
      <c r="K1881" t="s">
        <v>1808</v>
      </c>
    </row>
    <row r="1882" spans="1:11" hidden="1">
      <c r="A1882" s="28">
        <v>46308</v>
      </c>
      <c r="B1882" t="s">
        <v>186</v>
      </c>
      <c r="C1882" t="s">
        <v>203</v>
      </c>
      <c r="D1882" t="s">
        <v>217</v>
      </c>
      <c r="E1882">
        <f>IF(LEFT(D1882,6)="CLIENT",IFERROR(VLOOKUP(C1882,Config_Carteiras!$A:$B,2,FALSE),1),"")</f>
        <v>1</v>
      </c>
      <c r="F1882" s="25">
        <v>1417</v>
      </c>
      <c r="G1882" s="28">
        <f>IF(LEFT(D1882,6)="CLIENT",IF(E1882=0,WORKDAY(A1882-1,1,Dias_Sem_Compensacao!$A$2:$A$500),WORKDAY(A1882,E1882,Dias_Sem_Compensacao!$A$2:$A$500)),"")</f>
        <v>46309</v>
      </c>
      <c r="H1882" s="25">
        <v>0</v>
      </c>
      <c r="I1882" s="28">
        <v>46308</v>
      </c>
      <c r="J1882" t="s">
        <v>1809</v>
      </c>
      <c r="K1882" t="s">
        <v>1810</v>
      </c>
    </row>
    <row r="1883" spans="1:11" hidden="1">
      <c r="A1883" s="28">
        <v>46308</v>
      </c>
      <c r="B1883" t="s">
        <v>186</v>
      </c>
      <c r="C1883" t="s">
        <v>203</v>
      </c>
      <c r="D1883" t="s">
        <v>217</v>
      </c>
      <c r="E1883">
        <f>IF(LEFT(D1883,6)="CLIENT",IFERROR(VLOOKUP(C1883,Config_Carteiras!$A:$B,2,FALSE),1),"")</f>
        <v>1</v>
      </c>
      <c r="F1883" s="25">
        <v>693</v>
      </c>
      <c r="G1883" s="28">
        <f>IF(LEFT(D1883,6)="CLIENT",IF(E1883=0,WORKDAY(A1883-1,1,Dias_Sem_Compensacao!$A$2:$A$500),WORKDAY(A1883,E1883,Dias_Sem_Compensacao!$A$2:$A$500)),"")</f>
        <v>46309</v>
      </c>
      <c r="H1883" s="25">
        <v>0</v>
      </c>
      <c r="I1883" s="28">
        <v>46308</v>
      </c>
      <c r="J1883" t="s">
        <v>2387</v>
      </c>
      <c r="K1883" t="s">
        <v>2388</v>
      </c>
    </row>
    <row r="1884" spans="1:11" hidden="1">
      <c r="A1884" s="28">
        <v>46308</v>
      </c>
      <c r="B1884" t="s">
        <v>186</v>
      </c>
      <c r="C1884" t="s">
        <v>203</v>
      </c>
      <c r="D1884" t="s">
        <v>217</v>
      </c>
      <c r="E1884">
        <f>IF(LEFT(D1884,6)="CLIENT",IFERROR(VLOOKUP(C1884,Config_Carteiras!$A:$B,2,FALSE),1),"")</f>
        <v>1</v>
      </c>
      <c r="F1884" s="25">
        <v>2545</v>
      </c>
      <c r="G1884" s="28">
        <f>IF(LEFT(D1884,6)="CLIENT",IF(E1884=0,WORKDAY(A1884-1,1,Dias_Sem_Compensacao!$A$2:$A$500),WORKDAY(A1884,E1884,Dias_Sem_Compensacao!$A$2:$A$500)),"")</f>
        <v>46309</v>
      </c>
      <c r="H1884" s="25">
        <v>0</v>
      </c>
      <c r="I1884" s="28">
        <v>46308</v>
      </c>
      <c r="J1884" t="s">
        <v>2389</v>
      </c>
      <c r="K1884" t="s">
        <v>2390</v>
      </c>
    </row>
    <row r="1885" spans="1:11" hidden="1">
      <c r="A1885" s="28">
        <v>46308</v>
      </c>
      <c r="B1885" t="s">
        <v>186</v>
      </c>
      <c r="C1885" t="s">
        <v>203</v>
      </c>
      <c r="D1885" t="s">
        <v>217</v>
      </c>
      <c r="E1885">
        <f>IF(LEFT(D1885,6)="CLIENT",IFERROR(VLOOKUP(C1885,Config_Carteiras!$A:$B,2,FALSE),1),"")</f>
        <v>1</v>
      </c>
      <c r="F1885" s="25">
        <v>888.41</v>
      </c>
      <c r="G1885" s="28">
        <f>IF(LEFT(D1885,6)="CLIENT",IF(E1885=0,WORKDAY(A1885-1,1,Dias_Sem_Compensacao!$A$2:$A$500),WORKDAY(A1885,E1885,Dias_Sem_Compensacao!$A$2:$A$500)),"")</f>
        <v>46309</v>
      </c>
      <c r="H1885" s="25">
        <v>0</v>
      </c>
      <c r="I1885" s="28">
        <v>46308</v>
      </c>
      <c r="J1885" t="s">
        <v>1813</v>
      </c>
      <c r="K1885" t="s">
        <v>1814</v>
      </c>
    </row>
    <row r="1886" spans="1:11" hidden="1">
      <c r="A1886" s="28">
        <v>46308</v>
      </c>
      <c r="B1886" t="s">
        <v>186</v>
      </c>
      <c r="C1886" t="s">
        <v>203</v>
      </c>
      <c r="D1886" t="s">
        <v>217</v>
      </c>
      <c r="E1886">
        <f>IF(LEFT(D1886,6)="CLIENT",IFERROR(VLOOKUP(C1886,Config_Carteiras!$A:$B,2,FALSE),1),"")</f>
        <v>1</v>
      </c>
      <c r="F1886" s="25">
        <v>342</v>
      </c>
      <c r="G1886" s="28">
        <f>IF(LEFT(D1886,6)="CLIENT",IF(E1886=0,WORKDAY(A1886-1,1,Dias_Sem_Compensacao!$A$2:$A$500),WORKDAY(A1886,E1886,Dias_Sem_Compensacao!$A$2:$A$500)),"")</f>
        <v>46309</v>
      </c>
      <c r="H1886" s="25">
        <v>0</v>
      </c>
      <c r="I1886" s="28">
        <v>46308</v>
      </c>
      <c r="J1886" t="s">
        <v>2391</v>
      </c>
      <c r="K1886" t="s">
        <v>2392</v>
      </c>
    </row>
    <row r="1887" spans="1:11" hidden="1">
      <c r="A1887" s="28">
        <v>46308</v>
      </c>
      <c r="B1887" t="s">
        <v>186</v>
      </c>
      <c r="C1887" t="s">
        <v>203</v>
      </c>
      <c r="D1887" t="s">
        <v>217</v>
      </c>
      <c r="E1887">
        <f>IF(LEFT(D1887,6)="CLIENT",IFERROR(VLOOKUP(C1887,Config_Carteiras!$A:$B,2,FALSE),1),"")</f>
        <v>1</v>
      </c>
      <c r="F1887" s="25">
        <v>736.41</v>
      </c>
      <c r="G1887" s="28">
        <f>IF(LEFT(D1887,6)="CLIENT",IF(E1887=0,WORKDAY(A1887-1,1,Dias_Sem_Compensacao!$A$2:$A$500),WORKDAY(A1887,E1887,Dias_Sem_Compensacao!$A$2:$A$500)),"")</f>
        <v>46309</v>
      </c>
      <c r="H1887" s="25">
        <v>0</v>
      </c>
      <c r="I1887" s="28">
        <v>46308</v>
      </c>
      <c r="J1887" t="s">
        <v>1950</v>
      </c>
      <c r="K1887" t="s">
        <v>1951</v>
      </c>
    </row>
    <row r="1888" spans="1:11" hidden="1">
      <c r="A1888" s="28">
        <v>46308</v>
      </c>
      <c r="B1888" t="s">
        <v>186</v>
      </c>
      <c r="C1888" t="s">
        <v>203</v>
      </c>
      <c r="D1888" t="s">
        <v>217</v>
      </c>
      <c r="E1888">
        <f>IF(LEFT(D1888,6)="CLIENT",IFERROR(VLOOKUP(C1888,Config_Carteiras!$A:$B,2,FALSE),1),"")</f>
        <v>1</v>
      </c>
      <c r="F1888" s="25">
        <v>776.17</v>
      </c>
      <c r="G1888" s="28">
        <f>IF(LEFT(D1888,6)="CLIENT",IF(E1888=0,WORKDAY(A1888-1,1,Dias_Sem_Compensacao!$A$2:$A$500),WORKDAY(A1888,E1888,Dias_Sem_Compensacao!$A$2:$A$500)),"")</f>
        <v>46309</v>
      </c>
      <c r="H1888" s="25">
        <v>0</v>
      </c>
      <c r="I1888" s="28">
        <v>46308</v>
      </c>
      <c r="J1888" t="s">
        <v>1952</v>
      </c>
      <c r="K1888" t="s">
        <v>2393</v>
      </c>
    </row>
    <row r="1889" spans="1:11" hidden="1">
      <c r="A1889" s="28">
        <v>46308</v>
      </c>
      <c r="B1889" t="s">
        <v>186</v>
      </c>
      <c r="C1889" t="s">
        <v>203</v>
      </c>
      <c r="D1889" t="s">
        <v>217</v>
      </c>
      <c r="E1889">
        <f>IF(LEFT(D1889,6)="CLIENT",IFERROR(VLOOKUP(C1889,Config_Carteiras!$A:$B,2,FALSE),1),"")</f>
        <v>1</v>
      </c>
      <c r="F1889" s="25">
        <v>630</v>
      </c>
      <c r="G1889" s="28">
        <f>IF(LEFT(D1889,6)="CLIENT",IF(E1889=0,WORKDAY(A1889-1,1,Dias_Sem_Compensacao!$A$2:$A$500),WORKDAY(A1889,E1889,Dias_Sem_Compensacao!$A$2:$A$500)),"")</f>
        <v>46309</v>
      </c>
      <c r="H1889" s="25">
        <v>0</v>
      </c>
      <c r="I1889" s="28">
        <v>46308</v>
      </c>
      <c r="J1889" t="s">
        <v>1157</v>
      </c>
      <c r="K1889" t="s">
        <v>1158</v>
      </c>
    </row>
    <row r="1890" spans="1:11" hidden="1">
      <c r="A1890" s="28">
        <v>46308</v>
      </c>
      <c r="B1890" t="s">
        <v>186</v>
      </c>
      <c r="C1890" t="s">
        <v>203</v>
      </c>
      <c r="D1890" t="s">
        <v>217</v>
      </c>
      <c r="E1890">
        <f>IF(LEFT(D1890,6)="CLIENT",IFERROR(VLOOKUP(C1890,Config_Carteiras!$A:$B,2,FALSE),1),"")</f>
        <v>1</v>
      </c>
      <c r="F1890" s="25">
        <v>1256</v>
      </c>
      <c r="G1890" s="28">
        <f>IF(LEFT(D1890,6)="CLIENT",IF(E1890=0,WORKDAY(A1890-1,1,Dias_Sem_Compensacao!$A$2:$A$500),WORKDAY(A1890,E1890,Dias_Sem_Compensacao!$A$2:$A$500)),"")</f>
        <v>46309</v>
      </c>
      <c r="H1890" s="25">
        <v>0</v>
      </c>
      <c r="I1890" s="28">
        <v>46308</v>
      </c>
      <c r="J1890" t="s">
        <v>2394</v>
      </c>
      <c r="K1890" t="s">
        <v>2395</v>
      </c>
    </row>
    <row r="1891" spans="1:11" hidden="1">
      <c r="A1891" s="28">
        <v>46308</v>
      </c>
      <c r="B1891" t="s">
        <v>186</v>
      </c>
      <c r="C1891" t="s">
        <v>203</v>
      </c>
      <c r="D1891" t="s">
        <v>217</v>
      </c>
      <c r="E1891">
        <f>IF(LEFT(D1891,6)="CLIENT",IFERROR(VLOOKUP(C1891,Config_Carteiras!$A:$B,2,FALSE),1),"")</f>
        <v>1</v>
      </c>
      <c r="F1891" s="25">
        <v>283.45</v>
      </c>
      <c r="G1891" s="28">
        <f>IF(LEFT(D1891,6)="CLIENT",IF(E1891=0,WORKDAY(A1891-1,1,Dias_Sem_Compensacao!$A$2:$A$500),WORKDAY(A1891,E1891,Dias_Sem_Compensacao!$A$2:$A$500)),"")</f>
        <v>46309</v>
      </c>
      <c r="H1891" s="25">
        <v>0</v>
      </c>
      <c r="I1891" s="28">
        <v>46308</v>
      </c>
      <c r="J1891" t="s">
        <v>1954</v>
      </c>
      <c r="K1891" t="s">
        <v>1955</v>
      </c>
    </row>
    <row r="1892" spans="1:11" hidden="1">
      <c r="A1892" s="28">
        <v>46308</v>
      </c>
      <c r="B1892" t="s">
        <v>186</v>
      </c>
      <c r="C1892" t="s">
        <v>203</v>
      </c>
      <c r="D1892" t="s">
        <v>217</v>
      </c>
      <c r="E1892">
        <f>IF(LEFT(D1892,6)="CLIENT",IFERROR(VLOOKUP(C1892,Config_Carteiras!$A:$B,2,FALSE),1),"")</f>
        <v>1</v>
      </c>
      <c r="F1892" s="25">
        <v>3816.75</v>
      </c>
      <c r="G1892" s="28">
        <f>IF(LEFT(D1892,6)="CLIENT",IF(E1892=0,WORKDAY(A1892-1,1,Dias_Sem_Compensacao!$A$2:$A$500),WORKDAY(A1892,E1892,Dias_Sem_Compensacao!$A$2:$A$500)),"")</f>
        <v>46309</v>
      </c>
      <c r="H1892" s="25">
        <v>0</v>
      </c>
      <c r="I1892" s="28">
        <v>46308</v>
      </c>
      <c r="J1892" t="s">
        <v>2396</v>
      </c>
      <c r="K1892" t="s">
        <v>2397</v>
      </c>
    </row>
    <row r="1893" spans="1:11" hidden="1">
      <c r="A1893" s="28">
        <v>46308</v>
      </c>
      <c r="B1893" t="s">
        <v>186</v>
      </c>
      <c r="C1893" t="s">
        <v>203</v>
      </c>
      <c r="D1893" t="s">
        <v>217</v>
      </c>
      <c r="E1893">
        <f>IF(LEFT(D1893,6)="CLIENT",IFERROR(VLOOKUP(C1893,Config_Carteiras!$A:$B,2,FALSE),1),"")</f>
        <v>1</v>
      </c>
      <c r="F1893" s="25">
        <v>8735.3799999999992</v>
      </c>
      <c r="G1893" s="28">
        <f>IF(LEFT(D1893,6)="CLIENT",IF(E1893=0,WORKDAY(A1893-1,1,Dias_Sem_Compensacao!$A$2:$A$500),WORKDAY(A1893,E1893,Dias_Sem_Compensacao!$A$2:$A$500)),"")</f>
        <v>46309</v>
      </c>
      <c r="H1893" s="25">
        <v>0</v>
      </c>
      <c r="I1893" s="28">
        <v>46308</v>
      </c>
      <c r="J1893" t="s">
        <v>1815</v>
      </c>
      <c r="K1893" t="s">
        <v>1816</v>
      </c>
    </row>
    <row r="1894" spans="1:11" hidden="1">
      <c r="A1894" s="28">
        <v>46308</v>
      </c>
      <c r="B1894" t="s">
        <v>186</v>
      </c>
      <c r="C1894" t="s">
        <v>203</v>
      </c>
      <c r="D1894" t="s">
        <v>217</v>
      </c>
      <c r="E1894">
        <f>IF(LEFT(D1894,6)="CLIENT",IFERROR(VLOOKUP(C1894,Config_Carteiras!$A:$B,2,FALSE),1),"")</f>
        <v>1</v>
      </c>
      <c r="F1894" s="25">
        <v>886</v>
      </c>
      <c r="G1894" s="28">
        <f>IF(LEFT(D1894,6)="CLIENT",IF(E1894=0,WORKDAY(A1894-1,1,Dias_Sem_Compensacao!$A$2:$A$500),WORKDAY(A1894,E1894,Dias_Sem_Compensacao!$A$2:$A$500)),"")</f>
        <v>46309</v>
      </c>
      <c r="H1894" s="25">
        <v>0</v>
      </c>
      <c r="I1894" s="28">
        <v>46308</v>
      </c>
      <c r="J1894" t="s">
        <v>2398</v>
      </c>
      <c r="K1894" t="s">
        <v>2399</v>
      </c>
    </row>
    <row r="1895" spans="1:11" hidden="1">
      <c r="A1895" s="28">
        <v>46308</v>
      </c>
      <c r="B1895" t="s">
        <v>186</v>
      </c>
      <c r="C1895" t="s">
        <v>203</v>
      </c>
      <c r="D1895" t="s">
        <v>217</v>
      </c>
      <c r="E1895">
        <f>IF(LEFT(D1895,6)="CLIENT",IFERROR(VLOOKUP(C1895,Config_Carteiras!$A:$B,2,FALSE),1),"")</f>
        <v>1</v>
      </c>
      <c r="F1895" s="25">
        <v>2242</v>
      </c>
      <c r="G1895" s="28">
        <f>IF(LEFT(D1895,6)="CLIENT",IF(E1895=0,WORKDAY(A1895-1,1,Dias_Sem_Compensacao!$A$2:$A$500),WORKDAY(A1895,E1895,Dias_Sem_Compensacao!$A$2:$A$500)),"")</f>
        <v>46309</v>
      </c>
      <c r="H1895" s="25">
        <v>0</v>
      </c>
      <c r="I1895" s="28">
        <v>46308</v>
      </c>
      <c r="J1895" t="s">
        <v>2400</v>
      </c>
      <c r="K1895" t="s">
        <v>2401</v>
      </c>
    </row>
    <row r="1896" spans="1:11" hidden="1">
      <c r="A1896" s="28">
        <v>46308</v>
      </c>
      <c r="B1896" t="s">
        <v>186</v>
      </c>
      <c r="C1896" t="s">
        <v>203</v>
      </c>
      <c r="D1896" t="s">
        <v>217</v>
      </c>
      <c r="E1896">
        <f>IF(LEFT(D1896,6)="CLIENT",IFERROR(VLOOKUP(C1896,Config_Carteiras!$A:$B,2,FALSE),1),"")</f>
        <v>1</v>
      </c>
      <c r="F1896" s="25">
        <v>2880</v>
      </c>
      <c r="G1896" s="28">
        <f>IF(LEFT(D1896,6)="CLIENT",IF(E1896=0,WORKDAY(A1896-1,1,Dias_Sem_Compensacao!$A$2:$A$500),WORKDAY(A1896,E1896,Dias_Sem_Compensacao!$A$2:$A$500)),"")</f>
        <v>46309</v>
      </c>
      <c r="H1896" s="25">
        <v>0</v>
      </c>
      <c r="I1896" s="28">
        <v>46308</v>
      </c>
      <c r="J1896" t="s">
        <v>2402</v>
      </c>
      <c r="K1896" t="s">
        <v>2403</v>
      </c>
    </row>
    <row r="1897" spans="1:11" hidden="1">
      <c r="A1897" s="28">
        <v>46308</v>
      </c>
      <c r="B1897" t="s">
        <v>186</v>
      </c>
      <c r="C1897" t="s">
        <v>203</v>
      </c>
      <c r="D1897" t="s">
        <v>217</v>
      </c>
      <c r="E1897">
        <f>IF(LEFT(D1897,6)="CLIENT",IFERROR(VLOOKUP(C1897,Config_Carteiras!$A:$B,2,FALSE),1),"")</f>
        <v>1</v>
      </c>
      <c r="F1897" s="25">
        <v>30375</v>
      </c>
      <c r="G1897" s="28">
        <f>IF(LEFT(D1897,6)="CLIENT",IF(E1897=0,WORKDAY(A1897-1,1,Dias_Sem_Compensacao!$A$2:$A$500),WORKDAY(A1897,E1897,Dias_Sem_Compensacao!$A$2:$A$500)),"")</f>
        <v>46309</v>
      </c>
      <c r="H1897" s="25">
        <v>0</v>
      </c>
      <c r="I1897" s="28">
        <v>46308</v>
      </c>
      <c r="J1897" t="s">
        <v>1162</v>
      </c>
      <c r="K1897" t="s">
        <v>2404</v>
      </c>
    </row>
    <row r="1898" spans="1:11" hidden="1">
      <c r="A1898" s="28">
        <v>46308</v>
      </c>
      <c r="B1898" t="s">
        <v>186</v>
      </c>
      <c r="C1898" t="s">
        <v>203</v>
      </c>
      <c r="D1898" t="s">
        <v>217</v>
      </c>
      <c r="E1898">
        <f>IF(LEFT(D1898,6)="CLIENT",IFERROR(VLOOKUP(C1898,Config_Carteiras!$A:$B,2,FALSE),1),"")</f>
        <v>1</v>
      </c>
      <c r="F1898" s="25">
        <v>19656</v>
      </c>
      <c r="G1898" s="28">
        <f>IF(LEFT(D1898,6)="CLIENT",IF(E1898=0,WORKDAY(A1898-1,1,Dias_Sem_Compensacao!$A$2:$A$500),WORKDAY(A1898,E1898,Dias_Sem_Compensacao!$A$2:$A$500)),"")</f>
        <v>46309</v>
      </c>
      <c r="H1898" s="25">
        <v>0</v>
      </c>
      <c r="I1898" s="28">
        <v>46308</v>
      </c>
      <c r="K1898" t="s">
        <v>2405</v>
      </c>
    </row>
    <row r="1899" spans="1:11" hidden="1">
      <c r="A1899" s="28">
        <v>46308</v>
      </c>
      <c r="B1899" t="s">
        <v>186</v>
      </c>
      <c r="C1899" t="s">
        <v>203</v>
      </c>
      <c r="D1899" t="s">
        <v>217</v>
      </c>
      <c r="E1899">
        <f>IF(LEFT(D1899,6)="CLIENT",IFERROR(VLOOKUP(C1899,Config_Carteiras!$A:$B,2,FALSE),1),"")</f>
        <v>1</v>
      </c>
      <c r="F1899" s="25">
        <v>16479</v>
      </c>
      <c r="G1899" s="28">
        <f>IF(LEFT(D1899,6)="CLIENT",IF(E1899=0,WORKDAY(A1899-1,1,Dias_Sem_Compensacao!$A$2:$A$500),WORKDAY(A1899,E1899,Dias_Sem_Compensacao!$A$2:$A$500)),"")</f>
        <v>46309</v>
      </c>
      <c r="H1899" s="25">
        <v>0</v>
      </c>
      <c r="I1899" s="28">
        <v>46308</v>
      </c>
      <c r="K1899" t="s">
        <v>2406</v>
      </c>
    </row>
    <row r="1900" spans="1:11" hidden="1">
      <c r="A1900" s="28">
        <v>46308</v>
      </c>
      <c r="B1900" t="s">
        <v>186</v>
      </c>
      <c r="C1900" t="s">
        <v>203</v>
      </c>
      <c r="D1900" t="s">
        <v>217</v>
      </c>
      <c r="E1900">
        <f>IF(LEFT(D1900,6)="CLIENT",IFERROR(VLOOKUP(C1900,Config_Carteiras!$A:$B,2,FALSE),1),"")</f>
        <v>1</v>
      </c>
      <c r="F1900" s="25">
        <v>438</v>
      </c>
      <c r="G1900" s="28">
        <f>IF(LEFT(D1900,6)="CLIENT",IF(E1900=0,WORKDAY(A1900-1,1,Dias_Sem_Compensacao!$A$2:$A$500),WORKDAY(A1900,E1900,Dias_Sem_Compensacao!$A$2:$A$500)),"")</f>
        <v>46309</v>
      </c>
      <c r="H1900" s="25">
        <v>0</v>
      </c>
      <c r="I1900" s="28">
        <v>46308</v>
      </c>
      <c r="J1900" t="s">
        <v>2407</v>
      </c>
      <c r="K1900" t="s">
        <v>2408</v>
      </c>
    </row>
    <row r="1901" spans="1:11" hidden="1">
      <c r="A1901" s="28">
        <v>46308</v>
      </c>
      <c r="B1901" t="s">
        <v>186</v>
      </c>
      <c r="C1901" t="s">
        <v>203</v>
      </c>
      <c r="D1901" t="s">
        <v>217</v>
      </c>
      <c r="E1901">
        <f>IF(LEFT(D1901,6)="CLIENT",IFERROR(VLOOKUP(C1901,Config_Carteiras!$A:$B,2,FALSE),1),"")</f>
        <v>1</v>
      </c>
      <c r="F1901" s="25">
        <v>428</v>
      </c>
      <c r="G1901" s="28">
        <f>IF(LEFT(D1901,6)="CLIENT",IF(E1901=0,WORKDAY(A1901-1,1,Dias_Sem_Compensacao!$A$2:$A$500),WORKDAY(A1901,E1901,Dias_Sem_Compensacao!$A$2:$A$500)),"")</f>
        <v>46309</v>
      </c>
      <c r="H1901" s="25">
        <v>0</v>
      </c>
      <c r="I1901" s="28">
        <v>46308</v>
      </c>
      <c r="J1901" t="s">
        <v>1956</v>
      </c>
      <c r="K1901" t="s">
        <v>1957</v>
      </c>
    </row>
    <row r="1902" spans="1:11" hidden="1">
      <c r="A1902" s="28">
        <v>46308</v>
      </c>
      <c r="B1902" t="s">
        <v>186</v>
      </c>
      <c r="C1902" t="s">
        <v>203</v>
      </c>
      <c r="D1902" t="s">
        <v>217</v>
      </c>
      <c r="E1902">
        <f>IF(LEFT(D1902,6)="CLIENT",IFERROR(VLOOKUP(C1902,Config_Carteiras!$A:$B,2,FALSE),1),"")</f>
        <v>1</v>
      </c>
      <c r="F1902" s="25">
        <v>725</v>
      </c>
      <c r="G1902" s="28">
        <f>IF(LEFT(D1902,6)="CLIENT",IF(E1902=0,WORKDAY(A1902-1,1,Dias_Sem_Compensacao!$A$2:$A$500),WORKDAY(A1902,E1902,Dias_Sem_Compensacao!$A$2:$A$500)),"")</f>
        <v>46309</v>
      </c>
      <c r="H1902" s="25">
        <v>0</v>
      </c>
      <c r="I1902" s="28">
        <v>46308</v>
      </c>
      <c r="J1902" t="s">
        <v>1958</v>
      </c>
      <c r="K1902" t="s">
        <v>1959</v>
      </c>
    </row>
    <row r="1903" spans="1:11" hidden="1">
      <c r="A1903" s="28">
        <v>46308</v>
      </c>
      <c r="B1903" t="s">
        <v>186</v>
      </c>
      <c r="C1903" t="s">
        <v>203</v>
      </c>
      <c r="D1903" t="s">
        <v>217</v>
      </c>
      <c r="E1903">
        <f>IF(LEFT(D1903,6)="CLIENT",IFERROR(VLOOKUP(C1903,Config_Carteiras!$A:$B,2,FALSE),1),"")</f>
        <v>1</v>
      </c>
      <c r="F1903" s="25">
        <v>725</v>
      </c>
      <c r="G1903" s="28">
        <f>IF(LEFT(D1903,6)="CLIENT",IF(E1903=0,WORKDAY(A1903-1,1,Dias_Sem_Compensacao!$A$2:$A$500),WORKDAY(A1903,E1903,Dias_Sem_Compensacao!$A$2:$A$500)),"")</f>
        <v>46309</v>
      </c>
      <c r="H1903" s="25">
        <v>0</v>
      </c>
      <c r="I1903" s="28">
        <v>46308</v>
      </c>
      <c r="J1903" t="s">
        <v>1960</v>
      </c>
      <c r="K1903" t="s">
        <v>1961</v>
      </c>
    </row>
    <row r="1904" spans="1:11" hidden="1">
      <c r="A1904" s="28">
        <v>46308</v>
      </c>
      <c r="B1904" t="s">
        <v>186</v>
      </c>
      <c r="C1904" t="s">
        <v>203</v>
      </c>
      <c r="D1904" t="s">
        <v>217</v>
      </c>
      <c r="E1904">
        <f>IF(LEFT(D1904,6)="CLIENT",IFERROR(VLOOKUP(C1904,Config_Carteiras!$A:$B,2,FALSE),1),"")</f>
        <v>1</v>
      </c>
      <c r="F1904" s="25">
        <v>1448</v>
      </c>
      <c r="G1904" s="28">
        <f>IF(LEFT(D1904,6)="CLIENT",IF(E1904=0,WORKDAY(A1904-1,1,Dias_Sem_Compensacao!$A$2:$A$500),WORKDAY(A1904,E1904,Dias_Sem_Compensacao!$A$2:$A$500)),"")</f>
        <v>46309</v>
      </c>
      <c r="H1904" s="25">
        <v>0</v>
      </c>
      <c r="I1904" s="28">
        <v>46308</v>
      </c>
      <c r="J1904" t="s">
        <v>2409</v>
      </c>
      <c r="K1904" t="s">
        <v>2410</v>
      </c>
    </row>
    <row r="1905" spans="1:11" hidden="1">
      <c r="A1905" s="28">
        <v>46308</v>
      </c>
      <c r="B1905" t="s">
        <v>186</v>
      </c>
      <c r="C1905" t="s">
        <v>203</v>
      </c>
      <c r="D1905" t="s">
        <v>217</v>
      </c>
      <c r="E1905">
        <f>IF(LEFT(D1905,6)="CLIENT",IFERROR(VLOOKUP(C1905,Config_Carteiras!$A:$B,2,FALSE),1),"")</f>
        <v>1</v>
      </c>
      <c r="F1905" s="25">
        <v>1436</v>
      </c>
      <c r="G1905" s="28">
        <f>IF(LEFT(D1905,6)="CLIENT",IF(E1905=0,WORKDAY(A1905-1,1,Dias_Sem_Compensacao!$A$2:$A$500),WORKDAY(A1905,E1905,Dias_Sem_Compensacao!$A$2:$A$500)),"")</f>
        <v>46309</v>
      </c>
      <c r="H1905" s="25">
        <v>0</v>
      </c>
      <c r="I1905" s="28">
        <v>46308</v>
      </c>
      <c r="J1905" t="s">
        <v>1962</v>
      </c>
      <c r="K1905" t="s">
        <v>1963</v>
      </c>
    </row>
    <row r="1906" spans="1:11" hidden="1">
      <c r="A1906" s="28">
        <v>46308</v>
      </c>
      <c r="B1906" t="s">
        <v>186</v>
      </c>
      <c r="C1906" t="s">
        <v>203</v>
      </c>
      <c r="D1906" t="s">
        <v>217</v>
      </c>
      <c r="E1906">
        <f>IF(LEFT(D1906,6)="CLIENT",IFERROR(VLOOKUP(C1906,Config_Carteiras!$A:$B,2,FALSE),1),"")</f>
        <v>1</v>
      </c>
      <c r="F1906" s="25">
        <v>6165.22</v>
      </c>
      <c r="G1906" s="28">
        <f>IF(LEFT(D1906,6)="CLIENT",IF(E1906=0,WORKDAY(A1906-1,1,Dias_Sem_Compensacao!$A$2:$A$500),WORKDAY(A1906,E1906,Dias_Sem_Compensacao!$A$2:$A$500)),"")</f>
        <v>46309</v>
      </c>
      <c r="H1906" s="25">
        <v>0</v>
      </c>
      <c r="I1906" s="28">
        <v>46308</v>
      </c>
      <c r="J1906" t="s">
        <v>1966</v>
      </c>
      <c r="K1906" t="s">
        <v>2411</v>
      </c>
    </row>
    <row r="1907" spans="1:11" hidden="1">
      <c r="A1907" s="28">
        <v>46308</v>
      </c>
      <c r="B1907" t="s">
        <v>186</v>
      </c>
      <c r="C1907" t="s">
        <v>203</v>
      </c>
      <c r="D1907" t="s">
        <v>217</v>
      </c>
      <c r="E1907">
        <f>IF(LEFT(D1907,6)="CLIENT",IFERROR(VLOOKUP(C1907,Config_Carteiras!$A:$B,2,FALSE),1),"")</f>
        <v>1</v>
      </c>
      <c r="F1907" s="25">
        <v>640.20000000000005</v>
      </c>
      <c r="G1907" s="28">
        <f>IF(LEFT(D1907,6)="CLIENT",IF(E1907=0,WORKDAY(A1907-1,1,Dias_Sem_Compensacao!$A$2:$A$500),WORKDAY(A1907,E1907,Dias_Sem_Compensacao!$A$2:$A$500)),"")</f>
        <v>46309</v>
      </c>
      <c r="H1907" s="25">
        <v>0</v>
      </c>
      <c r="I1907" s="28">
        <v>46308</v>
      </c>
      <c r="J1907" t="s">
        <v>1168</v>
      </c>
      <c r="K1907" t="s">
        <v>1169</v>
      </c>
    </row>
    <row r="1908" spans="1:11" hidden="1">
      <c r="A1908" s="28">
        <v>46308</v>
      </c>
      <c r="B1908" t="s">
        <v>186</v>
      </c>
      <c r="C1908" t="s">
        <v>203</v>
      </c>
      <c r="D1908" t="s">
        <v>217</v>
      </c>
      <c r="E1908">
        <f>IF(LEFT(D1908,6)="CLIENT",IFERROR(VLOOKUP(C1908,Config_Carteiras!$A:$B,2,FALSE),1),"")</f>
        <v>1</v>
      </c>
      <c r="F1908" s="25">
        <v>1128.21</v>
      </c>
      <c r="G1908" s="28">
        <f>IF(LEFT(D1908,6)="CLIENT",IF(E1908=0,WORKDAY(A1908-1,1,Dias_Sem_Compensacao!$A$2:$A$500),WORKDAY(A1908,E1908,Dias_Sem_Compensacao!$A$2:$A$500)),"")</f>
        <v>46309</v>
      </c>
      <c r="H1908" s="25">
        <v>0</v>
      </c>
      <c r="I1908" s="28">
        <v>46308</v>
      </c>
      <c r="J1908" t="s">
        <v>1970</v>
      </c>
      <c r="K1908" t="s">
        <v>1971</v>
      </c>
    </row>
    <row r="1909" spans="1:11" hidden="1">
      <c r="A1909" s="28">
        <v>46308</v>
      </c>
      <c r="B1909" t="s">
        <v>186</v>
      </c>
      <c r="C1909" t="s">
        <v>203</v>
      </c>
      <c r="D1909" t="s">
        <v>217</v>
      </c>
      <c r="E1909">
        <f>IF(LEFT(D1909,6)="CLIENT",IFERROR(VLOOKUP(C1909,Config_Carteiras!$A:$B,2,FALSE),1),"")</f>
        <v>1</v>
      </c>
      <c r="F1909" s="25">
        <v>773</v>
      </c>
      <c r="G1909" s="28">
        <f>IF(LEFT(D1909,6)="CLIENT",IF(E1909=0,WORKDAY(A1909-1,1,Dias_Sem_Compensacao!$A$2:$A$500),WORKDAY(A1909,E1909,Dias_Sem_Compensacao!$A$2:$A$500)),"")</f>
        <v>46309</v>
      </c>
      <c r="H1909" s="25">
        <v>0</v>
      </c>
      <c r="I1909" s="28">
        <v>46308</v>
      </c>
      <c r="J1909" t="s">
        <v>2412</v>
      </c>
      <c r="K1909" t="s">
        <v>2413</v>
      </c>
    </row>
    <row r="1910" spans="1:11" hidden="1">
      <c r="A1910" s="28">
        <v>46308</v>
      </c>
      <c r="B1910" t="s">
        <v>186</v>
      </c>
      <c r="C1910" t="s">
        <v>203</v>
      </c>
      <c r="D1910" t="s">
        <v>217</v>
      </c>
      <c r="E1910">
        <f>IF(LEFT(D1910,6)="CLIENT",IFERROR(VLOOKUP(C1910,Config_Carteiras!$A:$B,2,FALSE),1),"")</f>
        <v>1</v>
      </c>
      <c r="F1910" s="25">
        <v>641</v>
      </c>
      <c r="G1910" s="28">
        <f>IF(LEFT(D1910,6)="CLIENT",IF(E1910=0,WORKDAY(A1910-1,1,Dias_Sem_Compensacao!$A$2:$A$500),WORKDAY(A1910,E1910,Dias_Sem_Compensacao!$A$2:$A$500)),"")</f>
        <v>46309</v>
      </c>
      <c r="H1910" s="25">
        <v>0</v>
      </c>
      <c r="I1910" s="28">
        <v>46308</v>
      </c>
      <c r="J1910" t="s">
        <v>2414</v>
      </c>
      <c r="K1910" t="s">
        <v>2415</v>
      </c>
    </row>
    <row r="1911" spans="1:11" hidden="1">
      <c r="A1911" s="28">
        <v>46308</v>
      </c>
      <c r="B1911" t="s">
        <v>186</v>
      </c>
      <c r="C1911" t="s">
        <v>203</v>
      </c>
      <c r="D1911" t="s">
        <v>217</v>
      </c>
      <c r="E1911">
        <f>IF(LEFT(D1911,6)="CLIENT",IFERROR(VLOOKUP(C1911,Config_Carteiras!$A:$B,2,FALSE),1),"")</f>
        <v>1</v>
      </c>
      <c r="F1911" s="25">
        <v>3232.66</v>
      </c>
      <c r="G1911" s="28">
        <f>IF(LEFT(D1911,6)="CLIENT",IF(E1911=0,WORKDAY(A1911-1,1,Dias_Sem_Compensacao!$A$2:$A$500),WORKDAY(A1911,E1911,Dias_Sem_Compensacao!$A$2:$A$500)),"")</f>
        <v>46309</v>
      </c>
      <c r="H1911" s="25">
        <v>0</v>
      </c>
      <c r="I1911" s="28">
        <v>46308</v>
      </c>
      <c r="J1911" t="s">
        <v>2416</v>
      </c>
      <c r="K1911" t="s">
        <v>2417</v>
      </c>
    </row>
    <row r="1912" spans="1:11" hidden="1">
      <c r="A1912" s="28">
        <v>46308</v>
      </c>
      <c r="B1912" t="s">
        <v>186</v>
      </c>
      <c r="C1912" t="s">
        <v>203</v>
      </c>
      <c r="D1912" t="s">
        <v>217</v>
      </c>
      <c r="E1912">
        <f>IF(LEFT(D1912,6)="CLIENT",IFERROR(VLOOKUP(C1912,Config_Carteiras!$A:$B,2,FALSE),1),"")</f>
        <v>1</v>
      </c>
      <c r="F1912" s="25">
        <v>1549</v>
      </c>
      <c r="G1912" s="28">
        <f>IF(LEFT(D1912,6)="CLIENT",IF(E1912=0,WORKDAY(A1912-1,1,Dias_Sem_Compensacao!$A$2:$A$500),WORKDAY(A1912,E1912,Dias_Sem_Compensacao!$A$2:$A$500)),"")</f>
        <v>46309</v>
      </c>
      <c r="H1912" s="25">
        <v>0</v>
      </c>
      <c r="I1912" s="28">
        <v>46308</v>
      </c>
      <c r="J1912" t="s">
        <v>1822</v>
      </c>
      <c r="K1912" t="s">
        <v>1823</v>
      </c>
    </row>
    <row r="1913" spans="1:11" hidden="1">
      <c r="A1913" s="28">
        <v>46308</v>
      </c>
      <c r="B1913" t="s">
        <v>186</v>
      </c>
      <c r="C1913" t="s">
        <v>203</v>
      </c>
      <c r="D1913" t="s">
        <v>217</v>
      </c>
      <c r="E1913">
        <f>IF(LEFT(D1913,6)="CLIENT",IFERROR(VLOOKUP(C1913,Config_Carteiras!$A:$B,2,FALSE),1),"")</f>
        <v>1</v>
      </c>
      <c r="F1913" s="25">
        <v>552.54999999999995</v>
      </c>
      <c r="G1913" s="28">
        <f>IF(LEFT(D1913,6)="CLIENT",IF(E1913=0,WORKDAY(A1913-1,1,Dias_Sem_Compensacao!$A$2:$A$500),WORKDAY(A1913,E1913,Dias_Sem_Compensacao!$A$2:$A$500)),"")</f>
        <v>46309</v>
      </c>
      <c r="H1913" s="25">
        <v>0</v>
      </c>
      <c r="I1913" s="28">
        <v>46308</v>
      </c>
      <c r="J1913" t="s">
        <v>1172</v>
      </c>
      <c r="K1913" t="s">
        <v>1173</v>
      </c>
    </row>
    <row r="1914" spans="1:11" hidden="1">
      <c r="A1914" s="28">
        <v>46308</v>
      </c>
      <c r="B1914" t="s">
        <v>186</v>
      </c>
      <c r="C1914" t="s">
        <v>203</v>
      </c>
      <c r="D1914" t="s">
        <v>217</v>
      </c>
      <c r="E1914">
        <f>IF(LEFT(D1914,6)="CLIENT",IFERROR(VLOOKUP(C1914,Config_Carteiras!$A:$B,2,FALSE),1),"")</f>
        <v>1</v>
      </c>
      <c r="F1914" s="25">
        <v>639</v>
      </c>
      <c r="G1914" s="28">
        <f>IF(LEFT(D1914,6)="CLIENT",IF(E1914=0,WORKDAY(A1914-1,1,Dias_Sem_Compensacao!$A$2:$A$500),WORKDAY(A1914,E1914,Dias_Sem_Compensacao!$A$2:$A$500)),"")</f>
        <v>46309</v>
      </c>
      <c r="H1914" s="25">
        <v>0</v>
      </c>
      <c r="I1914" s="28">
        <v>46308</v>
      </c>
      <c r="J1914" t="s">
        <v>401</v>
      </c>
      <c r="K1914" t="s">
        <v>2418</v>
      </c>
    </row>
    <row r="1915" spans="1:11" hidden="1">
      <c r="A1915" s="28">
        <v>46308</v>
      </c>
      <c r="B1915" t="s">
        <v>186</v>
      </c>
      <c r="C1915" t="s">
        <v>203</v>
      </c>
      <c r="D1915" t="s">
        <v>217</v>
      </c>
      <c r="E1915">
        <f>IF(LEFT(D1915,6)="CLIENT",IFERROR(VLOOKUP(C1915,Config_Carteiras!$A:$B,2,FALSE),1),"")</f>
        <v>1</v>
      </c>
      <c r="F1915" s="25">
        <v>780</v>
      </c>
      <c r="G1915" s="28">
        <f>IF(LEFT(D1915,6)="CLIENT",IF(E1915=0,WORKDAY(A1915-1,1,Dias_Sem_Compensacao!$A$2:$A$500),WORKDAY(A1915,E1915,Dias_Sem_Compensacao!$A$2:$A$500)),"")</f>
        <v>46309</v>
      </c>
      <c r="H1915" s="25">
        <v>0</v>
      </c>
      <c r="I1915" s="28">
        <v>46308</v>
      </c>
      <c r="J1915" t="s">
        <v>2175</v>
      </c>
      <c r="K1915" t="s">
        <v>2419</v>
      </c>
    </row>
    <row r="1916" spans="1:11" hidden="1">
      <c r="A1916" s="28">
        <v>46308</v>
      </c>
      <c r="B1916" t="s">
        <v>186</v>
      </c>
      <c r="C1916" t="s">
        <v>203</v>
      </c>
      <c r="D1916" t="s">
        <v>217</v>
      </c>
      <c r="E1916">
        <f>IF(LEFT(D1916,6)="CLIENT",IFERROR(VLOOKUP(C1916,Config_Carteiras!$A:$B,2,FALSE),1),"")</f>
        <v>1</v>
      </c>
      <c r="F1916" s="25">
        <v>562</v>
      </c>
      <c r="G1916" s="28">
        <f>IF(LEFT(D1916,6)="CLIENT",IF(E1916=0,WORKDAY(A1916-1,1,Dias_Sem_Compensacao!$A$2:$A$500),WORKDAY(A1916,E1916,Dias_Sem_Compensacao!$A$2:$A$500)),"")</f>
        <v>46309</v>
      </c>
      <c r="H1916" s="25">
        <v>0</v>
      </c>
      <c r="I1916" s="28">
        <v>46308</v>
      </c>
      <c r="J1916" t="s">
        <v>1824</v>
      </c>
      <c r="K1916" t="s">
        <v>1825</v>
      </c>
    </row>
    <row r="1917" spans="1:11" hidden="1">
      <c r="A1917" s="28">
        <v>46308</v>
      </c>
      <c r="B1917" t="s">
        <v>186</v>
      </c>
      <c r="C1917" t="s">
        <v>203</v>
      </c>
      <c r="D1917" t="s">
        <v>217</v>
      </c>
      <c r="E1917">
        <f>IF(LEFT(D1917,6)="CLIENT",IFERROR(VLOOKUP(C1917,Config_Carteiras!$A:$B,2,FALSE),1),"")</f>
        <v>1</v>
      </c>
      <c r="F1917" s="25">
        <v>1000</v>
      </c>
      <c r="G1917" s="28">
        <f>IF(LEFT(D1917,6)="CLIENT",IF(E1917=0,WORKDAY(A1917-1,1,Dias_Sem_Compensacao!$A$2:$A$500),WORKDAY(A1917,E1917,Dias_Sem_Compensacao!$A$2:$A$500)),"")</f>
        <v>46309</v>
      </c>
      <c r="H1917" s="25">
        <v>0</v>
      </c>
      <c r="I1917" s="28">
        <v>46308</v>
      </c>
      <c r="J1917" t="s">
        <v>243</v>
      </c>
      <c r="K1917" t="s">
        <v>1826</v>
      </c>
    </row>
    <row r="1918" spans="1:11" hidden="1">
      <c r="A1918" s="28">
        <v>46308</v>
      </c>
      <c r="B1918" t="s">
        <v>186</v>
      </c>
      <c r="C1918" t="s">
        <v>203</v>
      </c>
      <c r="D1918" t="s">
        <v>217</v>
      </c>
      <c r="E1918">
        <f>IF(LEFT(D1918,6)="CLIENT",IFERROR(VLOOKUP(C1918,Config_Carteiras!$A:$B,2,FALSE),1),"")</f>
        <v>1</v>
      </c>
      <c r="F1918" s="25">
        <v>1102</v>
      </c>
      <c r="G1918" s="28">
        <f>IF(LEFT(D1918,6)="CLIENT",IF(E1918=0,WORKDAY(A1918-1,1,Dias_Sem_Compensacao!$A$2:$A$500),WORKDAY(A1918,E1918,Dias_Sem_Compensacao!$A$2:$A$500)),"")</f>
        <v>46309</v>
      </c>
      <c r="H1918" s="25">
        <v>0</v>
      </c>
      <c r="I1918" s="28">
        <v>46308</v>
      </c>
      <c r="J1918" t="s">
        <v>284</v>
      </c>
      <c r="K1918" t="s">
        <v>2420</v>
      </c>
    </row>
    <row r="1919" spans="1:11" hidden="1">
      <c r="A1919" s="28">
        <v>46308</v>
      </c>
      <c r="B1919" t="s">
        <v>186</v>
      </c>
      <c r="C1919" t="s">
        <v>203</v>
      </c>
      <c r="D1919" t="s">
        <v>217</v>
      </c>
      <c r="E1919">
        <f>IF(LEFT(D1919,6)="CLIENT",IFERROR(VLOOKUP(C1919,Config_Carteiras!$A:$B,2,FALSE),1),"")</f>
        <v>1</v>
      </c>
      <c r="F1919" s="25">
        <v>865.35</v>
      </c>
      <c r="G1919" s="28">
        <f>IF(LEFT(D1919,6)="CLIENT",IF(E1919=0,WORKDAY(A1919-1,1,Dias_Sem_Compensacao!$A$2:$A$500),WORKDAY(A1919,E1919,Dias_Sem_Compensacao!$A$2:$A$500)),"")</f>
        <v>46309</v>
      </c>
      <c r="H1919" s="25">
        <v>0</v>
      </c>
      <c r="I1919" s="28">
        <v>46308</v>
      </c>
      <c r="J1919" t="s">
        <v>1176</v>
      </c>
      <c r="K1919" t="s">
        <v>1177</v>
      </c>
    </row>
    <row r="1920" spans="1:11" hidden="1">
      <c r="A1920" s="28">
        <v>46308</v>
      </c>
      <c r="B1920" t="s">
        <v>186</v>
      </c>
      <c r="C1920" t="s">
        <v>203</v>
      </c>
      <c r="D1920" t="s">
        <v>217</v>
      </c>
      <c r="E1920">
        <f>IF(LEFT(D1920,6)="CLIENT",IFERROR(VLOOKUP(C1920,Config_Carteiras!$A:$B,2,FALSE),1),"")</f>
        <v>1</v>
      </c>
      <c r="F1920" s="25">
        <v>660</v>
      </c>
      <c r="G1920" s="28">
        <f>IF(LEFT(D1920,6)="CLIENT",IF(E1920=0,WORKDAY(A1920-1,1,Dias_Sem_Compensacao!$A$2:$A$500),WORKDAY(A1920,E1920,Dias_Sem_Compensacao!$A$2:$A$500)),"")</f>
        <v>46309</v>
      </c>
      <c r="H1920" s="25">
        <v>0</v>
      </c>
      <c r="I1920" s="28">
        <v>46308</v>
      </c>
      <c r="J1920" t="s">
        <v>2421</v>
      </c>
      <c r="K1920" t="s">
        <v>2422</v>
      </c>
    </row>
    <row r="1921" spans="1:11" hidden="1">
      <c r="A1921" s="28">
        <v>46308</v>
      </c>
      <c r="B1921" t="s">
        <v>186</v>
      </c>
      <c r="C1921" t="s">
        <v>203</v>
      </c>
      <c r="D1921" t="s">
        <v>217</v>
      </c>
      <c r="E1921">
        <f>IF(LEFT(D1921,6)="CLIENT",IFERROR(VLOOKUP(C1921,Config_Carteiras!$A:$B,2,FALSE),1),"")</f>
        <v>1</v>
      </c>
      <c r="F1921" s="25">
        <v>485.12</v>
      </c>
      <c r="G1921" s="28">
        <f>IF(LEFT(D1921,6)="CLIENT",IF(E1921=0,WORKDAY(A1921-1,1,Dias_Sem_Compensacao!$A$2:$A$500),WORKDAY(A1921,E1921,Dias_Sem_Compensacao!$A$2:$A$500)),"")</f>
        <v>46309</v>
      </c>
      <c r="H1921" s="25">
        <v>0</v>
      </c>
      <c r="I1921" s="28">
        <v>46308</v>
      </c>
      <c r="J1921" t="s">
        <v>1178</v>
      </c>
      <c r="K1921" t="s">
        <v>1179</v>
      </c>
    </row>
    <row r="1922" spans="1:11" hidden="1">
      <c r="A1922" s="28">
        <v>46308</v>
      </c>
      <c r="B1922" t="s">
        <v>186</v>
      </c>
      <c r="C1922" t="s">
        <v>203</v>
      </c>
      <c r="D1922" t="s">
        <v>217</v>
      </c>
      <c r="E1922">
        <f>IF(LEFT(D1922,6)="CLIENT",IFERROR(VLOOKUP(C1922,Config_Carteiras!$A:$B,2,FALSE),1),"")</f>
        <v>1</v>
      </c>
      <c r="F1922" s="25">
        <v>1079</v>
      </c>
      <c r="G1922" s="28">
        <f>IF(LEFT(D1922,6)="CLIENT",IF(E1922=0,WORKDAY(A1922-1,1,Dias_Sem_Compensacao!$A$2:$A$500),WORKDAY(A1922,E1922,Dias_Sem_Compensacao!$A$2:$A$500)),"")</f>
        <v>46309</v>
      </c>
      <c r="H1922" s="25">
        <v>0</v>
      </c>
      <c r="I1922" s="28">
        <v>46308</v>
      </c>
      <c r="J1922" t="s">
        <v>1703</v>
      </c>
      <c r="K1922" t="s">
        <v>1827</v>
      </c>
    </row>
    <row r="1923" spans="1:11" hidden="1">
      <c r="A1923" s="28">
        <v>46308</v>
      </c>
      <c r="B1923" t="s">
        <v>186</v>
      </c>
      <c r="C1923" t="s">
        <v>203</v>
      </c>
      <c r="D1923" t="s">
        <v>217</v>
      </c>
      <c r="E1923">
        <f>IF(LEFT(D1923,6)="CLIENT",IFERROR(VLOOKUP(C1923,Config_Carteiras!$A:$B,2,FALSE),1),"")</f>
        <v>1</v>
      </c>
      <c r="F1923" s="25">
        <v>1213</v>
      </c>
      <c r="G1923" s="28">
        <f>IF(LEFT(D1923,6)="CLIENT",IF(E1923=0,WORKDAY(A1923-1,1,Dias_Sem_Compensacao!$A$2:$A$500),WORKDAY(A1923,E1923,Dias_Sem_Compensacao!$A$2:$A$500)),"")</f>
        <v>46309</v>
      </c>
      <c r="H1923" s="25">
        <v>0</v>
      </c>
      <c r="I1923" s="28">
        <v>46308</v>
      </c>
      <c r="K1923" t="s">
        <v>1828</v>
      </c>
    </row>
    <row r="1924" spans="1:11" hidden="1">
      <c r="A1924" s="28">
        <v>46308</v>
      </c>
      <c r="B1924" t="s">
        <v>186</v>
      </c>
      <c r="C1924" t="s">
        <v>203</v>
      </c>
      <c r="D1924" t="s">
        <v>217</v>
      </c>
      <c r="E1924">
        <f>IF(LEFT(D1924,6)="CLIENT",IFERROR(VLOOKUP(C1924,Config_Carteiras!$A:$B,2,FALSE),1),"")</f>
        <v>1</v>
      </c>
      <c r="F1924" s="25">
        <v>1633</v>
      </c>
      <c r="G1924" s="28">
        <f>IF(LEFT(D1924,6)="CLIENT",IF(E1924=0,WORKDAY(A1924-1,1,Dias_Sem_Compensacao!$A$2:$A$500),WORKDAY(A1924,E1924,Dias_Sem_Compensacao!$A$2:$A$500)),"")</f>
        <v>46309</v>
      </c>
      <c r="H1924" s="25">
        <v>0</v>
      </c>
      <c r="I1924" s="28">
        <v>46308</v>
      </c>
      <c r="J1924" t="s">
        <v>1976</v>
      </c>
      <c r="K1924" t="s">
        <v>1977</v>
      </c>
    </row>
    <row r="1925" spans="1:11" hidden="1">
      <c r="A1925" s="28">
        <v>46308</v>
      </c>
      <c r="B1925" t="s">
        <v>186</v>
      </c>
      <c r="C1925" t="s">
        <v>203</v>
      </c>
      <c r="D1925" t="s">
        <v>217</v>
      </c>
      <c r="E1925">
        <f>IF(LEFT(D1925,6)="CLIENT",IFERROR(VLOOKUP(C1925,Config_Carteiras!$A:$B,2,FALSE),1),"")</f>
        <v>1</v>
      </c>
      <c r="F1925" s="25">
        <v>1511.68</v>
      </c>
      <c r="G1925" s="28">
        <f>IF(LEFT(D1925,6)="CLIENT",IF(E1925=0,WORKDAY(A1925-1,1,Dias_Sem_Compensacao!$A$2:$A$500),WORKDAY(A1925,E1925,Dias_Sem_Compensacao!$A$2:$A$500)),"")</f>
        <v>46309</v>
      </c>
      <c r="H1925" s="25">
        <v>0</v>
      </c>
      <c r="I1925" s="28">
        <v>46308</v>
      </c>
      <c r="J1925" t="s">
        <v>1180</v>
      </c>
      <c r="K1925" t="s">
        <v>1181</v>
      </c>
    </row>
    <row r="1926" spans="1:11" hidden="1">
      <c r="A1926" s="28">
        <v>46308</v>
      </c>
      <c r="B1926" t="s">
        <v>186</v>
      </c>
      <c r="C1926" t="s">
        <v>203</v>
      </c>
      <c r="D1926" t="s">
        <v>217</v>
      </c>
      <c r="E1926">
        <f>IF(LEFT(D1926,6)="CLIENT",IFERROR(VLOOKUP(C1926,Config_Carteiras!$A:$B,2,FALSE),1),"")</f>
        <v>1</v>
      </c>
      <c r="F1926" s="25">
        <v>1056</v>
      </c>
      <c r="G1926" s="28">
        <f>IF(LEFT(D1926,6)="CLIENT",IF(E1926=0,WORKDAY(A1926-1,1,Dias_Sem_Compensacao!$A$2:$A$500),WORKDAY(A1926,E1926,Dias_Sem_Compensacao!$A$2:$A$500)),"")</f>
        <v>46309</v>
      </c>
      <c r="H1926" s="25">
        <v>0</v>
      </c>
      <c r="I1926" s="28">
        <v>46308</v>
      </c>
      <c r="J1926" t="s">
        <v>718</v>
      </c>
      <c r="K1926" t="s">
        <v>1978</v>
      </c>
    </row>
    <row r="1927" spans="1:11" hidden="1">
      <c r="A1927" s="28">
        <v>46308</v>
      </c>
      <c r="B1927" t="s">
        <v>186</v>
      </c>
      <c r="C1927" t="s">
        <v>203</v>
      </c>
      <c r="D1927" t="s">
        <v>217</v>
      </c>
      <c r="E1927">
        <f>IF(LEFT(D1927,6)="CLIENT",IFERROR(VLOOKUP(C1927,Config_Carteiras!$A:$B,2,FALSE),1),"")</f>
        <v>1</v>
      </c>
      <c r="F1927" s="25">
        <v>782</v>
      </c>
      <c r="G1927" s="28">
        <f>IF(LEFT(D1927,6)="CLIENT",IF(E1927=0,WORKDAY(A1927-1,1,Dias_Sem_Compensacao!$A$2:$A$500),WORKDAY(A1927,E1927,Dias_Sem_Compensacao!$A$2:$A$500)),"")</f>
        <v>46309</v>
      </c>
      <c r="H1927" s="25">
        <v>0</v>
      </c>
      <c r="I1927" s="28">
        <v>46308</v>
      </c>
      <c r="J1927" t="s">
        <v>2423</v>
      </c>
      <c r="K1927" t="s">
        <v>2424</v>
      </c>
    </row>
    <row r="1928" spans="1:11" hidden="1">
      <c r="A1928" s="28">
        <v>46308</v>
      </c>
      <c r="B1928" t="s">
        <v>186</v>
      </c>
      <c r="C1928" t="s">
        <v>203</v>
      </c>
      <c r="D1928" t="s">
        <v>217</v>
      </c>
      <c r="E1928">
        <f>IF(LEFT(D1928,6)="CLIENT",IFERROR(VLOOKUP(C1928,Config_Carteiras!$A:$B,2,FALSE),1),"")</f>
        <v>1</v>
      </c>
      <c r="F1928" s="25">
        <v>721</v>
      </c>
      <c r="G1928" s="28">
        <f>IF(LEFT(D1928,6)="CLIENT",IF(E1928=0,WORKDAY(A1928-1,1,Dias_Sem_Compensacao!$A$2:$A$500),WORKDAY(A1928,E1928,Dias_Sem_Compensacao!$A$2:$A$500)),"")</f>
        <v>46309</v>
      </c>
      <c r="H1928" s="25">
        <v>0</v>
      </c>
      <c r="I1928" s="28">
        <v>46308</v>
      </c>
      <c r="J1928" t="s">
        <v>2425</v>
      </c>
      <c r="K1928" t="s">
        <v>2426</v>
      </c>
    </row>
    <row r="1929" spans="1:11" hidden="1">
      <c r="A1929" s="28">
        <v>46308</v>
      </c>
      <c r="B1929" t="s">
        <v>186</v>
      </c>
      <c r="C1929" t="s">
        <v>203</v>
      </c>
      <c r="D1929" t="s">
        <v>217</v>
      </c>
      <c r="E1929">
        <f>IF(LEFT(D1929,6)="CLIENT",IFERROR(VLOOKUP(C1929,Config_Carteiras!$A:$B,2,FALSE),1),"")</f>
        <v>1</v>
      </c>
      <c r="F1929" s="25">
        <v>3931.61</v>
      </c>
      <c r="G1929" s="28">
        <f>IF(LEFT(D1929,6)="CLIENT",IF(E1929=0,WORKDAY(A1929-1,1,Dias_Sem_Compensacao!$A$2:$A$500),WORKDAY(A1929,E1929,Dias_Sem_Compensacao!$A$2:$A$500)),"")</f>
        <v>46309</v>
      </c>
      <c r="H1929" s="25">
        <v>0</v>
      </c>
      <c r="I1929" s="28">
        <v>46308</v>
      </c>
      <c r="J1929" t="s">
        <v>2427</v>
      </c>
      <c r="K1929" t="s">
        <v>2428</v>
      </c>
    </row>
    <row r="1930" spans="1:11" hidden="1">
      <c r="A1930" s="28">
        <v>46308</v>
      </c>
      <c r="B1930" t="s">
        <v>186</v>
      </c>
      <c r="C1930" t="s">
        <v>203</v>
      </c>
      <c r="D1930" t="s">
        <v>217</v>
      </c>
      <c r="E1930">
        <f>IF(LEFT(D1930,6)="CLIENT",IFERROR(VLOOKUP(C1930,Config_Carteiras!$A:$B,2,FALSE),1),"")</f>
        <v>1</v>
      </c>
      <c r="F1930" s="25">
        <v>799.25</v>
      </c>
      <c r="G1930" s="28">
        <f>IF(LEFT(D1930,6)="CLIENT",IF(E1930=0,WORKDAY(A1930-1,1,Dias_Sem_Compensacao!$A$2:$A$500),WORKDAY(A1930,E1930,Dias_Sem_Compensacao!$A$2:$A$500)),"")</f>
        <v>46309</v>
      </c>
      <c r="H1930" s="25">
        <v>0</v>
      </c>
      <c r="I1930" s="28">
        <v>46308</v>
      </c>
      <c r="J1930" t="s">
        <v>1829</v>
      </c>
      <c r="K1930" t="s">
        <v>1830</v>
      </c>
    </row>
    <row r="1931" spans="1:11" hidden="1">
      <c r="A1931" s="28">
        <v>46308</v>
      </c>
      <c r="B1931" t="s">
        <v>186</v>
      </c>
      <c r="C1931" t="s">
        <v>203</v>
      </c>
      <c r="D1931" t="s">
        <v>217</v>
      </c>
      <c r="E1931">
        <f>IF(LEFT(D1931,6)="CLIENT",IFERROR(VLOOKUP(C1931,Config_Carteiras!$A:$B,2,FALSE),1),"")</f>
        <v>1</v>
      </c>
      <c r="F1931" s="25">
        <v>796</v>
      </c>
      <c r="G1931" s="28">
        <f>IF(LEFT(D1931,6)="CLIENT",IF(E1931=0,WORKDAY(A1931-1,1,Dias_Sem_Compensacao!$A$2:$A$500),WORKDAY(A1931,E1931,Dias_Sem_Compensacao!$A$2:$A$500)),"")</f>
        <v>46309</v>
      </c>
      <c r="H1931" s="25">
        <v>0</v>
      </c>
      <c r="I1931" s="28">
        <v>46308</v>
      </c>
      <c r="J1931" t="s">
        <v>298</v>
      </c>
      <c r="K1931" t="s">
        <v>1979</v>
      </c>
    </row>
    <row r="1932" spans="1:11" hidden="1">
      <c r="A1932" s="28">
        <v>46308</v>
      </c>
      <c r="B1932" t="s">
        <v>186</v>
      </c>
      <c r="C1932" t="s">
        <v>203</v>
      </c>
      <c r="D1932" t="s">
        <v>217</v>
      </c>
      <c r="E1932">
        <f>IF(LEFT(D1932,6)="CLIENT",IFERROR(VLOOKUP(C1932,Config_Carteiras!$A:$B,2,FALSE),1),"")</f>
        <v>1</v>
      </c>
      <c r="F1932" s="25">
        <v>520</v>
      </c>
      <c r="G1932" s="28">
        <f>IF(LEFT(D1932,6)="CLIENT",IF(E1932=0,WORKDAY(A1932-1,1,Dias_Sem_Compensacao!$A$2:$A$500),WORKDAY(A1932,E1932,Dias_Sem_Compensacao!$A$2:$A$500)),"")</f>
        <v>46309</v>
      </c>
      <c r="H1932" s="25">
        <v>0</v>
      </c>
      <c r="I1932" s="28">
        <v>46308</v>
      </c>
      <c r="J1932" t="s">
        <v>2429</v>
      </c>
      <c r="K1932" t="s">
        <v>2430</v>
      </c>
    </row>
    <row r="1933" spans="1:11" hidden="1">
      <c r="A1933" s="28">
        <v>46308</v>
      </c>
      <c r="B1933" t="s">
        <v>186</v>
      </c>
      <c r="C1933" t="s">
        <v>203</v>
      </c>
      <c r="D1933" t="s">
        <v>217</v>
      </c>
      <c r="E1933">
        <f>IF(LEFT(D1933,6)="CLIENT",IFERROR(VLOOKUP(C1933,Config_Carteiras!$A:$B,2,FALSE),1),"")</f>
        <v>1</v>
      </c>
      <c r="F1933" s="25">
        <v>514.12</v>
      </c>
      <c r="G1933" s="28">
        <f>IF(LEFT(D1933,6)="CLIENT",IF(E1933=0,WORKDAY(A1933-1,1,Dias_Sem_Compensacao!$A$2:$A$500),WORKDAY(A1933,E1933,Dias_Sem_Compensacao!$A$2:$A$500)),"")</f>
        <v>46309</v>
      </c>
      <c r="H1933" s="25">
        <v>0</v>
      </c>
      <c r="I1933" s="28">
        <v>46308</v>
      </c>
      <c r="J1933" t="s">
        <v>1980</v>
      </c>
      <c r="K1933" t="s">
        <v>1981</v>
      </c>
    </row>
    <row r="1934" spans="1:11" hidden="1">
      <c r="A1934" s="28">
        <v>46308</v>
      </c>
      <c r="B1934" t="s">
        <v>186</v>
      </c>
      <c r="C1934" t="s">
        <v>203</v>
      </c>
      <c r="D1934" t="s">
        <v>217</v>
      </c>
      <c r="E1934">
        <f>IF(LEFT(D1934,6)="CLIENT",IFERROR(VLOOKUP(C1934,Config_Carteiras!$A:$B,2,FALSE),1),"")</f>
        <v>1</v>
      </c>
      <c r="F1934" s="25">
        <v>474.54</v>
      </c>
      <c r="G1934" s="28">
        <f>IF(LEFT(D1934,6)="CLIENT",IF(E1934=0,WORKDAY(A1934-1,1,Dias_Sem_Compensacao!$A$2:$A$500),WORKDAY(A1934,E1934,Dias_Sem_Compensacao!$A$2:$A$500)),"")</f>
        <v>46309</v>
      </c>
      <c r="H1934" s="25">
        <v>0</v>
      </c>
      <c r="I1934" s="28">
        <v>46308</v>
      </c>
      <c r="J1934" t="s">
        <v>1982</v>
      </c>
      <c r="K1934" t="s">
        <v>1983</v>
      </c>
    </row>
    <row r="1935" spans="1:11" hidden="1">
      <c r="A1935" s="28">
        <v>46308</v>
      </c>
      <c r="B1935" t="s">
        <v>186</v>
      </c>
      <c r="C1935" t="s">
        <v>203</v>
      </c>
      <c r="D1935" t="s">
        <v>217</v>
      </c>
      <c r="E1935">
        <f>IF(LEFT(D1935,6)="CLIENT",IFERROR(VLOOKUP(C1935,Config_Carteiras!$A:$B,2,FALSE),1),"")</f>
        <v>1</v>
      </c>
      <c r="F1935" s="25">
        <v>442</v>
      </c>
      <c r="G1935" s="28">
        <f>IF(LEFT(D1935,6)="CLIENT",IF(E1935=0,WORKDAY(A1935-1,1,Dias_Sem_Compensacao!$A$2:$A$500),WORKDAY(A1935,E1935,Dias_Sem_Compensacao!$A$2:$A$500)),"")</f>
        <v>46309</v>
      </c>
      <c r="H1935" s="25">
        <v>0</v>
      </c>
      <c r="I1935" s="28">
        <v>46308</v>
      </c>
      <c r="J1935" t="s">
        <v>1833</v>
      </c>
      <c r="K1935" t="s">
        <v>1834</v>
      </c>
    </row>
    <row r="1936" spans="1:11" hidden="1">
      <c r="A1936" s="28">
        <v>46308</v>
      </c>
      <c r="B1936" t="s">
        <v>186</v>
      </c>
      <c r="C1936" t="s">
        <v>203</v>
      </c>
      <c r="D1936" t="s">
        <v>217</v>
      </c>
      <c r="E1936">
        <f>IF(LEFT(D1936,6)="CLIENT",IFERROR(VLOOKUP(C1936,Config_Carteiras!$A:$B,2,FALSE),1),"")</f>
        <v>1</v>
      </c>
      <c r="F1936" s="25">
        <v>3843</v>
      </c>
      <c r="G1936" s="28">
        <f>IF(LEFT(D1936,6)="CLIENT",IF(E1936=0,WORKDAY(A1936-1,1,Dias_Sem_Compensacao!$A$2:$A$500),WORKDAY(A1936,E1936,Dias_Sem_Compensacao!$A$2:$A$500)),"")</f>
        <v>46309</v>
      </c>
      <c r="H1936" s="25">
        <v>0</v>
      </c>
      <c r="I1936" s="28">
        <v>46308</v>
      </c>
      <c r="J1936" t="s">
        <v>1835</v>
      </c>
      <c r="K1936" t="s">
        <v>1836</v>
      </c>
    </row>
    <row r="1937" spans="1:11" hidden="1">
      <c r="A1937" s="28">
        <v>46308</v>
      </c>
      <c r="B1937" t="s">
        <v>186</v>
      </c>
      <c r="C1937" t="s">
        <v>203</v>
      </c>
      <c r="D1937" t="s">
        <v>217</v>
      </c>
      <c r="E1937">
        <f>IF(LEFT(D1937,6)="CLIENT",IFERROR(VLOOKUP(C1937,Config_Carteiras!$A:$B,2,FALSE),1),"")</f>
        <v>1</v>
      </c>
      <c r="F1937" s="25">
        <v>3169</v>
      </c>
      <c r="G1937" s="28">
        <f>IF(LEFT(D1937,6)="CLIENT",IF(E1937=0,WORKDAY(A1937-1,1,Dias_Sem_Compensacao!$A$2:$A$500),WORKDAY(A1937,E1937,Dias_Sem_Compensacao!$A$2:$A$500)),"")</f>
        <v>46309</v>
      </c>
      <c r="H1937" s="25">
        <v>0</v>
      </c>
      <c r="I1937" s="28">
        <v>46308</v>
      </c>
      <c r="J1937" t="s">
        <v>1837</v>
      </c>
      <c r="K1937" t="s">
        <v>1838</v>
      </c>
    </row>
    <row r="1938" spans="1:11" hidden="1">
      <c r="A1938" s="28">
        <v>46308</v>
      </c>
      <c r="B1938" t="s">
        <v>186</v>
      </c>
      <c r="C1938" t="s">
        <v>203</v>
      </c>
      <c r="D1938" t="s">
        <v>217</v>
      </c>
      <c r="E1938">
        <f>IF(LEFT(D1938,6)="CLIENT",IFERROR(VLOOKUP(C1938,Config_Carteiras!$A:$B,2,FALSE),1),"")</f>
        <v>1</v>
      </c>
      <c r="F1938" s="25">
        <v>2219.6</v>
      </c>
      <c r="G1938" s="28">
        <f>IF(LEFT(D1938,6)="CLIENT",IF(E1938=0,WORKDAY(A1938-1,1,Dias_Sem_Compensacao!$A$2:$A$500),WORKDAY(A1938,E1938,Dias_Sem_Compensacao!$A$2:$A$500)),"")</f>
        <v>46309</v>
      </c>
      <c r="H1938" s="25">
        <v>0</v>
      </c>
      <c r="I1938" s="28">
        <v>46308</v>
      </c>
      <c r="J1938" t="s">
        <v>2431</v>
      </c>
      <c r="K1938" t="s">
        <v>2432</v>
      </c>
    </row>
    <row r="1939" spans="1:11" hidden="1">
      <c r="A1939" s="28">
        <v>46308</v>
      </c>
      <c r="B1939" t="s">
        <v>186</v>
      </c>
      <c r="C1939" t="s">
        <v>203</v>
      </c>
      <c r="D1939" t="s">
        <v>217</v>
      </c>
      <c r="E1939">
        <f>IF(LEFT(D1939,6)="CLIENT",IFERROR(VLOOKUP(C1939,Config_Carteiras!$A:$B,2,FALSE),1),"")</f>
        <v>1</v>
      </c>
      <c r="F1939" s="25">
        <v>698</v>
      </c>
      <c r="G1939" s="28">
        <f>IF(LEFT(D1939,6)="CLIENT",IF(E1939=0,WORKDAY(A1939-1,1,Dias_Sem_Compensacao!$A$2:$A$500),WORKDAY(A1939,E1939,Dias_Sem_Compensacao!$A$2:$A$500)),"")</f>
        <v>46309</v>
      </c>
      <c r="H1939" s="25">
        <v>0</v>
      </c>
      <c r="I1939" s="28">
        <v>46308</v>
      </c>
      <c r="J1939" t="s">
        <v>2433</v>
      </c>
      <c r="K1939" t="s">
        <v>2434</v>
      </c>
    </row>
    <row r="1940" spans="1:11" hidden="1">
      <c r="A1940" s="28">
        <v>46308</v>
      </c>
      <c r="B1940" t="s">
        <v>186</v>
      </c>
      <c r="C1940" t="s">
        <v>203</v>
      </c>
      <c r="D1940" t="s">
        <v>217</v>
      </c>
      <c r="E1940">
        <f>IF(LEFT(D1940,6)="CLIENT",IFERROR(VLOOKUP(C1940,Config_Carteiras!$A:$B,2,FALSE),1),"")</f>
        <v>1</v>
      </c>
      <c r="F1940" s="25">
        <v>2289</v>
      </c>
      <c r="G1940" s="28">
        <f>IF(LEFT(D1940,6)="CLIENT",IF(E1940=0,WORKDAY(A1940-1,1,Dias_Sem_Compensacao!$A$2:$A$500),WORKDAY(A1940,E1940,Dias_Sem_Compensacao!$A$2:$A$500)),"")</f>
        <v>46309</v>
      </c>
      <c r="H1940" s="25">
        <v>0</v>
      </c>
      <c r="I1940" s="28">
        <v>46308</v>
      </c>
      <c r="J1940" t="s">
        <v>1843</v>
      </c>
      <c r="K1940" t="s">
        <v>1844</v>
      </c>
    </row>
    <row r="1941" spans="1:11" hidden="1">
      <c r="A1941" s="28">
        <v>46308</v>
      </c>
      <c r="B1941" t="s">
        <v>186</v>
      </c>
      <c r="C1941" t="s">
        <v>203</v>
      </c>
      <c r="D1941" t="s">
        <v>217</v>
      </c>
      <c r="E1941">
        <f>IF(LEFT(D1941,6)="CLIENT",IFERROR(VLOOKUP(C1941,Config_Carteiras!$A:$B,2,FALSE),1),"")</f>
        <v>1</v>
      </c>
      <c r="F1941" s="25">
        <v>1982</v>
      </c>
      <c r="G1941" s="28">
        <f>IF(LEFT(D1941,6)="CLIENT",IF(E1941=0,WORKDAY(A1941-1,1,Dias_Sem_Compensacao!$A$2:$A$500),WORKDAY(A1941,E1941,Dias_Sem_Compensacao!$A$2:$A$500)),"")</f>
        <v>46309</v>
      </c>
      <c r="H1941" s="25">
        <v>0</v>
      </c>
      <c r="I1941" s="28">
        <v>46308</v>
      </c>
      <c r="J1941" t="s">
        <v>2435</v>
      </c>
      <c r="K1941" t="s">
        <v>2436</v>
      </c>
    </row>
    <row r="1942" spans="1:11" hidden="1">
      <c r="A1942" s="28">
        <v>46308</v>
      </c>
      <c r="B1942" t="s">
        <v>186</v>
      </c>
      <c r="C1942" t="s">
        <v>203</v>
      </c>
      <c r="D1942" t="s">
        <v>217</v>
      </c>
      <c r="E1942">
        <f>IF(LEFT(D1942,6)="CLIENT",IFERROR(VLOOKUP(C1942,Config_Carteiras!$A:$B,2,FALSE),1),"")</f>
        <v>1</v>
      </c>
      <c r="F1942" s="25">
        <v>678</v>
      </c>
      <c r="G1942" s="28">
        <f>IF(LEFT(D1942,6)="CLIENT",IF(E1942=0,WORKDAY(A1942-1,1,Dias_Sem_Compensacao!$A$2:$A$500),WORKDAY(A1942,E1942,Dias_Sem_Compensacao!$A$2:$A$500)),"")</f>
        <v>46309</v>
      </c>
      <c r="H1942" s="25">
        <v>0</v>
      </c>
      <c r="I1942" s="28">
        <v>46308</v>
      </c>
      <c r="J1942" t="s">
        <v>2437</v>
      </c>
      <c r="K1942" t="s">
        <v>2438</v>
      </c>
    </row>
    <row r="1943" spans="1:11" hidden="1">
      <c r="A1943" s="28">
        <v>46308</v>
      </c>
      <c r="B1943" t="s">
        <v>186</v>
      </c>
      <c r="C1943" t="s">
        <v>203</v>
      </c>
      <c r="D1943" t="s">
        <v>217</v>
      </c>
      <c r="E1943">
        <f>IF(LEFT(D1943,6)="CLIENT",IFERROR(VLOOKUP(C1943,Config_Carteiras!$A:$B,2,FALSE),1),"")</f>
        <v>1</v>
      </c>
      <c r="F1943" s="25">
        <v>262</v>
      </c>
      <c r="G1943" s="28">
        <f>IF(LEFT(D1943,6)="CLIENT",IF(E1943=0,WORKDAY(A1943-1,1,Dias_Sem_Compensacao!$A$2:$A$500),WORKDAY(A1943,E1943,Dias_Sem_Compensacao!$A$2:$A$500)),"")</f>
        <v>46309</v>
      </c>
      <c r="H1943" s="25">
        <v>0</v>
      </c>
      <c r="I1943" s="28">
        <v>46308</v>
      </c>
      <c r="J1943" t="s">
        <v>1195</v>
      </c>
      <c r="K1943" t="s">
        <v>1196</v>
      </c>
    </row>
    <row r="1944" spans="1:11" hidden="1">
      <c r="A1944" s="28">
        <v>46308</v>
      </c>
      <c r="B1944" t="s">
        <v>186</v>
      </c>
      <c r="C1944" t="s">
        <v>203</v>
      </c>
      <c r="D1944" t="s">
        <v>217</v>
      </c>
      <c r="E1944">
        <f>IF(LEFT(D1944,6)="CLIENT",IFERROR(VLOOKUP(C1944,Config_Carteiras!$A:$B,2,FALSE),1),"")</f>
        <v>1</v>
      </c>
      <c r="F1944" s="25">
        <v>15375</v>
      </c>
      <c r="G1944" s="28">
        <f>IF(LEFT(D1944,6)="CLIENT",IF(E1944=0,WORKDAY(A1944-1,1,Dias_Sem_Compensacao!$A$2:$A$500),WORKDAY(A1944,E1944,Dias_Sem_Compensacao!$A$2:$A$500)),"")</f>
        <v>46309</v>
      </c>
      <c r="H1944" s="25">
        <v>0</v>
      </c>
      <c r="I1944" s="28">
        <v>46308</v>
      </c>
      <c r="J1944" t="s">
        <v>1201</v>
      </c>
      <c r="K1944" t="s">
        <v>1202</v>
      </c>
    </row>
    <row r="1945" spans="1:11" hidden="1">
      <c r="A1945" s="28">
        <v>46308</v>
      </c>
      <c r="B1945" t="s">
        <v>186</v>
      </c>
      <c r="C1945" t="s">
        <v>203</v>
      </c>
      <c r="D1945" t="s">
        <v>217</v>
      </c>
      <c r="E1945">
        <f>IF(LEFT(D1945,6)="CLIENT",IFERROR(VLOOKUP(C1945,Config_Carteiras!$A:$B,2,FALSE),1),"")</f>
        <v>1</v>
      </c>
      <c r="F1945" s="25">
        <v>15925</v>
      </c>
      <c r="G1945" s="28">
        <f>IF(LEFT(D1945,6)="CLIENT",IF(E1945=0,WORKDAY(A1945-1,1,Dias_Sem_Compensacao!$A$2:$A$500),WORKDAY(A1945,E1945,Dias_Sem_Compensacao!$A$2:$A$500)),"")</f>
        <v>46309</v>
      </c>
      <c r="H1945" s="25">
        <v>0</v>
      </c>
      <c r="I1945" s="28">
        <v>46308</v>
      </c>
      <c r="K1945" t="s">
        <v>1203</v>
      </c>
    </row>
    <row r="1946" spans="1:11" hidden="1">
      <c r="A1946" s="28">
        <v>46308</v>
      </c>
      <c r="B1946" t="s">
        <v>186</v>
      </c>
      <c r="C1946" t="s">
        <v>203</v>
      </c>
      <c r="D1946" t="s">
        <v>217</v>
      </c>
      <c r="E1946">
        <f>IF(LEFT(D1946,6)="CLIENT",IFERROR(VLOOKUP(C1946,Config_Carteiras!$A:$B,2,FALSE),1),"")</f>
        <v>1</v>
      </c>
      <c r="F1946" s="25">
        <v>695</v>
      </c>
      <c r="G1946" s="28">
        <f>IF(LEFT(D1946,6)="CLIENT",IF(E1946=0,WORKDAY(A1946-1,1,Dias_Sem_Compensacao!$A$2:$A$500),WORKDAY(A1946,E1946,Dias_Sem_Compensacao!$A$2:$A$500)),"")</f>
        <v>46309</v>
      </c>
      <c r="H1946" s="25">
        <v>0</v>
      </c>
      <c r="I1946" s="28">
        <v>46308</v>
      </c>
      <c r="J1946" t="s">
        <v>2439</v>
      </c>
      <c r="K1946" t="s">
        <v>2440</v>
      </c>
    </row>
    <row r="1947" spans="1:11" hidden="1">
      <c r="A1947" s="28">
        <v>46308</v>
      </c>
      <c r="B1947" t="s">
        <v>186</v>
      </c>
      <c r="C1947" t="s">
        <v>203</v>
      </c>
      <c r="D1947" t="s">
        <v>217</v>
      </c>
      <c r="E1947">
        <f>IF(LEFT(D1947,6)="CLIENT",IFERROR(VLOOKUP(C1947,Config_Carteiras!$A:$B,2,FALSE),1),"")</f>
        <v>1</v>
      </c>
      <c r="F1947" s="25">
        <v>1962</v>
      </c>
      <c r="G1947" s="28">
        <f>IF(LEFT(D1947,6)="CLIENT",IF(E1947=0,WORKDAY(A1947-1,1,Dias_Sem_Compensacao!$A$2:$A$500),WORKDAY(A1947,E1947,Dias_Sem_Compensacao!$A$2:$A$500)),"")</f>
        <v>46309</v>
      </c>
      <c r="H1947" s="25">
        <v>0</v>
      </c>
      <c r="I1947" s="28">
        <v>46308</v>
      </c>
      <c r="J1947" t="s">
        <v>2441</v>
      </c>
      <c r="K1947" t="s">
        <v>2442</v>
      </c>
    </row>
    <row r="1948" spans="1:11" hidden="1">
      <c r="A1948" s="28">
        <v>46308</v>
      </c>
      <c r="B1948" t="s">
        <v>186</v>
      </c>
      <c r="C1948" t="s">
        <v>203</v>
      </c>
      <c r="D1948" t="s">
        <v>217</v>
      </c>
      <c r="E1948">
        <f>IF(LEFT(D1948,6)="CLIENT",IFERROR(VLOOKUP(C1948,Config_Carteiras!$A:$B,2,FALSE),1),"")</f>
        <v>1</v>
      </c>
      <c r="F1948" s="25">
        <v>937</v>
      </c>
      <c r="G1948" s="28">
        <f>IF(LEFT(D1948,6)="CLIENT",IF(E1948=0,WORKDAY(A1948-1,1,Dias_Sem_Compensacao!$A$2:$A$500),WORKDAY(A1948,E1948,Dias_Sem_Compensacao!$A$2:$A$500)),"")</f>
        <v>46309</v>
      </c>
      <c r="H1948" s="25">
        <v>0</v>
      </c>
      <c r="I1948" s="28">
        <v>46308</v>
      </c>
      <c r="J1948" t="s">
        <v>2443</v>
      </c>
      <c r="K1948" t="s">
        <v>2444</v>
      </c>
    </row>
    <row r="1949" spans="1:11" hidden="1">
      <c r="A1949" s="28">
        <v>46308</v>
      </c>
      <c r="B1949" t="s">
        <v>186</v>
      </c>
      <c r="C1949" t="s">
        <v>203</v>
      </c>
      <c r="D1949" t="s">
        <v>217</v>
      </c>
      <c r="E1949">
        <f>IF(LEFT(D1949,6)="CLIENT",IFERROR(VLOOKUP(C1949,Config_Carteiras!$A:$B,2,FALSE),1),"")</f>
        <v>1</v>
      </c>
      <c r="F1949" s="25">
        <v>699.54</v>
      </c>
      <c r="G1949" s="28">
        <f>IF(LEFT(D1949,6)="CLIENT",IF(E1949=0,WORKDAY(A1949-1,1,Dias_Sem_Compensacao!$A$2:$A$500),WORKDAY(A1949,E1949,Dias_Sem_Compensacao!$A$2:$A$500)),"")</f>
        <v>46309</v>
      </c>
      <c r="H1949" s="25">
        <v>0</v>
      </c>
      <c r="I1949" s="28">
        <v>46308</v>
      </c>
      <c r="J1949" t="s">
        <v>1862</v>
      </c>
      <c r="K1949" t="s">
        <v>1863</v>
      </c>
    </row>
    <row r="1950" spans="1:11" hidden="1">
      <c r="A1950" s="28">
        <v>46308</v>
      </c>
      <c r="B1950" t="s">
        <v>186</v>
      </c>
      <c r="C1950" t="s">
        <v>203</v>
      </c>
      <c r="D1950" t="s">
        <v>217</v>
      </c>
      <c r="E1950">
        <f>IF(LEFT(D1950,6)="CLIENT",IFERROR(VLOOKUP(C1950,Config_Carteiras!$A:$B,2,FALSE),1),"")</f>
        <v>1</v>
      </c>
      <c r="F1950" s="25">
        <v>2301</v>
      </c>
      <c r="G1950" s="28">
        <f>IF(LEFT(D1950,6)="CLIENT",IF(E1950=0,WORKDAY(A1950-1,1,Dias_Sem_Compensacao!$A$2:$A$500),WORKDAY(A1950,E1950,Dias_Sem_Compensacao!$A$2:$A$500)),"")</f>
        <v>46309</v>
      </c>
      <c r="H1950" s="25">
        <v>0</v>
      </c>
      <c r="I1950" s="28">
        <v>46308</v>
      </c>
      <c r="J1950" t="s">
        <v>2445</v>
      </c>
      <c r="K1950" t="s">
        <v>2446</v>
      </c>
    </row>
    <row r="1951" spans="1:11" hidden="1">
      <c r="A1951" s="28">
        <v>46308</v>
      </c>
      <c r="B1951" t="s">
        <v>186</v>
      </c>
      <c r="C1951" t="s">
        <v>203</v>
      </c>
      <c r="D1951" t="s">
        <v>217</v>
      </c>
      <c r="E1951">
        <f>IF(LEFT(D1951,6)="CLIENT",IFERROR(VLOOKUP(C1951,Config_Carteiras!$A:$B,2,FALSE),1),"")</f>
        <v>1</v>
      </c>
      <c r="F1951" s="25">
        <v>880</v>
      </c>
      <c r="G1951" s="28">
        <f>IF(LEFT(D1951,6)="CLIENT",IF(E1951=0,WORKDAY(A1951-1,1,Dias_Sem_Compensacao!$A$2:$A$500),WORKDAY(A1951,E1951,Dias_Sem_Compensacao!$A$2:$A$500)),"")</f>
        <v>46309</v>
      </c>
      <c r="H1951" s="25">
        <v>0</v>
      </c>
      <c r="I1951" s="28">
        <v>46308</v>
      </c>
      <c r="J1951" t="s">
        <v>2447</v>
      </c>
      <c r="K1951" t="s">
        <v>2448</v>
      </c>
    </row>
    <row r="1952" spans="1:11" hidden="1">
      <c r="A1952" s="28">
        <v>46308</v>
      </c>
      <c r="B1952" t="s">
        <v>186</v>
      </c>
      <c r="C1952" t="s">
        <v>203</v>
      </c>
      <c r="D1952" t="s">
        <v>217</v>
      </c>
      <c r="E1952">
        <f>IF(LEFT(D1952,6)="CLIENT",IFERROR(VLOOKUP(C1952,Config_Carteiras!$A:$B,2,FALSE),1),"")</f>
        <v>1</v>
      </c>
      <c r="F1952" s="25">
        <v>1412.9</v>
      </c>
      <c r="G1952" s="28">
        <f>IF(LEFT(D1952,6)="CLIENT",IF(E1952=0,WORKDAY(A1952-1,1,Dias_Sem_Compensacao!$A$2:$A$500),WORKDAY(A1952,E1952,Dias_Sem_Compensacao!$A$2:$A$500)),"")</f>
        <v>46309</v>
      </c>
      <c r="H1952" s="25">
        <v>0</v>
      </c>
      <c r="I1952" s="28">
        <v>46308</v>
      </c>
      <c r="J1952" t="s">
        <v>1206</v>
      </c>
      <c r="K1952" t="s">
        <v>1207</v>
      </c>
    </row>
    <row r="1953" spans="1:11" hidden="1">
      <c r="A1953" s="28">
        <v>46308</v>
      </c>
      <c r="B1953" t="s">
        <v>186</v>
      </c>
      <c r="C1953" t="s">
        <v>203</v>
      </c>
      <c r="D1953" t="s">
        <v>217</v>
      </c>
      <c r="E1953">
        <f>IF(LEFT(D1953,6)="CLIENT",IFERROR(VLOOKUP(C1953,Config_Carteiras!$A:$B,2,FALSE),1),"")</f>
        <v>1</v>
      </c>
      <c r="F1953" s="25">
        <v>951</v>
      </c>
      <c r="G1953" s="28">
        <f>IF(LEFT(D1953,6)="CLIENT",IF(E1953=0,WORKDAY(A1953-1,1,Dias_Sem_Compensacao!$A$2:$A$500),WORKDAY(A1953,E1953,Dias_Sem_Compensacao!$A$2:$A$500)),"")</f>
        <v>46309</v>
      </c>
      <c r="H1953" s="25">
        <v>0</v>
      </c>
      <c r="I1953" s="28">
        <v>46308</v>
      </c>
      <c r="J1953" t="s">
        <v>1989</v>
      </c>
      <c r="K1953" t="s">
        <v>1990</v>
      </c>
    </row>
    <row r="1954" spans="1:11" hidden="1">
      <c r="A1954" s="28">
        <v>46308</v>
      </c>
      <c r="B1954" t="s">
        <v>186</v>
      </c>
      <c r="C1954" t="s">
        <v>203</v>
      </c>
      <c r="D1954" t="s">
        <v>217</v>
      </c>
      <c r="E1954">
        <f>IF(LEFT(D1954,6)="CLIENT",IFERROR(VLOOKUP(C1954,Config_Carteiras!$A:$B,2,FALSE),1),"")</f>
        <v>1</v>
      </c>
      <c r="F1954" s="25">
        <v>516</v>
      </c>
      <c r="G1954" s="28">
        <f>IF(LEFT(D1954,6)="CLIENT",IF(E1954=0,WORKDAY(A1954-1,1,Dias_Sem_Compensacao!$A$2:$A$500),WORKDAY(A1954,E1954,Dias_Sem_Compensacao!$A$2:$A$500)),"")</f>
        <v>46309</v>
      </c>
      <c r="H1954" s="25">
        <v>0</v>
      </c>
      <c r="I1954" s="28">
        <v>46308</v>
      </c>
      <c r="J1954" t="s">
        <v>1864</v>
      </c>
      <c r="K1954" t="s">
        <v>1865</v>
      </c>
    </row>
    <row r="1955" spans="1:11" hidden="1">
      <c r="A1955" s="28">
        <v>46308</v>
      </c>
      <c r="B1955" t="s">
        <v>186</v>
      </c>
      <c r="C1955" t="s">
        <v>203</v>
      </c>
      <c r="D1955" t="s">
        <v>217</v>
      </c>
      <c r="E1955">
        <f>IF(LEFT(D1955,6)="CLIENT",IFERROR(VLOOKUP(C1955,Config_Carteiras!$A:$B,2,FALSE),1),"")</f>
        <v>1</v>
      </c>
      <c r="F1955" s="25">
        <v>1655</v>
      </c>
      <c r="G1955" s="28">
        <f>IF(LEFT(D1955,6)="CLIENT",IF(E1955=0,WORKDAY(A1955-1,1,Dias_Sem_Compensacao!$A$2:$A$500),WORKDAY(A1955,E1955,Dias_Sem_Compensacao!$A$2:$A$500)),"")</f>
        <v>46309</v>
      </c>
      <c r="H1955" s="25">
        <v>0</v>
      </c>
      <c r="I1955" s="28">
        <v>46308</v>
      </c>
      <c r="J1955" t="s">
        <v>1367</v>
      </c>
      <c r="K1955" t="s">
        <v>2449</v>
      </c>
    </row>
    <row r="1956" spans="1:11" hidden="1">
      <c r="A1956" s="28">
        <v>46308</v>
      </c>
      <c r="B1956" t="s">
        <v>186</v>
      </c>
      <c r="C1956" t="s">
        <v>203</v>
      </c>
      <c r="D1956" t="s">
        <v>217</v>
      </c>
      <c r="E1956">
        <f>IF(LEFT(D1956,6)="CLIENT",IFERROR(VLOOKUP(C1956,Config_Carteiras!$A:$B,2,FALSE),1),"")</f>
        <v>1</v>
      </c>
      <c r="F1956" s="25">
        <v>571</v>
      </c>
      <c r="G1956" s="28">
        <f>IF(LEFT(D1956,6)="CLIENT",IF(E1956=0,WORKDAY(A1956-1,1,Dias_Sem_Compensacao!$A$2:$A$500),WORKDAY(A1956,E1956,Dias_Sem_Compensacao!$A$2:$A$500)),"")</f>
        <v>46309</v>
      </c>
      <c r="H1956" s="25">
        <v>0</v>
      </c>
      <c r="I1956" s="28">
        <v>46308</v>
      </c>
      <c r="J1956" t="s">
        <v>2450</v>
      </c>
      <c r="K1956" t="s">
        <v>2451</v>
      </c>
    </row>
    <row r="1957" spans="1:11" hidden="1">
      <c r="A1957" s="28">
        <v>46308</v>
      </c>
      <c r="B1957" t="s">
        <v>186</v>
      </c>
      <c r="C1957" t="s">
        <v>203</v>
      </c>
      <c r="D1957" t="s">
        <v>217</v>
      </c>
      <c r="E1957">
        <f>IF(LEFT(D1957,6)="CLIENT",IFERROR(VLOOKUP(C1957,Config_Carteiras!$A:$B,2,FALSE),1),"")</f>
        <v>1</v>
      </c>
      <c r="F1957" s="25">
        <v>821</v>
      </c>
      <c r="G1957" s="28">
        <f>IF(LEFT(D1957,6)="CLIENT",IF(E1957=0,WORKDAY(A1957-1,1,Dias_Sem_Compensacao!$A$2:$A$500),WORKDAY(A1957,E1957,Dias_Sem_Compensacao!$A$2:$A$500)),"")</f>
        <v>46309</v>
      </c>
      <c r="H1957" s="25">
        <v>0</v>
      </c>
      <c r="I1957" s="28">
        <v>46308</v>
      </c>
      <c r="J1957" t="s">
        <v>2452</v>
      </c>
      <c r="K1957" t="s">
        <v>2453</v>
      </c>
    </row>
    <row r="1958" spans="1:11" hidden="1">
      <c r="A1958" s="28">
        <v>46308</v>
      </c>
      <c r="B1958" t="s">
        <v>186</v>
      </c>
      <c r="C1958" t="s">
        <v>203</v>
      </c>
      <c r="D1958" t="s">
        <v>217</v>
      </c>
      <c r="E1958">
        <f>IF(LEFT(D1958,6)="CLIENT",IFERROR(VLOOKUP(C1958,Config_Carteiras!$A:$B,2,FALSE),1),"")</f>
        <v>1</v>
      </c>
      <c r="F1958" s="25">
        <v>1591.2</v>
      </c>
      <c r="G1958" s="28">
        <f>IF(LEFT(D1958,6)="CLIENT",IF(E1958=0,WORKDAY(A1958-1,1,Dias_Sem_Compensacao!$A$2:$A$500),WORKDAY(A1958,E1958,Dias_Sem_Compensacao!$A$2:$A$500)),"")</f>
        <v>46309</v>
      </c>
      <c r="H1958" s="25">
        <v>0</v>
      </c>
      <c r="I1958" s="28">
        <v>46308</v>
      </c>
      <c r="J1958" t="s">
        <v>2454</v>
      </c>
      <c r="K1958" t="s">
        <v>2455</v>
      </c>
    </row>
    <row r="1959" spans="1:11" hidden="1">
      <c r="A1959" s="28">
        <v>46308</v>
      </c>
      <c r="B1959" t="s">
        <v>186</v>
      </c>
      <c r="C1959" t="s">
        <v>203</v>
      </c>
      <c r="D1959" t="s">
        <v>217</v>
      </c>
      <c r="E1959">
        <f>IF(LEFT(D1959,6)="CLIENT",IFERROR(VLOOKUP(C1959,Config_Carteiras!$A:$B,2,FALSE),1),"")</f>
        <v>1</v>
      </c>
      <c r="F1959" s="25">
        <v>2395</v>
      </c>
      <c r="G1959" s="28">
        <f>IF(LEFT(D1959,6)="CLIENT",IF(E1959=0,WORKDAY(A1959-1,1,Dias_Sem_Compensacao!$A$2:$A$500),WORKDAY(A1959,E1959,Dias_Sem_Compensacao!$A$2:$A$500)),"")</f>
        <v>46309</v>
      </c>
      <c r="H1959" s="25">
        <v>0</v>
      </c>
      <c r="I1959" s="28">
        <v>46308</v>
      </c>
      <c r="J1959" t="s">
        <v>2456</v>
      </c>
      <c r="K1959" t="s">
        <v>2457</v>
      </c>
    </row>
    <row r="1960" spans="1:11" hidden="1">
      <c r="A1960" s="28">
        <v>46308</v>
      </c>
      <c r="B1960" t="s">
        <v>186</v>
      </c>
      <c r="C1960" t="s">
        <v>203</v>
      </c>
      <c r="D1960" t="s">
        <v>217</v>
      </c>
      <c r="E1960">
        <f>IF(LEFT(D1960,6)="CLIENT",IFERROR(VLOOKUP(C1960,Config_Carteiras!$A:$B,2,FALSE),1),"")</f>
        <v>1</v>
      </c>
      <c r="F1960" s="25">
        <v>2056</v>
      </c>
      <c r="G1960" s="28">
        <f>IF(LEFT(D1960,6)="CLIENT",IF(E1960=0,WORKDAY(A1960-1,1,Dias_Sem_Compensacao!$A$2:$A$500),WORKDAY(A1960,E1960,Dias_Sem_Compensacao!$A$2:$A$500)),"")</f>
        <v>46309</v>
      </c>
      <c r="H1960" s="25">
        <v>0</v>
      </c>
      <c r="I1960" s="28">
        <v>46308</v>
      </c>
      <c r="J1960" t="s">
        <v>2458</v>
      </c>
      <c r="K1960" t="s">
        <v>2459</v>
      </c>
    </row>
    <row r="1961" spans="1:11" hidden="1">
      <c r="A1961" s="28">
        <v>46308</v>
      </c>
      <c r="B1961" t="s">
        <v>186</v>
      </c>
      <c r="C1961" t="s">
        <v>203</v>
      </c>
      <c r="D1961" t="s">
        <v>217</v>
      </c>
      <c r="E1961">
        <f>IF(LEFT(D1961,6)="CLIENT",IFERROR(VLOOKUP(C1961,Config_Carteiras!$A:$B,2,FALSE),1),"")</f>
        <v>1</v>
      </c>
      <c r="F1961" s="25">
        <v>1055</v>
      </c>
      <c r="G1961" s="28">
        <f>IF(LEFT(D1961,6)="CLIENT",IF(E1961=0,WORKDAY(A1961-1,1,Dias_Sem_Compensacao!$A$2:$A$500),WORKDAY(A1961,E1961,Dias_Sem_Compensacao!$A$2:$A$500)),"")</f>
        <v>46309</v>
      </c>
      <c r="H1961" s="25">
        <v>0</v>
      </c>
      <c r="I1961" s="28">
        <v>46308</v>
      </c>
      <c r="J1961" t="s">
        <v>2460</v>
      </c>
      <c r="K1961" t="s">
        <v>2461</v>
      </c>
    </row>
    <row r="1962" spans="1:11" hidden="1">
      <c r="A1962" s="28">
        <v>46308</v>
      </c>
      <c r="B1962" t="s">
        <v>186</v>
      </c>
      <c r="C1962" t="s">
        <v>203</v>
      </c>
      <c r="D1962" t="s">
        <v>217</v>
      </c>
      <c r="E1962">
        <f>IF(LEFT(D1962,6)="CLIENT",IFERROR(VLOOKUP(C1962,Config_Carteiras!$A:$B,2,FALSE),1),"")</f>
        <v>1</v>
      </c>
      <c r="F1962" s="25">
        <v>927</v>
      </c>
      <c r="G1962" s="28">
        <f>IF(LEFT(D1962,6)="CLIENT",IF(E1962=0,WORKDAY(A1962-1,1,Dias_Sem_Compensacao!$A$2:$A$500),WORKDAY(A1962,E1962,Dias_Sem_Compensacao!$A$2:$A$500)),"")</f>
        <v>46309</v>
      </c>
      <c r="H1962" s="25">
        <v>0</v>
      </c>
      <c r="I1962" s="28">
        <v>46308</v>
      </c>
      <c r="J1962" t="s">
        <v>1991</v>
      </c>
      <c r="K1962" t="s">
        <v>1992</v>
      </c>
    </row>
    <row r="1963" spans="1:11" hidden="1">
      <c r="A1963" s="28">
        <v>46308</v>
      </c>
      <c r="B1963" t="s">
        <v>186</v>
      </c>
      <c r="C1963" t="s">
        <v>203</v>
      </c>
      <c r="D1963" t="s">
        <v>217</v>
      </c>
      <c r="E1963">
        <f>IF(LEFT(D1963,6)="CLIENT",IFERROR(VLOOKUP(C1963,Config_Carteiras!$A:$B,2,FALSE),1),"")</f>
        <v>1</v>
      </c>
      <c r="F1963" s="25">
        <v>1067.18</v>
      </c>
      <c r="G1963" s="28">
        <f>IF(LEFT(D1963,6)="CLIENT",IF(E1963=0,WORKDAY(A1963-1,1,Dias_Sem_Compensacao!$A$2:$A$500),WORKDAY(A1963,E1963,Dias_Sem_Compensacao!$A$2:$A$500)),"")</f>
        <v>46309</v>
      </c>
      <c r="H1963" s="25">
        <v>0</v>
      </c>
      <c r="I1963" s="28">
        <v>46308</v>
      </c>
      <c r="J1963" t="s">
        <v>2462</v>
      </c>
      <c r="K1963" t="s">
        <v>2463</v>
      </c>
    </row>
    <row r="1964" spans="1:11" hidden="1">
      <c r="A1964" s="28">
        <v>46308</v>
      </c>
      <c r="B1964" t="s">
        <v>186</v>
      </c>
      <c r="C1964" t="s">
        <v>203</v>
      </c>
      <c r="D1964" t="s">
        <v>217</v>
      </c>
      <c r="E1964">
        <f>IF(LEFT(D1964,6)="CLIENT",IFERROR(VLOOKUP(C1964,Config_Carteiras!$A:$B,2,FALSE),1),"")</f>
        <v>1</v>
      </c>
      <c r="F1964" s="25">
        <v>496</v>
      </c>
      <c r="G1964" s="28">
        <f>IF(LEFT(D1964,6)="CLIENT",IF(E1964=0,WORKDAY(A1964-1,1,Dias_Sem_Compensacao!$A$2:$A$500),WORKDAY(A1964,E1964,Dias_Sem_Compensacao!$A$2:$A$500)),"")</f>
        <v>46309</v>
      </c>
      <c r="H1964" s="25">
        <v>0</v>
      </c>
      <c r="I1964" s="28">
        <v>46308</v>
      </c>
      <c r="J1964" t="s">
        <v>554</v>
      </c>
      <c r="K1964" t="s">
        <v>1867</v>
      </c>
    </row>
    <row r="1965" spans="1:11" hidden="1">
      <c r="A1965" s="28">
        <v>46308</v>
      </c>
      <c r="B1965" t="s">
        <v>186</v>
      </c>
      <c r="C1965" t="s">
        <v>203</v>
      </c>
      <c r="D1965" t="s">
        <v>217</v>
      </c>
      <c r="E1965">
        <f>IF(LEFT(D1965,6)="CLIENT",IFERROR(VLOOKUP(C1965,Config_Carteiras!$A:$B,2,FALSE),1),"")</f>
        <v>1</v>
      </c>
      <c r="F1965" s="25">
        <v>1280</v>
      </c>
      <c r="G1965" s="28">
        <f>IF(LEFT(D1965,6)="CLIENT",IF(E1965=0,WORKDAY(A1965-1,1,Dias_Sem_Compensacao!$A$2:$A$500),WORKDAY(A1965,E1965,Dias_Sem_Compensacao!$A$2:$A$500)),"")</f>
        <v>46309</v>
      </c>
      <c r="H1965" s="25">
        <v>0</v>
      </c>
      <c r="I1965" s="28">
        <v>46308</v>
      </c>
      <c r="K1965" t="s">
        <v>2464</v>
      </c>
    </row>
    <row r="1966" spans="1:11" hidden="1">
      <c r="A1966" s="28">
        <v>46308</v>
      </c>
      <c r="B1966" t="s">
        <v>186</v>
      </c>
      <c r="C1966" t="s">
        <v>203</v>
      </c>
      <c r="D1966" t="s">
        <v>217</v>
      </c>
      <c r="E1966">
        <f>IF(LEFT(D1966,6)="CLIENT",IFERROR(VLOOKUP(C1966,Config_Carteiras!$A:$B,2,FALSE),1),"")</f>
        <v>1</v>
      </c>
      <c r="F1966" s="25">
        <v>905.53</v>
      </c>
      <c r="G1966" s="28">
        <f>IF(LEFT(D1966,6)="CLIENT",IF(E1966=0,WORKDAY(A1966-1,1,Dias_Sem_Compensacao!$A$2:$A$500),WORKDAY(A1966,E1966,Dias_Sem_Compensacao!$A$2:$A$500)),"")</f>
        <v>46309</v>
      </c>
      <c r="H1966" s="25">
        <v>0</v>
      </c>
      <c r="I1966" s="28">
        <v>46308</v>
      </c>
      <c r="J1966" t="s">
        <v>2465</v>
      </c>
      <c r="K1966" t="s">
        <v>2466</v>
      </c>
    </row>
    <row r="1967" spans="1:11" hidden="1">
      <c r="A1967" s="28">
        <v>46308</v>
      </c>
      <c r="B1967" t="s">
        <v>186</v>
      </c>
      <c r="C1967" t="s">
        <v>203</v>
      </c>
      <c r="D1967" t="s">
        <v>217</v>
      </c>
      <c r="E1967">
        <f>IF(LEFT(D1967,6)="CLIENT",IFERROR(VLOOKUP(C1967,Config_Carteiras!$A:$B,2,FALSE),1),"")</f>
        <v>1</v>
      </c>
      <c r="F1967" s="25">
        <v>657.69</v>
      </c>
      <c r="G1967" s="28">
        <f>IF(LEFT(D1967,6)="CLIENT",IF(E1967=0,WORKDAY(A1967-1,1,Dias_Sem_Compensacao!$A$2:$A$500),WORKDAY(A1967,E1967,Dias_Sem_Compensacao!$A$2:$A$500)),"")</f>
        <v>46309</v>
      </c>
      <c r="H1967" s="25">
        <v>0</v>
      </c>
      <c r="I1967" s="28">
        <v>46308</v>
      </c>
      <c r="J1967" t="s">
        <v>1868</v>
      </c>
      <c r="K1967" t="s">
        <v>1869</v>
      </c>
    </row>
    <row r="1968" spans="1:11" hidden="1">
      <c r="A1968" s="28">
        <v>46308</v>
      </c>
      <c r="B1968" t="s">
        <v>186</v>
      </c>
      <c r="C1968" t="s">
        <v>203</v>
      </c>
      <c r="D1968" t="s">
        <v>217</v>
      </c>
      <c r="E1968">
        <f>IF(LEFT(D1968,6)="CLIENT",IFERROR(VLOOKUP(C1968,Config_Carteiras!$A:$B,2,FALSE),1),"")</f>
        <v>1</v>
      </c>
      <c r="F1968" s="25">
        <v>835</v>
      </c>
      <c r="G1968" s="28">
        <f>IF(LEFT(D1968,6)="CLIENT",IF(E1968=0,WORKDAY(A1968-1,1,Dias_Sem_Compensacao!$A$2:$A$500),WORKDAY(A1968,E1968,Dias_Sem_Compensacao!$A$2:$A$500)),"")</f>
        <v>46309</v>
      </c>
      <c r="H1968" s="25">
        <v>0</v>
      </c>
      <c r="I1968" s="28">
        <v>46308</v>
      </c>
      <c r="J1968" t="s">
        <v>1371</v>
      </c>
      <c r="K1968" t="s">
        <v>1872</v>
      </c>
    </row>
    <row r="1969" spans="1:11" hidden="1">
      <c r="A1969" s="28">
        <v>46308</v>
      </c>
      <c r="B1969" t="s">
        <v>186</v>
      </c>
      <c r="C1969" t="s">
        <v>203</v>
      </c>
      <c r="D1969" t="s">
        <v>217</v>
      </c>
      <c r="E1969">
        <f>IF(LEFT(D1969,6)="CLIENT",IFERROR(VLOOKUP(C1969,Config_Carteiras!$A:$B,2,FALSE),1),"")</f>
        <v>1</v>
      </c>
      <c r="F1969" s="25">
        <v>326</v>
      </c>
      <c r="G1969" s="28">
        <f>IF(LEFT(D1969,6)="CLIENT",IF(E1969=0,WORKDAY(A1969-1,1,Dias_Sem_Compensacao!$A$2:$A$500),WORKDAY(A1969,E1969,Dias_Sem_Compensacao!$A$2:$A$500)),"")</f>
        <v>46309</v>
      </c>
      <c r="H1969" s="25">
        <v>0</v>
      </c>
      <c r="I1969" s="28">
        <v>46308</v>
      </c>
      <c r="J1969" t="s">
        <v>2467</v>
      </c>
      <c r="K1969" t="s">
        <v>2468</v>
      </c>
    </row>
    <row r="1970" spans="1:11" hidden="1">
      <c r="A1970" s="28">
        <v>46308</v>
      </c>
      <c r="B1970" t="s">
        <v>186</v>
      </c>
      <c r="C1970" t="s">
        <v>203</v>
      </c>
      <c r="D1970" t="s">
        <v>217</v>
      </c>
      <c r="E1970">
        <f>IF(LEFT(D1970,6)="CLIENT",IFERROR(VLOOKUP(C1970,Config_Carteiras!$A:$B,2,FALSE),1),"")</f>
        <v>1</v>
      </c>
      <c r="F1970" s="25">
        <v>1414.62</v>
      </c>
      <c r="G1970" s="28">
        <f>IF(LEFT(D1970,6)="CLIENT",IF(E1970=0,WORKDAY(A1970-1,1,Dias_Sem_Compensacao!$A$2:$A$500),WORKDAY(A1970,E1970,Dias_Sem_Compensacao!$A$2:$A$500)),"")</f>
        <v>46309</v>
      </c>
      <c r="H1970" s="25">
        <v>0</v>
      </c>
      <c r="I1970" s="28">
        <v>46308</v>
      </c>
      <c r="J1970" t="s">
        <v>1218</v>
      </c>
      <c r="K1970" t="s">
        <v>1219</v>
      </c>
    </row>
    <row r="1971" spans="1:11" hidden="1">
      <c r="A1971" s="28">
        <v>46308</v>
      </c>
      <c r="B1971" t="s">
        <v>186</v>
      </c>
      <c r="C1971" t="s">
        <v>203</v>
      </c>
      <c r="D1971" t="s">
        <v>217</v>
      </c>
      <c r="E1971">
        <f>IF(LEFT(D1971,6)="CLIENT",IFERROR(VLOOKUP(C1971,Config_Carteiras!$A:$B,2,FALSE),1),"")</f>
        <v>1</v>
      </c>
      <c r="F1971" s="25">
        <v>1701</v>
      </c>
      <c r="G1971" s="28">
        <f>IF(LEFT(D1971,6)="CLIENT",IF(E1971=0,WORKDAY(A1971-1,1,Dias_Sem_Compensacao!$A$2:$A$500),WORKDAY(A1971,E1971,Dias_Sem_Compensacao!$A$2:$A$500)),"")</f>
        <v>46309</v>
      </c>
      <c r="H1971" s="25">
        <v>0</v>
      </c>
      <c r="I1971" s="28">
        <v>46308</v>
      </c>
      <c r="J1971" t="s">
        <v>1875</v>
      </c>
      <c r="K1971" t="s">
        <v>1876</v>
      </c>
    </row>
    <row r="1972" spans="1:11" hidden="1">
      <c r="A1972" s="28">
        <v>46308</v>
      </c>
      <c r="B1972" t="s">
        <v>186</v>
      </c>
      <c r="C1972" t="s">
        <v>203</v>
      </c>
      <c r="D1972" t="s">
        <v>217</v>
      </c>
      <c r="E1972">
        <f>IF(LEFT(D1972,6)="CLIENT",IFERROR(VLOOKUP(C1972,Config_Carteiras!$A:$B,2,FALSE),1),"")</f>
        <v>1</v>
      </c>
      <c r="F1972" s="25">
        <v>1542.8</v>
      </c>
      <c r="G1972" s="28">
        <f>IF(LEFT(D1972,6)="CLIENT",IF(E1972=0,WORKDAY(A1972-1,1,Dias_Sem_Compensacao!$A$2:$A$500),WORKDAY(A1972,E1972,Dias_Sem_Compensacao!$A$2:$A$500)),"")</f>
        <v>46309</v>
      </c>
      <c r="H1972" s="25">
        <v>0</v>
      </c>
      <c r="I1972" s="28">
        <v>46308</v>
      </c>
      <c r="J1972" t="s">
        <v>2469</v>
      </c>
      <c r="K1972" t="s">
        <v>2470</v>
      </c>
    </row>
    <row r="1973" spans="1:11" hidden="1">
      <c r="A1973" s="28">
        <v>46308</v>
      </c>
      <c r="B1973" t="s">
        <v>186</v>
      </c>
      <c r="C1973" t="s">
        <v>203</v>
      </c>
      <c r="D1973" t="s">
        <v>217</v>
      </c>
      <c r="E1973">
        <f>IF(LEFT(D1973,6)="CLIENT",IFERROR(VLOOKUP(C1973,Config_Carteiras!$A:$B,2,FALSE),1),"")</f>
        <v>1</v>
      </c>
      <c r="F1973" s="25">
        <v>769</v>
      </c>
      <c r="G1973" s="28">
        <f>IF(LEFT(D1973,6)="CLIENT",IF(E1973=0,WORKDAY(A1973-1,1,Dias_Sem_Compensacao!$A$2:$A$500),WORKDAY(A1973,E1973,Dias_Sem_Compensacao!$A$2:$A$500)),"")</f>
        <v>46309</v>
      </c>
      <c r="H1973" s="25">
        <v>0</v>
      </c>
      <c r="I1973" s="28">
        <v>46308</v>
      </c>
      <c r="J1973" t="s">
        <v>316</v>
      </c>
      <c r="K1973" t="s">
        <v>2471</v>
      </c>
    </row>
    <row r="1974" spans="1:11" hidden="1">
      <c r="A1974" s="28">
        <v>46308</v>
      </c>
      <c r="B1974" t="s">
        <v>186</v>
      </c>
      <c r="C1974" t="s">
        <v>203</v>
      </c>
      <c r="D1974" t="s">
        <v>217</v>
      </c>
      <c r="E1974">
        <f>IF(LEFT(D1974,6)="CLIENT",IFERROR(VLOOKUP(C1974,Config_Carteiras!$A:$B,2,FALSE),1),"")</f>
        <v>1</v>
      </c>
      <c r="F1974" s="25">
        <v>6140</v>
      </c>
      <c r="G1974" s="28">
        <f>IF(LEFT(D1974,6)="CLIENT",IF(E1974=0,WORKDAY(A1974-1,1,Dias_Sem_Compensacao!$A$2:$A$500),WORKDAY(A1974,E1974,Dias_Sem_Compensacao!$A$2:$A$500)),"")</f>
        <v>46309</v>
      </c>
      <c r="H1974" s="25">
        <v>0</v>
      </c>
      <c r="I1974" s="28">
        <v>46308</v>
      </c>
      <c r="K1974" t="s">
        <v>2472</v>
      </c>
    </row>
    <row r="1975" spans="1:11" hidden="1">
      <c r="A1975" s="28">
        <v>46308</v>
      </c>
      <c r="B1975" t="s">
        <v>186</v>
      </c>
      <c r="C1975" t="s">
        <v>203</v>
      </c>
      <c r="D1975" t="s">
        <v>217</v>
      </c>
      <c r="E1975">
        <f>IF(LEFT(D1975,6)="CLIENT",IFERROR(VLOOKUP(C1975,Config_Carteiras!$A:$B,2,FALSE),1),"")</f>
        <v>1</v>
      </c>
      <c r="F1975" s="25">
        <v>559</v>
      </c>
      <c r="G1975" s="28">
        <f>IF(LEFT(D1975,6)="CLIENT",IF(E1975=0,WORKDAY(A1975-1,1,Dias_Sem_Compensacao!$A$2:$A$500),WORKDAY(A1975,E1975,Dias_Sem_Compensacao!$A$2:$A$500)),"")</f>
        <v>46309</v>
      </c>
      <c r="H1975" s="25">
        <v>0</v>
      </c>
      <c r="I1975" s="28">
        <v>46308</v>
      </c>
      <c r="J1975" t="s">
        <v>2473</v>
      </c>
      <c r="K1975" t="s">
        <v>2474</v>
      </c>
    </row>
    <row r="1976" spans="1:11" hidden="1">
      <c r="A1976" s="28">
        <v>46308</v>
      </c>
      <c r="B1976" t="s">
        <v>186</v>
      </c>
      <c r="C1976" t="s">
        <v>203</v>
      </c>
      <c r="D1976" t="s">
        <v>217</v>
      </c>
      <c r="E1976">
        <f>IF(LEFT(D1976,6)="CLIENT",IFERROR(VLOOKUP(C1976,Config_Carteiras!$A:$B,2,FALSE),1),"")</f>
        <v>1</v>
      </c>
      <c r="F1976" s="25">
        <v>1232.82</v>
      </c>
      <c r="G1976" s="28">
        <f>IF(LEFT(D1976,6)="CLIENT",IF(E1976=0,WORKDAY(A1976-1,1,Dias_Sem_Compensacao!$A$2:$A$500),WORKDAY(A1976,E1976,Dias_Sem_Compensacao!$A$2:$A$500)),"")</f>
        <v>46309</v>
      </c>
      <c r="H1976" s="25">
        <v>0</v>
      </c>
      <c r="I1976" s="28">
        <v>46308</v>
      </c>
      <c r="J1976" t="s">
        <v>2475</v>
      </c>
      <c r="K1976" t="s">
        <v>2476</v>
      </c>
    </row>
    <row r="1977" spans="1:11" hidden="1">
      <c r="A1977" s="28">
        <v>46308</v>
      </c>
      <c r="B1977" t="s">
        <v>186</v>
      </c>
      <c r="C1977" t="s">
        <v>203</v>
      </c>
      <c r="D1977" t="s">
        <v>217</v>
      </c>
      <c r="E1977">
        <f>IF(LEFT(D1977,6)="CLIENT",IFERROR(VLOOKUP(C1977,Config_Carteiras!$A:$B,2,FALSE),1),"")</f>
        <v>1</v>
      </c>
      <c r="F1977" s="25">
        <v>416</v>
      </c>
      <c r="G1977" s="28">
        <f>IF(LEFT(D1977,6)="CLIENT",IF(E1977=0,WORKDAY(A1977-1,1,Dias_Sem_Compensacao!$A$2:$A$500),WORKDAY(A1977,E1977,Dias_Sem_Compensacao!$A$2:$A$500)),"")</f>
        <v>46309</v>
      </c>
      <c r="H1977" s="25">
        <v>0</v>
      </c>
      <c r="I1977" s="28">
        <v>46308</v>
      </c>
      <c r="J1977" t="s">
        <v>423</v>
      </c>
      <c r="K1977" t="s">
        <v>2477</v>
      </c>
    </row>
    <row r="1978" spans="1:11" hidden="1">
      <c r="A1978" s="28">
        <v>46308</v>
      </c>
      <c r="B1978" t="s">
        <v>186</v>
      </c>
      <c r="C1978" t="s">
        <v>203</v>
      </c>
      <c r="D1978" t="s">
        <v>217</v>
      </c>
      <c r="E1978">
        <f>IF(LEFT(D1978,6)="CLIENT",IFERROR(VLOOKUP(C1978,Config_Carteiras!$A:$B,2,FALSE),1),"")</f>
        <v>1</v>
      </c>
      <c r="F1978" s="25">
        <v>572</v>
      </c>
      <c r="G1978" s="28">
        <f>IF(LEFT(D1978,6)="CLIENT",IF(E1978=0,WORKDAY(A1978-1,1,Dias_Sem_Compensacao!$A$2:$A$500),WORKDAY(A1978,E1978,Dias_Sem_Compensacao!$A$2:$A$500)),"")</f>
        <v>46309</v>
      </c>
      <c r="H1978" s="25">
        <v>0</v>
      </c>
      <c r="I1978" s="28">
        <v>46308</v>
      </c>
      <c r="J1978" t="s">
        <v>1564</v>
      </c>
      <c r="K1978" t="s">
        <v>2478</v>
      </c>
    </row>
    <row r="1979" spans="1:11" hidden="1">
      <c r="A1979" s="28">
        <v>46308</v>
      </c>
      <c r="B1979" t="s">
        <v>186</v>
      </c>
      <c r="C1979" t="s">
        <v>203</v>
      </c>
      <c r="D1979" t="s">
        <v>217</v>
      </c>
      <c r="E1979">
        <f>IF(LEFT(D1979,6)="CLIENT",IFERROR(VLOOKUP(C1979,Config_Carteiras!$A:$B,2,FALSE),1),"")</f>
        <v>1</v>
      </c>
      <c r="F1979" s="25">
        <v>342</v>
      </c>
      <c r="G1979" s="28">
        <f>IF(LEFT(D1979,6)="CLIENT",IF(E1979=0,WORKDAY(A1979-1,1,Dias_Sem_Compensacao!$A$2:$A$500),WORKDAY(A1979,E1979,Dias_Sem_Compensacao!$A$2:$A$500)),"")</f>
        <v>46309</v>
      </c>
      <c r="H1979" s="25">
        <v>0</v>
      </c>
      <c r="I1979" s="28">
        <v>46308</v>
      </c>
      <c r="J1979" t="s">
        <v>2479</v>
      </c>
      <c r="K1979" t="s">
        <v>2480</v>
      </c>
    </row>
    <row r="1980" spans="1:11" hidden="1">
      <c r="A1980" s="28">
        <v>46308</v>
      </c>
      <c r="B1980" t="s">
        <v>186</v>
      </c>
      <c r="C1980" t="s">
        <v>203</v>
      </c>
      <c r="D1980" t="s">
        <v>217</v>
      </c>
      <c r="E1980">
        <f>IF(LEFT(D1980,6)="CLIENT",IFERROR(VLOOKUP(C1980,Config_Carteiras!$A:$B,2,FALSE),1),"")</f>
        <v>1</v>
      </c>
      <c r="F1980" s="25">
        <v>1901.26</v>
      </c>
      <c r="G1980" s="28">
        <f>IF(LEFT(D1980,6)="CLIENT",IF(E1980=0,WORKDAY(A1980-1,1,Dias_Sem_Compensacao!$A$2:$A$500),WORKDAY(A1980,E1980,Dias_Sem_Compensacao!$A$2:$A$500)),"")</f>
        <v>46309</v>
      </c>
      <c r="H1980" s="25">
        <v>0</v>
      </c>
      <c r="I1980" s="28">
        <v>46308</v>
      </c>
      <c r="J1980" t="s">
        <v>1223</v>
      </c>
      <c r="K1980" t="s">
        <v>1224</v>
      </c>
    </row>
    <row r="1981" spans="1:11" hidden="1">
      <c r="A1981" s="28">
        <v>46308</v>
      </c>
      <c r="B1981" t="s">
        <v>186</v>
      </c>
      <c r="C1981" t="s">
        <v>203</v>
      </c>
      <c r="D1981" t="s">
        <v>217</v>
      </c>
      <c r="E1981">
        <f>IF(LEFT(D1981,6)="CLIENT",IFERROR(VLOOKUP(C1981,Config_Carteiras!$A:$B,2,FALSE),1),"")</f>
        <v>1</v>
      </c>
      <c r="F1981" s="25">
        <v>4624.3100000000004</v>
      </c>
      <c r="G1981" s="28">
        <f>IF(LEFT(D1981,6)="CLIENT",IF(E1981=0,WORKDAY(A1981-1,1,Dias_Sem_Compensacao!$A$2:$A$500),WORKDAY(A1981,E1981,Dias_Sem_Compensacao!$A$2:$A$500)),"")</f>
        <v>46309</v>
      </c>
      <c r="H1981" s="25">
        <v>0</v>
      </c>
      <c r="I1981" s="28">
        <v>46308</v>
      </c>
      <c r="J1981" t="s">
        <v>1227</v>
      </c>
      <c r="K1981" t="s">
        <v>1228</v>
      </c>
    </row>
    <row r="1982" spans="1:11" hidden="1">
      <c r="A1982" s="28">
        <v>46308</v>
      </c>
      <c r="B1982" t="s">
        <v>186</v>
      </c>
      <c r="C1982" t="s">
        <v>203</v>
      </c>
      <c r="D1982" t="s">
        <v>217</v>
      </c>
      <c r="E1982">
        <f>IF(LEFT(D1982,6)="CLIENT",IFERROR(VLOOKUP(C1982,Config_Carteiras!$A:$B,2,FALSE),1),"")</f>
        <v>1</v>
      </c>
      <c r="F1982" s="25">
        <v>3426.61</v>
      </c>
      <c r="G1982" s="28">
        <f>IF(LEFT(D1982,6)="CLIENT",IF(E1982=0,WORKDAY(A1982-1,1,Dias_Sem_Compensacao!$A$2:$A$500),WORKDAY(A1982,E1982,Dias_Sem_Compensacao!$A$2:$A$500)),"")</f>
        <v>46309</v>
      </c>
      <c r="H1982" s="25">
        <v>0</v>
      </c>
      <c r="I1982" s="28">
        <v>46308</v>
      </c>
      <c r="J1982" t="s">
        <v>1229</v>
      </c>
      <c r="K1982" t="s">
        <v>1230</v>
      </c>
    </row>
    <row r="1983" spans="1:11" hidden="1">
      <c r="A1983" s="28">
        <v>46308</v>
      </c>
      <c r="B1983" t="s">
        <v>186</v>
      </c>
      <c r="C1983" t="s">
        <v>203</v>
      </c>
      <c r="D1983" t="s">
        <v>217</v>
      </c>
      <c r="E1983">
        <f>IF(LEFT(D1983,6)="CLIENT",IFERROR(VLOOKUP(C1983,Config_Carteiras!$A:$B,2,FALSE),1),"")</f>
        <v>1</v>
      </c>
      <c r="F1983" s="25">
        <v>1666.2</v>
      </c>
      <c r="G1983" s="28">
        <f>IF(LEFT(D1983,6)="CLIENT",IF(E1983=0,WORKDAY(A1983-1,1,Dias_Sem_Compensacao!$A$2:$A$500),WORKDAY(A1983,E1983,Dias_Sem_Compensacao!$A$2:$A$500)),"")</f>
        <v>46309</v>
      </c>
      <c r="H1983" s="25">
        <v>0</v>
      </c>
      <c r="I1983" s="28">
        <v>46308</v>
      </c>
      <c r="J1983" t="s">
        <v>2481</v>
      </c>
      <c r="K1983" t="s">
        <v>2482</v>
      </c>
    </row>
    <row r="1984" spans="1:11" hidden="1">
      <c r="A1984" s="28">
        <v>46308</v>
      </c>
      <c r="B1984" t="s">
        <v>186</v>
      </c>
      <c r="C1984" t="s">
        <v>203</v>
      </c>
      <c r="D1984" t="s">
        <v>217</v>
      </c>
      <c r="E1984">
        <f>IF(LEFT(D1984,6)="CLIENT",IFERROR(VLOOKUP(C1984,Config_Carteiras!$A:$B,2,FALSE),1),"")</f>
        <v>1</v>
      </c>
      <c r="F1984" s="25">
        <v>930</v>
      </c>
      <c r="G1984" s="28">
        <f>IF(LEFT(D1984,6)="CLIENT",IF(E1984=0,WORKDAY(A1984-1,1,Dias_Sem_Compensacao!$A$2:$A$500),WORKDAY(A1984,E1984,Dias_Sem_Compensacao!$A$2:$A$500)),"")</f>
        <v>46309</v>
      </c>
      <c r="H1984" s="25">
        <v>0</v>
      </c>
      <c r="I1984" s="28">
        <v>46308</v>
      </c>
      <c r="J1984" t="s">
        <v>841</v>
      </c>
      <c r="K1984" t="s">
        <v>1879</v>
      </c>
    </row>
    <row r="1985" spans="1:11" hidden="1">
      <c r="A1985" s="28">
        <v>46308</v>
      </c>
      <c r="B1985" t="s">
        <v>186</v>
      </c>
      <c r="C1985" t="s">
        <v>203</v>
      </c>
      <c r="D1985" t="s">
        <v>217</v>
      </c>
      <c r="E1985">
        <f>IF(LEFT(D1985,6)="CLIENT",IFERROR(VLOOKUP(C1985,Config_Carteiras!$A:$B,2,FALSE),1),"")</f>
        <v>1</v>
      </c>
      <c r="F1985" s="25">
        <v>920</v>
      </c>
      <c r="G1985" s="28">
        <f>IF(LEFT(D1985,6)="CLIENT",IF(E1985=0,WORKDAY(A1985-1,1,Dias_Sem_Compensacao!$A$2:$A$500),WORKDAY(A1985,E1985,Dias_Sem_Compensacao!$A$2:$A$500)),"")</f>
        <v>46309</v>
      </c>
      <c r="H1985" s="25">
        <v>0</v>
      </c>
      <c r="I1985" s="28">
        <v>46308</v>
      </c>
      <c r="K1985" t="s">
        <v>1880</v>
      </c>
    </row>
    <row r="1986" spans="1:11" hidden="1">
      <c r="A1986" s="28">
        <v>46308</v>
      </c>
      <c r="B1986" t="s">
        <v>186</v>
      </c>
      <c r="C1986" t="s">
        <v>203</v>
      </c>
      <c r="D1986" t="s">
        <v>217</v>
      </c>
      <c r="E1986">
        <f>IF(LEFT(D1986,6)="CLIENT",IFERROR(VLOOKUP(C1986,Config_Carteiras!$A:$B,2,FALSE),1),"")</f>
        <v>1</v>
      </c>
      <c r="F1986" s="25">
        <v>1955.4</v>
      </c>
      <c r="G1986" s="28">
        <f>IF(LEFT(D1986,6)="CLIENT",IF(E1986=0,WORKDAY(A1986-1,1,Dias_Sem_Compensacao!$A$2:$A$500),WORKDAY(A1986,E1986,Dias_Sem_Compensacao!$A$2:$A$500)),"")</f>
        <v>46309</v>
      </c>
      <c r="H1986" s="25">
        <v>0</v>
      </c>
      <c r="I1986" s="28">
        <v>46308</v>
      </c>
      <c r="J1986" t="s">
        <v>2483</v>
      </c>
      <c r="K1986" t="s">
        <v>2484</v>
      </c>
    </row>
    <row r="1987" spans="1:11" hidden="1">
      <c r="A1987" s="28">
        <v>46308</v>
      </c>
      <c r="B1987" t="s">
        <v>186</v>
      </c>
      <c r="C1987" t="s">
        <v>203</v>
      </c>
      <c r="D1987" t="s">
        <v>217</v>
      </c>
      <c r="E1987">
        <f>IF(LEFT(D1987,6)="CLIENT",IFERROR(VLOOKUP(C1987,Config_Carteiras!$A:$B,2,FALSE),1),"")</f>
        <v>1</v>
      </c>
      <c r="F1987" s="25">
        <v>618.04</v>
      </c>
      <c r="G1987" s="28">
        <f>IF(LEFT(D1987,6)="CLIENT",IF(E1987=0,WORKDAY(A1987-1,1,Dias_Sem_Compensacao!$A$2:$A$500),WORKDAY(A1987,E1987,Dias_Sem_Compensacao!$A$2:$A$500)),"")</f>
        <v>46309</v>
      </c>
      <c r="H1987" s="25">
        <v>0</v>
      </c>
      <c r="I1987" s="28">
        <v>46308</v>
      </c>
      <c r="J1987" t="s">
        <v>1234</v>
      </c>
      <c r="K1987" t="s">
        <v>1235</v>
      </c>
    </row>
    <row r="1988" spans="1:11" hidden="1">
      <c r="A1988" s="28">
        <v>46308</v>
      </c>
      <c r="B1988" t="s">
        <v>186</v>
      </c>
      <c r="C1988" t="s">
        <v>203</v>
      </c>
      <c r="D1988" t="s">
        <v>217</v>
      </c>
      <c r="E1988">
        <f>IF(LEFT(D1988,6)="CLIENT",IFERROR(VLOOKUP(C1988,Config_Carteiras!$A:$B,2,FALSE),1),"")</f>
        <v>1</v>
      </c>
      <c r="F1988" s="25">
        <v>1109.68</v>
      </c>
      <c r="G1988" s="28">
        <f>IF(LEFT(D1988,6)="CLIENT",IF(E1988=0,WORKDAY(A1988-1,1,Dias_Sem_Compensacao!$A$2:$A$500),WORKDAY(A1988,E1988,Dias_Sem_Compensacao!$A$2:$A$500)),"")</f>
        <v>46309</v>
      </c>
      <c r="H1988" s="25">
        <v>0</v>
      </c>
      <c r="I1988" s="28">
        <v>46308</v>
      </c>
      <c r="J1988" t="s">
        <v>2485</v>
      </c>
      <c r="K1988" t="s">
        <v>2486</v>
      </c>
    </row>
    <row r="1989" spans="1:11" hidden="1">
      <c r="A1989" s="28">
        <v>46308</v>
      </c>
      <c r="B1989" t="s">
        <v>186</v>
      </c>
      <c r="C1989" t="s">
        <v>203</v>
      </c>
      <c r="D1989" t="s">
        <v>217</v>
      </c>
      <c r="E1989">
        <f>IF(LEFT(D1989,6)="CLIENT",IFERROR(VLOOKUP(C1989,Config_Carteiras!$A:$B,2,FALSE),1),"")</f>
        <v>1</v>
      </c>
      <c r="F1989" s="25">
        <v>700.58</v>
      </c>
      <c r="G1989" s="28">
        <f>IF(LEFT(D1989,6)="CLIENT",IF(E1989=0,WORKDAY(A1989-1,1,Dias_Sem_Compensacao!$A$2:$A$500),WORKDAY(A1989,E1989,Dias_Sem_Compensacao!$A$2:$A$500)),"")</f>
        <v>46309</v>
      </c>
      <c r="H1989" s="25">
        <v>0</v>
      </c>
      <c r="I1989" s="28">
        <v>46308</v>
      </c>
      <c r="J1989" t="s">
        <v>1109</v>
      </c>
      <c r="K1989" t="s">
        <v>1110</v>
      </c>
    </row>
    <row r="1990" spans="1:11" hidden="1">
      <c r="A1990" s="28">
        <v>46308</v>
      </c>
      <c r="B1990" t="s">
        <v>186</v>
      </c>
      <c r="C1990" t="s">
        <v>203</v>
      </c>
      <c r="D1990" t="s">
        <v>217</v>
      </c>
      <c r="E1990">
        <f>IF(LEFT(D1990,6)="CLIENT",IFERROR(VLOOKUP(C1990,Config_Carteiras!$A:$B,2,FALSE),1),"")</f>
        <v>1</v>
      </c>
      <c r="F1990" s="25">
        <v>995</v>
      </c>
      <c r="G1990" s="28">
        <f>IF(LEFT(D1990,6)="CLIENT",IF(E1990=0,WORKDAY(A1990-1,1,Dias_Sem_Compensacao!$A$2:$A$500),WORKDAY(A1990,E1990,Dias_Sem_Compensacao!$A$2:$A$500)),"")</f>
        <v>46309</v>
      </c>
      <c r="H1990" s="25">
        <v>0</v>
      </c>
      <c r="I1990" s="28">
        <v>46308</v>
      </c>
      <c r="J1990" t="s">
        <v>328</v>
      </c>
      <c r="K1990" t="s">
        <v>2487</v>
      </c>
    </row>
    <row r="1991" spans="1:11" hidden="1">
      <c r="A1991" s="28">
        <v>46308</v>
      </c>
      <c r="B1991" t="s">
        <v>186</v>
      </c>
      <c r="C1991" t="s">
        <v>203</v>
      </c>
      <c r="D1991" t="s">
        <v>217</v>
      </c>
      <c r="E1991">
        <f>IF(LEFT(D1991,6)="CLIENT",IFERROR(VLOOKUP(C1991,Config_Carteiras!$A:$B,2,FALSE),1),"")</f>
        <v>1</v>
      </c>
      <c r="F1991" s="25">
        <v>1093</v>
      </c>
      <c r="G1991" s="28">
        <f>IF(LEFT(D1991,6)="CLIENT",IF(E1991=0,WORKDAY(A1991-1,1,Dias_Sem_Compensacao!$A$2:$A$500),WORKDAY(A1991,E1991,Dias_Sem_Compensacao!$A$2:$A$500)),"")</f>
        <v>46309</v>
      </c>
      <c r="H1991" s="25">
        <v>0</v>
      </c>
      <c r="I1991" s="28">
        <v>46308</v>
      </c>
      <c r="J1991" t="s">
        <v>2488</v>
      </c>
      <c r="K1991" t="s">
        <v>2489</v>
      </c>
    </row>
    <row r="1992" spans="1:11" hidden="1">
      <c r="A1992" s="28">
        <v>46308</v>
      </c>
      <c r="B1992" t="s">
        <v>186</v>
      </c>
      <c r="C1992" t="s">
        <v>203</v>
      </c>
      <c r="D1992" t="s">
        <v>217</v>
      </c>
      <c r="E1992">
        <f>IF(LEFT(D1992,6)="CLIENT",IFERROR(VLOOKUP(C1992,Config_Carteiras!$A:$B,2,FALSE),1),"")</f>
        <v>1</v>
      </c>
      <c r="F1992" s="25">
        <v>759</v>
      </c>
      <c r="G1992" s="28">
        <f>IF(LEFT(D1992,6)="CLIENT",IF(E1992=0,WORKDAY(A1992-1,1,Dias_Sem_Compensacao!$A$2:$A$500),WORKDAY(A1992,E1992,Dias_Sem_Compensacao!$A$2:$A$500)),"")</f>
        <v>46309</v>
      </c>
      <c r="H1992" s="25">
        <v>0</v>
      </c>
      <c r="I1992" s="28">
        <v>46308</v>
      </c>
      <c r="J1992" t="s">
        <v>2490</v>
      </c>
      <c r="K1992" t="s">
        <v>2491</v>
      </c>
    </row>
    <row r="1993" spans="1:11" hidden="1">
      <c r="A1993" s="28">
        <v>46308</v>
      </c>
      <c r="B1993" t="s">
        <v>186</v>
      </c>
      <c r="C1993" t="s">
        <v>203</v>
      </c>
      <c r="D1993" t="s">
        <v>217</v>
      </c>
      <c r="E1993">
        <f>IF(LEFT(D1993,6)="CLIENT",IFERROR(VLOOKUP(C1993,Config_Carteiras!$A:$B,2,FALSE),1),"")</f>
        <v>1</v>
      </c>
      <c r="F1993" s="25">
        <v>905.54</v>
      </c>
      <c r="G1993" s="28">
        <f>IF(LEFT(D1993,6)="CLIENT",IF(E1993=0,WORKDAY(A1993-1,1,Dias_Sem_Compensacao!$A$2:$A$500),WORKDAY(A1993,E1993,Dias_Sem_Compensacao!$A$2:$A$500)),"")</f>
        <v>46309</v>
      </c>
      <c r="H1993" s="25">
        <v>0</v>
      </c>
      <c r="I1993" s="28">
        <v>46308</v>
      </c>
      <c r="J1993" t="s">
        <v>2492</v>
      </c>
      <c r="K1993" t="s">
        <v>2493</v>
      </c>
    </row>
    <row r="1994" spans="1:11" hidden="1">
      <c r="A1994" s="28">
        <v>46308</v>
      </c>
      <c r="B1994" t="s">
        <v>186</v>
      </c>
      <c r="C1994" t="s">
        <v>203</v>
      </c>
      <c r="D1994" t="s">
        <v>217</v>
      </c>
      <c r="E1994">
        <f>IF(LEFT(D1994,6)="CLIENT",IFERROR(VLOOKUP(C1994,Config_Carteiras!$A:$B,2,FALSE),1),"")</f>
        <v>1</v>
      </c>
      <c r="F1994" s="25">
        <v>947.45</v>
      </c>
      <c r="G1994" s="28">
        <f>IF(LEFT(D1994,6)="CLIENT",IF(E1994=0,WORKDAY(A1994-1,1,Dias_Sem_Compensacao!$A$2:$A$500),WORKDAY(A1994,E1994,Dias_Sem_Compensacao!$A$2:$A$500)),"")</f>
        <v>46309</v>
      </c>
      <c r="H1994" s="25">
        <v>0</v>
      </c>
      <c r="I1994" s="28">
        <v>46308</v>
      </c>
      <c r="J1994" t="s">
        <v>1246</v>
      </c>
      <c r="K1994" t="s">
        <v>1247</v>
      </c>
    </row>
    <row r="1995" spans="1:11" hidden="1">
      <c r="A1995" s="28">
        <v>46308</v>
      </c>
      <c r="B1995" t="s">
        <v>186</v>
      </c>
      <c r="C1995" t="s">
        <v>203</v>
      </c>
      <c r="D1995" t="s">
        <v>217</v>
      </c>
      <c r="E1995">
        <f>IF(LEFT(D1995,6)="CLIENT",IFERROR(VLOOKUP(C1995,Config_Carteiras!$A:$B,2,FALSE),1),"")</f>
        <v>1</v>
      </c>
      <c r="F1995" s="25">
        <v>1144</v>
      </c>
      <c r="G1995" s="28">
        <f>IF(LEFT(D1995,6)="CLIENT",IF(E1995=0,WORKDAY(A1995-1,1,Dias_Sem_Compensacao!$A$2:$A$500),WORKDAY(A1995,E1995,Dias_Sem_Compensacao!$A$2:$A$500)),"")</f>
        <v>46309</v>
      </c>
      <c r="H1995" s="25">
        <v>0</v>
      </c>
      <c r="I1995" s="28">
        <v>46308</v>
      </c>
      <c r="J1995" t="s">
        <v>1250</v>
      </c>
      <c r="K1995" t="s">
        <v>1251</v>
      </c>
    </row>
    <row r="1996" spans="1:11" hidden="1">
      <c r="A1996" s="28">
        <v>46308</v>
      </c>
      <c r="B1996" t="s">
        <v>186</v>
      </c>
      <c r="C1996" t="s">
        <v>203</v>
      </c>
      <c r="D1996" t="s">
        <v>217</v>
      </c>
      <c r="E1996">
        <f>IF(LEFT(D1996,6)="CLIENT",IFERROR(VLOOKUP(C1996,Config_Carteiras!$A:$B,2,FALSE),1),"")</f>
        <v>1</v>
      </c>
      <c r="F1996" s="25">
        <v>1819</v>
      </c>
      <c r="G1996" s="28">
        <f>IF(LEFT(D1996,6)="CLIENT",IF(E1996=0,WORKDAY(A1996-1,1,Dias_Sem_Compensacao!$A$2:$A$500),WORKDAY(A1996,E1996,Dias_Sem_Compensacao!$A$2:$A$500)),"")</f>
        <v>46309</v>
      </c>
      <c r="H1996" s="25">
        <v>0</v>
      </c>
      <c r="I1996" s="28">
        <v>46308</v>
      </c>
      <c r="J1996" t="s">
        <v>2494</v>
      </c>
      <c r="K1996" t="s">
        <v>2495</v>
      </c>
    </row>
    <row r="1997" spans="1:11" hidden="1">
      <c r="A1997" s="28">
        <v>46308</v>
      </c>
      <c r="B1997" t="s">
        <v>186</v>
      </c>
      <c r="C1997" t="s">
        <v>203</v>
      </c>
      <c r="D1997" t="s">
        <v>217</v>
      </c>
      <c r="E1997">
        <f>IF(LEFT(D1997,6)="CLIENT",IFERROR(VLOOKUP(C1997,Config_Carteiras!$A:$B,2,FALSE),1),"")</f>
        <v>1</v>
      </c>
      <c r="F1997" s="25">
        <v>427.07</v>
      </c>
      <c r="G1997" s="28">
        <f>IF(LEFT(D1997,6)="CLIENT",IF(E1997=0,WORKDAY(A1997-1,1,Dias_Sem_Compensacao!$A$2:$A$500),WORKDAY(A1997,E1997,Dias_Sem_Compensacao!$A$2:$A$500)),"")</f>
        <v>46309</v>
      </c>
      <c r="H1997" s="25">
        <v>0</v>
      </c>
      <c r="I1997" s="28">
        <v>46308</v>
      </c>
      <c r="J1997" t="s">
        <v>1891</v>
      </c>
      <c r="K1997" t="s">
        <v>1892</v>
      </c>
    </row>
    <row r="1998" spans="1:11" hidden="1">
      <c r="A1998" s="28">
        <v>46308</v>
      </c>
      <c r="B1998" t="s">
        <v>186</v>
      </c>
      <c r="C1998" t="s">
        <v>203</v>
      </c>
      <c r="D1998" t="s">
        <v>217</v>
      </c>
      <c r="E1998">
        <f>IF(LEFT(D1998,6)="CLIENT",IFERROR(VLOOKUP(C1998,Config_Carteiras!$A:$B,2,FALSE),1),"")</f>
        <v>1</v>
      </c>
      <c r="F1998" s="25">
        <v>2373</v>
      </c>
      <c r="G1998" s="28">
        <f>IF(LEFT(D1998,6)="CLIENT",IF(E1998=0,WORKDAY(A1998-1,1,Dias_Sem_Compensacao!$A$2:$A$500),WORKDAY(A1998,E1998,Dias_Sem_Compensacao!$A$2:$A$500)),"")</f>
        <v>46309</v>
      </c>
      <c r="H1998" s="25">
        <v>0</v>
      </c>
      <c r="I1998" s="28">
        <v>46308</v>
      </c>
      <c r="J1998" t="s">
        <v>2496</v>
      </c>
      <c r="K1998" t="s">
        <v>2497</v>
      </c>
    </row>
    <row r="1999" spans="1:11" hidden="1">
      <c r="A1999" s="28">
        <v>46308</v>
      </c>
      <c r="B1999" t="s">
        <v>186</v>
      </c>
      <c r="C1999" t="s">
        <v>203</v>
      </c>
      <c r="D1999" t="s">
        <v>217</v>
      </c>
      <c r="E1999">
        <f>IF(LEFT(D1999,6)="CLIENT",IFERROR(VLOOKUP(C1999,Config_Carteiras!$A:$B,2,FALSE),1),"")</f>
        <v>1</v>
      </c>
      <c r="F1999" s="25">
        <v>493.72</v>
      </c>
      <c r="G1999" s="28">
        <f>IF(LEFT(D1999,6)="CLIENT",IF(E1999=0,WORKDAY(A1999-1,1,Dias_Sem_Compensacao!$A$2:$A$500),WORKDAY(A1999,E1999,Dias_Sem_Compensacao!$A$2:$A$500)),"")</f>
        <v>46309</v>
      </c>
      <c r="H1999" s="25">
        <v>0</v>
      </c>
      <c r="I1999" s="28">
        <v>46308</v>
      </c>
      <c r="J1999" t="s">
        <v>1252</v>
      </c>
      <c r="K1999" t="s">
        <v>1253</v>
      </c>
    </row>
    <row r="2000" spans="1:11" hidden="1">
      <c r="A2000" s="28">
        <v>46308</v>
      </c>
      <c r="B2000" t="s">
        <v>186</v>
      </c>
      <c r="C2000" t="s">
        <v>203</v>
      </c>
      <c r="D2000" t="s">
        <v>217</v>
      </c>
      <c r="E2000">
        <f>IF(LEFT(D2000,6)="CLIENT",IFERROR(VLOOKUP(C2000,Config_Carteiras!$A:$B,2,FALSE),1),"")</f>
        <v>1</v>
      </c>
      <c r="F2000" s="25">
        <v>559</v>
      </c>
      <c r="G2000" s="28">
        <f>IF(LEFT(D2000,6)="CLIENT",IF(E2000=0,WORKDAY(A2000-1,1,Dias_Sem_Compensacao!$A$2:$A$500),WORKDAY(A2000,E2000,Dias_Sem_Compensacao!$A$2:$A$500)),"")</f>
        <v>46309</v>
      </c>
      <c r="H2000" s="25">
        <v>0</v>
      </c>
      <c r="I2000" s="28">
        <v>46308</v>
      </c>
      <c r="J2000" t="s">
        <v>1255</v>
      </c>
      <c r="K2000" t="s">
        <v>2498</v>
      </c>
    </row>
    <row r="2001" spans="1:11" hidden="1">
      <c r="A2001" s="28">
        <v>46308</v>
      </c>
      <c r="B2001" t="s">
        <v>186</v>
      </c>
      <c r="C2001" t="s">
        <v>203</v>
      </c>
      <c r="D2001" t="s">
        <v>217</v>
      </c>
      <c r="E2001">
        <f>IF(LEFT(D2001,6)="CLIENT",IFERROR(VLOOKUP(C2001,Config_Carteiras!$A:$B,2,FALSE),1),"")</f>
        <v>1</v>
      </c>
      <c r="F2001" s="25">
        <v>410</v>
      </c>
      <c r="G2001" s="28">
        <f>IF(LEFT(D2001,6)="CLIENT",IF(E2001=0,WORKDAY(A2001-1,1,Dias_Sem_Compensacao!$A$2:$A$500),WORKDAY(A2001,E2001,Dias_Sem_Compensacao!$A$2:$A$500)),"")</f>
        <v>46309</v>
      </c>
      <c r="H2001" s="25">
        <v>0</v>
      </c>
      <c r="I2001" s="28">
        <v>46308</v>
      </c>
      <c r="J2001" t="s">
        <v>2499</v>
      </c>
      <c r="K2001" t="s">
        <v>2500</v>
      </c>
    </row>
    <row r="2002" spans="1:11" hidden="1">
      <c r="A2002" s="28">
        <v>46308</v>
      </c>
      <c r="B2002" t="s">
        <v>186</v>
      </c>
      <c r="C2002" t="s">
        <v>203</v>
      </c>
      <c r="D2002" t="s">
        <v>217</v>
      </c>
      <c r="E2002">
        <f>IF(LEFT(D2002,6)="CLIENT",IFERROR(VLOOKUP(C2002,Config_Carteiras!$A:$B,2,FALSE),1),"")</f>
        <v>1</v>
      </c>
      <c r="F2002" s="25">
        <v>685</v>
      </c>
      <c r="G2002" s="28">
        <f>IF(LEFT(D2002,6)="CLIENT",IF(E2002=0,WORKDAY(A2002-1,1,Dias_Sem_Compensacao!$A$2:$A$500),WORKDAY(A2002,E2002,Dias_Sem_Compensacao!$A$2:$A$500)),"")</f>
        <v>46309</v>
      </c>
      <c r="H2002" s="25">
        <v>0</v>
      </c>
      <c r="I2002" s="28">
        <v>46308</v>
      </c>
      <c r="J2002" t="s">
        <v>2501</v>
      </c>
      <c r="K2002" t="s">
        <v>2502</v>
      </c>
    </row>
    <row r="2003" spans="1:11" hidden="1">
      <c r="A2003" s="28">
        <v>46308</v>
      </c>
      <c r="B2003" t="s">
        <v>186</v>
      </c>
      <c r="C2003" t="s">
        <v>203</v>
      </c>
      <c r="D2003" t="s">
        <v>217</v>
      </c>
      <c r="E2003">
        <f>IF(LEFT(D2003,6)="CLIENT",IFERROR(VLOOKUP(C2003,Config_Carteiras!$A:$B,2,FALSE),1),"")</f>
        <v>1</v>
      </c>
      <c r="F2003" s="25">
        <v>762</v>
      </c>
      <c r="G2003" s="28">
        <f>IF(LEFT(D2003,6)="CLIENT",IF(E2003=0,WORKDAY(A2003-1,1,Dias_Sem_Compensacao!$A$2:$A$500),WORKDAY(A2003,E2003,Dias_Sem_Compensacao!$A$2:$A$500)),"")</f>
        <v>46309</v>
      </c>
      <c r="H2003" s="25">
        <v>0</v>
      </c>
      <c r="I2003" s="28">
        <v>46308</v>
      </c>
      <c r="J2003" t="s">
        <v>1893</v>
      </c>
      <c r="K2003" t="s">
        <v>1894</v>
      </c>
    </row>
    <row r="2004" spans="1:11" hidden="1">
      <c r="A2004" s="28">
        <v>46308</v>
      </c>
      <c r="B2004" t="s">
        <v>186</v>
      </c>
      <c r="C2004" t="s">
        <v>203</v>
      </c>
      <c r="D2004" t="s">
        <v>217</v>
      </c>
      <c r="E2004">
        <f>IF(LEFT(D2004,6)="CLIENT",IFERROR(VLOOKUP(C2004,Config_Carteiras!$A:$B,2,FALSE),1),"")</f>
        <v>1</v>
      </c>
      <c r="F2004" s="25">
        <v>1075</v>
      </c>
      <c r="G2004" s="28">
        <f>IF(LEFT(D2004,6)="CLIENT",IF(E2004=0,WORKDAY(A2004-1,1,Dias_Sem_Compensacao!$A$2:$A$500),WORKDAY(A2004,E2004,Dias_Sem_Compensacao!$A$2:$A$500)),"")</f>
        <v>46309</v>
      </c>
      <c r="H2004" s="25">
        <v>0</v>
      </c>
      <c r="I2004" s="28">
        <v>46308</v>
      </c>
      <c r="J2004" t="s">
        <v>2008</v>
      </c>
      <c r="K2004" t="s">
        <v>2009</v>
      </c>
    </row>
    <row r="2005" spans="1:11" hidden="1">
      <c r="A2005" s="28">
        <v>46308</v>
      </c>
      <c r="B2005" t="s">
        <v>186</v>
      </c>
      <c r="C2005" t="s">
        <v>203</v>
      </c>
      <c r="D2005" t="s">
        <v>217</v>
      </c>
      <c r="E2005">
        <f>IF(LEFT(D2005,6)="CLIENT",IFERROR(VLOOKUP(C2005,Config_Carteiras!$A:$B,2,FALSE),1),"")</f>
        <v>1</v>
      </c>
      <c r="F2005" s="25">
        <v>1275</v>
      </c>
      <c r="G2005" s="28">
        <f>IF(LEFT(D2005,6)="CLIENT",IF(E2005=0,WORKDAY(A2005-1,1,Dias_Sem_Compensacao!$A$2:$A$500),WORKDAY(A2005,E2005,Dias_Sem_Compensacao!$A$2:$A$500)),"")</f>
        <v>46309</v>
      </c>
      <c r="H2005" s="25">
        <v>0</v>
      </c>
      <c r="I2005" s="28">
        <v>46308</v>
      </c>
      <c r="J2005" t="s">
        <v>2503</v>
      </c>
      <c r="K2005" t="s">
        <v>2504</v>
      </c>
    </row>
    <row r="2006" spans="1:11" hidden="1">
      <c r="A2006" s="28">
        <v>46308</v>
      </c>
      <c r="B2006" t="s">
        <v>186</v>
      </c>
      <c r="C2006" t="s">
        <v>203</v>
      </c>
      <c r="D2006" t="s">
        <v>217</v>
      </c>
      <c r="E2006">
        <f>IF(LEFT(D2006,6)="CLIENT",IFERROR(VLOOKUP(C2006,Config_Carteiras!$A:$B,2,FALSE),1),"")</f>
        <v>1</v>
      </c>
      <c r="F2006" s="25">
        <v>519.45000000000005</v>
      </c>
      <c r="G2006" s="28">
        <f>IF(LEFT(D2006,6)="CLIENT",IF(E2006=0,WORKDAY(A2006-1,1,Dias_Sem_Compensacao!$A$2:$A$500),WORKDAY(A2006,E2006,Dias_Sem_Compensacao!$A$2:$A$500)),"")</f>
        <v>46309</v>
      </c>
      <c r="H2006" s="25">
        <v>0</v>
      </c>
      <c r="I2006" s="28">
        <v>46308</v>
      </c>
      <c r="J2006" t="s">
        <v>2505</v>
      </c>
      <c r="K2006" t="s">
        <v>2506</v>
      </c>
    </row>
    <row r="2007" spans="1:11" hidden="1">
      <c r="A2007" s="28">
        <v>46308</v>
      </c>
      <c r="B2007" t="s">
        <v>186</v>
      </c>
      <c r="C2007" t="s">
        <v>203</v>
      </c>
      <c r="D2007" t="s">
        <v>217</v>
      </c>
      <c r="E2007">
        <f>IF(LEFT(D2007,6)="CLIENT",IFERROR(VLOOKUP(C2007,Config_Carteiras!$A:$B,2,FALSE),1),"")</f>
        <v>1</v>
      </c>
      <c r="F2007" s="25">
        <v>954</v>
      </c>
      <c r="G2007" s="28">
        <f>IF(LEFT(D2007,6)="CLIENT",IF(E2007=0,WORKDAY(A2007-1,1,Dias_Sem_Compensacao!$A$2:$A$500),WORKDAY(A2007,E2007,Dias_Sem_Compensacao!$A$2:$A$500)),"")</f>
        <v>46309</v>
      </c>
      <c r="H2007" s="25">
        <v>0</v>
      </c>
      <c r="I2007" s="28">
        <v>46308</v>
      </c>
      <c r="J2007" t="s">
        <v>1897</v>
      </c>
      <c r="K2007" t="s">
        <v>1898</v>
      </c>
    </row>
    <row r="2008" spans="1:11" hidden="1">
      <c r="A2008" s="28">
        <v>46308</v>
      </c>
      <c r="B2008" t="s">
        <v>186</v>
      </c>
      <c r="C2008" t="s">
        <v>203</v>
      </c>
      <c r="D2008" t="s">
        <v>217</v>
      </c>
      <c r="E2008">
        <f>IF(LEFT(D2008,6)="CLIENT",IFERROR(VLOOKUP(C2008,Config_Carteiras!$A:$B,2,FALSE),1),"")</f>
        <v>1</v>
      </c>
      <c r="F2008" s="25">
        <v>953</v>
      </c>
      <c r="G2008" s="28">
        <f>IF(LEFT(D2008,6)="CLIENT",IF(E2008=0,WORKDAY(A2008-1,1,Dias_Sem_Compensacao!$A$2:$A$500),WORKDAY(A2008,E2008,Dias_Sem_Compensacao!$A$2:$A$500)),"")</f>
        <v>46309</v>
      </c>
      <c r="H2008" s="25">
        <v>0</v>
      </c>
      <c r="I2008" s="28">
        <v>46308</v>
      </c>
      <c r="K2008" t="s">
        <v>1899</v>
      </c>
    </row>
    <row r="2009" spans="1:11" hidden="1">
      <c r="A2009" s="28">
        <v>46308</v>
      </c>
      <c r="B2009" t="s">
        <v>186</v>
      </c>
      <c r="C2009" t="s">
        <v>203</v>
      </c>
      <c r="D2009" t="s">
        <v>217</v>
      </c>
      <c r="E2009">
        <f>IF(LEFT(D2009,6)="CLIENT",IFERROR(VLOOKUP(C2009,Config_Carteiras!$A:$B,2,FALSE),1),"")</f>
        <v>1</v>
      </c>
      <c r="F2009" s="25">
        <v>489</v>
      </c>
      <c r="G2009" s="28">
        <f>IF(LEFT(D2009,6)="CLIENT",IF(E2009=0,WORKDAY(A2009-1,1,Dias_Sem_Compensacao!$A$2:$A$500),WORKDAY(A2009,E2009,Dias_Sem_Compensacao!$A$2:$A$500)),"")</f>
        <v>46309</v>
      </c>
      <c r="H2009" s="25">
        <v>0</v>
      </c>
      <c r="I2009" s="28">
        <v>46308</v>
      </c>
      <c r="J2009" t="s">
        <v>1259</v>
      </c>
      <c r="K2009" t="s">
        <v>1260</v>
      </c>
    </row>
    <row r="2010" spans="1:11" hidden="1">
      <c r="A2010" s="28">
        <v>46308</v>
      </c>
      <c r="B2010" t="s">
        <v>186</v>
      </c>
      <c r="C2010" t="s">
        <v>203</v>
      </c>
      <c r="D2010" t="s">
        <v>217</v>
      </c>
      <c r="E2010">
        <f>IF(LEFT(D2010,6)="CLIENT",IFERROR(VLOOKUP(C2010,Config_Carteiras!$A:$B,2,FALSE),1),"")</f>
        <v>1</v>
      </c>
      <c r="F2010" s="25">
        <v>1292.21</v>
      </c>
      <c r="G2010" s="28">
        <f>IF(LEFT(D2010,6)="CLIENT",IF(E2010=0,WORKDAY(A2010-1,1,Dias_Sem_Compensacao!$A$2:$A$500),WORKDAY(A2010,E2010,Dias_Sem_Compensacao!$A$2:$A$500)),"")</f>
        <v>46309</v>
      </c>
      <c r="H2010" s="25">
        <v>0</v>
      </c>
      <c r="I2010" s="28">
        <v>46308</v>
      </c>
      <c r="J2010" t="s">
        <v>1261</v>
      </c>
      <c r="K2010" t="s">
        <v>1262</v>
      </c>
    </row>
    <row r="2011" spans="1:11" hidden="1">
      <c r="A2011" s="28">
        <v>46308</v>
      </c>
      <c r="B2011" t="s">
        <v>186</v>
      </c>
      <c r="C2011" t="s">
        <v>203</v>
      </c>
      <c r="D2011" t="s">
        <v>217</v>
      </c>
      <c r="E2011">
        <f>IF(LEFT(D2011,6)="CLIENT",IFERROR(VLOOKUP(C2011,Config_Carteiras!$A:$B,2,FALSE),1),"")</f>
        <v>1</v>
      </c>
      <c r="F2011" s="25">
        <v>1195.3</v>
      </c>
      <c r="G2011" s="28">
        <f>IF(LEFT(D2011,6)="CLIENT",IF(E2011=0,WORKDAY(A2011-1,1,Dias_Sem_Compensacao!$A$2:$A$500),WORKDAY(A2011,E2011,Dias_Sem_Compensacao!$A$2:$A$500)),"")</f>
        <v>46309</v>
      </c>
      <c r="H2011" s="25">
        <v>0</v>
      </c>
      <c r="I2011" s="28">
        <v>46308</v>
      </c>
      <c r="J2011" t="s">
        <v>1263</v>
      </c>
      <c r="K2011" t="s">
        <v>1264</v>
      </c>
    </row>
    <row r="2012" spans="1:11" hidden="1">
      <c r="A2012" s="28">
        <v>46308</v>
      </c>
      <c r="B2012" t="s">
        <v>186</v>
      </c>
      <c r="C2012" t="s">
        <v>203</v>
      </c>
      <c r="D2012" t="s">
        <v>217</v>
      </c>
      <c r="E2012">
        <f>IF(LEFT(D2012,6)="CLIENT",IFERROR(VLOOKUP(C2012,Config_Carteiras!$A:$B,2,FALSE),1),"")</f>
        <v>1</v>
      </c>
      <c r="F2012" s="25">
        <v>774</v>
      </c>
      <c r="G2012" s="28">
        <f>IF(LEFT(D2012,6)="CLIENT",IF(E2012=0,WORKDAY(A2012-1,1,Dias_Sem_Compensacao!$A$2:$A$500),WORKDAY(A2012,E2012,Dias_Sem_Compensacao!$A$2:$A$500)),"")</f>
        <v>46309</v>
      </c>
      <c r="H2012" s="25">
        <v>0</v>
      </c>
      <c r="I2012" s="28">
        <v>46308</v>
      </c>
      <c r="J2012" t="s">
        <v>2507</v>
      </c>
      <c r="K2012" t="s">
        <v>2508</v>
      </c>
    </row>
    <row r="2013" spans="1:11" hidden="1">
      <c r="A2013" s="28">
        <v>46308</v>
      </c>
      <c r="B2013" t="s">
        <v>186</v>
      </c>
      <c r="C2013" t="s">
        <v>203</v>
      </c>
      <c r="D2013" t="s">
        <v>217</v>
      </c>
      <c r="E2013">
        <f>IF(LEFT(D2013,6)="CLIENT",IFERROR(VLOOKUP(C2013,Config_Carteiras!$A:$B,2,FALSE),1),"")</f>
        <v>1</v>
      </c>
      <c r="F2013" s="25">
        <v>544.36</v>
      </c>
      <c r="G2013" s="28">
        <f>IF(LEFT(D2013,6)="CLIENT",IF(E2013=0,WORKDAY(A2013-1,1,Dias_Sem_Compensacao!$A$2:$A$500),WORKDAY(A2013,E2013,Dias_Sem_Compensacao!$A$2:$A$500)),"")</f>
        <v>46309</v>
      </c>
      <c r="H2013" s="25">
        <v>0</v>
      </c>
      <c r="I2013" s="28">
        <v>46308</v>
      </c>
      <c r="J2013" t="s">
        <v>2010</v>
      </c>
      <c r="K2013" t="s">
        <v>2011</v>
      </c>
    </row>
    <row r="2014" spans="1:11" hidden="1">
      <c r="A2014" s="28">
        <v>46308</v>
      </c>
      <c r="B2014" t="s">
        <v>186</v>
      </c>
      <c r="C2014" t="s">
        <v>203</v>
      </c>
      <c r="D2014" t="s">
        <v>217</v>
      </c>
      <c r="E2014">
        <f>IF(LEFT(D2014,6)="CLIENT",IFERROR(VLOOKUP(C2014,Config_Carteiras!$A:$B,2,FALSE),1),"")</f>
        <v>1</v>
      </c>
      <c r="F2014" s="25">
        <v>725</v>
      </c>
      <c r="G2014" s="28">
        <f>IF(LEFT(D2014,6)="CLIENT",IF(E2014=0,WORKDAY(A2014-1,1,Dias_Sem_Compensacao!$A$2:$A$500),WORKDAY(A2014,E2014,Dias_Sem_Compensacao!$A$2:$A$500)),"")</f>
        <v>46309</v>
      </c>
      <c r="H2014" s="25">
        <v>0</v>
      </c>
      <c r="I2014" s="28">
        <v>46308</v>
      </c>
      <c r="J2014" t="s">
        <v>2509</v>
      </c>
      <c r="K2014" t="s">
        <v>2510</v>
      </c>
    </row>
    <row r="2015" spans="1:11" hidden="1">
      <c r="A2015" s="28">
        <v>46308</v>
      </c>
      <c r="B2015" t="s">
        <v>186</v>
      </c>
      <c r="C2015" t="s">
        <v>203</v>
      </c>
      <c r="D2015" t="s">
        <v>217</v>
      </c>
      <c r="E2015">
        <f>IF(LEFT(D2015,6)="CLIENT",IFERROR(VLOOKUP(C2015,Config_Carteiras!$A:$B,2,FALSE),1),"")</f>
        <v>1</v>
      </c>
      <c r="F2015" s="25">
        <v>3875.03</v>
      </c>
      <c r="G2015" s="28">
        <f>IF(LEFT(D2015,6)="CLIENT",IF(E2015=0,WORKDAY(A2015-1,1,Dias_Sem_Compensacao!$A$2:$A$500),WORKDAY(A2015,E2015,Dias_Sem_Compensacao!$A$2:$A$500)),"")</f>
        <v>46309</v>
      </c>
      <c r="H2015" s="25">
        <v>0</v>
      </c>
      <c r="I2015" s="28">
        <v>46308</v>
      </c>
      <c r="J2015" t="s">
        <v>1598</v>
      </c>
      <c r="K2015" t="s">
        <v>2511</v>
      </c>
    </row>
    <row r="2016" spans="1:11" hidden="1">
      <c r="A2016" s="28">
        <v>46308</v>
      </c>
      <c r="B2016" t="s">
        <v>186</v>
      </c>
      <c r="C2016" t="s">
        <v>203</v>
      </c>
      <c r="D2016" t="s">
        <v>217</v>
      </c>
      <c r="E2016">
        <f>IF(LEFT(D2016,6)="CLIENT",IFERROR(VLOOKUP(C2016,Config_Carteiras!$A:$B,2,FALSE),1),"")</f>
        <v>1</v>
      </c>
      <c r="F2016" s="25">
        <v>610.46</v>
      </c>
      <c r="G2016" s="28">
        <f>IF(LEFT(D2016,6)="CLIENT",IF(E2016=0,WORKDAY(A2016-1,1,Dias_Sem_Compensacao!$A$2:$A$500),WORKDAY(A2016,E2016,Dias_Sem_Compensacao!$A$2:$A$500)),"")</f>
        <v>46309</v>
      </c>
      <c r="H2016" s="25">
        <v>0</v>
      </c>
      <c r="I2016" s="28">
        <v>46308</v>
      </c>
      <c r="J2016" t="s">
        <v>1906</v>
      </c>
      <c r="K2016" t="s">
        <v>1907</v>
      </c>
    </row>
    <row r="2017" spans="1:11" hidden="1">
      <c r="A2017" s="28">
        <v>46308</v>
      </c>
      <c r="B2017" t="s">
        <v>186</v>
      </c>
      <c r="C2017" t="s">
        <v>203</v>
      </c>
      <c r="D2017" t="s">
        <v>217</v>
      </c>
      <c r="E2017">
        <f>IF(LEFT(D2017,6)="CLIENT",IFERROR(VLOOKUP(C2017,Config_Carteiras!$A:$B,2,FALSE),1),"")</f>
        <v>1</v>
      </c>
      <c r="F2017" s="25">
        <v>1320</v>
      </c>
      <c r="G2017" s="28">
        <f>IF(LEFT(D2017,6)="CLIENT",IF(E2017=0,WORKDAY(A2017-1,1,Dias_Sem_Compensacao!$A$2:$A$500),WORKDAY(A2017,E2017,Dias_Sem_Compensacao!$A$2:$A$500)),"")</f>
        <v>46309</v>
      </c>
      <c r="H2017" s="25">
        <v>0</v>
      </c>
      <c r="I2017" s="28">
        <v>46308</v>
      </c>
      <c r="J2017" t="s">
        <v>1908</v>
      </c>
      <c r="K2017" t="s">
        <v>1909</v>
      </c>
    </row>
    <row r="2018" spans="1:11" hidden="1">
      <c r="A2018" s="28">
        <v>46308</v>
      </c>
      <c r="B2018" t="s">
        <v>186</v>
      </c>
      <c r="C2018" t="s">
        <v>203</v>
      </c>
      <c r="D2018" t="s">
        <v>217</v>
      </c>
      <c r="E2018">
        <f>IF(LEFT(D2018,6)="CLIENT",IFERROR(VLOOKUP(C2018,Config_Carteiras!$A:$B,2,FALSE),1),"")</f>
        <v>1</v>
      </c>
      <c r="F2018" s="25">
        <v>434.59</v>
      </c>
      <c r="G2018" s="28">
        <f>IF(LEFT(D2018,6)="CLIENT",IF(E2018=0,WORKDAY(A2018-1,1,Dias_Sem_Compensacao!$A$2:$A$500),WORKDAY(A2018,E2018,Dias_Sem_Compensacao!$A$2:$A$500)),"")</f>
        <v>46309</v>
      </c>
      <c r="H2018" s="25">
        <v>0</v>
      </c>
      <c r="I2018" s="28">
        <v>46308</v>
      </c>
      <c r="J2018" t="s">
        <v>1910</v>
      </c>
      <c r="K2018" t="s">
        <v>1911</v>
      </c>
    </row>
    <row r="2019" spans="1:11" hidden="1">
      <c r="A2019" s="28">
        <v>46308</v>
      </c>
      <c r="B2019" t="s">
        <v>186</v>
      </c>
      <c r="C2019" t="s">
        <v>203</v>
      </c>
      <c r="D2019" t="s">
        <v>217</v>
      </c>
      <c r="E2019">
        <f>IF(LEFT(D2019,6)="CLIENT",IFERROR(VLOOKUP(C2019,Config_Carteiras!$A:$B,2,FALSE),1),"")</f>
        <v>1</v>
      </c>
      <c r="F2019" s="25">
        <v>1271</v>
      </c>
      <c r="G2019" s="28">
        <f>IF(LEFT(D2019,6)="CLIENT",IF(E2019=0,WORKDAY(A2019-1,1,Dias_Sem_Compensacao!$A$2:$A$500),WORKDAY(A2019,E2019,Dias_Sem_Compensacao!$A$2:$A$500)),"")</f>
        <v>46309</v>
      </c>
      <c r="H2019" s="25">
        <v>0</v>
      </c>
      <c r="I2019" s="28">
        <v>46308</v>
      </c>
      <c r="J2019" t="s">
        <v>2512</v>
      </c>
      <c r="K2019" t="s">
        <v>2513</v>
      </c>
    </row>
    <row r="2020" spans="1:11" hidden="1">
      <c r="A2020" s="28">
        <v>46308</v>
      </c>
      <c r="B2020" t="s">
        <v>186</v>
      </c>
      <c r="C2020" t="s">
        <v>203</v>
      </c>
      <c r="D2020" t="s">
        <v>217</v>
      </c>
      <c r="E2020">
        <f>IF(LEFT(D2020,6)="CLIENT",IFERROR(VLOOKUP(C2020,Config_Carteiras!$A:$B,2,FALSE),1),"")</f>
        <v>1</v>
      </c>
      <c r="F2020" s="25">
        <v>471</v>
      </c>
      <c r="G2020" s="28">
        <f>IF(LEFT(D2020,6)="CLIENT",IF(E2020=0,WORKDAY(A2020-1,1,Dias_Sem_Compensacao!$A$2:$A$500),WORKDAY(A2020,E2020,Dias_Sem_Compensacao!$A$2:$A$500)),"")</f>
        <v>46309</v>
      </c>
      <c r="H2020" s="25">
        <v>0</v>
      </c>
      <c r="I2020" s="28">
        <v>46308</v>
      </c>
      <c r="J2020" t="s">
        <v>2012</v>
      </c>
      <c r="K2020" t="s">
        <v>2013</v>
      </c>
    </row>
    <row r="2021" spans="1:11" hidden="1">
      <c r="A2021" s="28">
        <v>46308</v>
      </c>
      <c r="B2021" t="s">
        <v>186</v>
      </c>
      <c r="C2021" t="s">
        <v>203</v>
      </c>
      <c r="D2021" t="s">
        <v>217</v>
      </c>
      <c r="E2021">
        <f>IF(LEFT(D2021,6)="CLIENT",IFERROR(VLOOKUP(C2021,Config_Carteiras!$A:$B,2,FALSE),1),"")</f>
        <v>1</v>
      </c>
      <c r="F2021" s="25">
        <v>1021.5</v>
      </c>
      <c r="G2021" s="28">
        <f>IF(LEFT(D2021,6)="CLIENT",IF(E2021=0,WORKDAY(A2021-1,1,Dias_Sem_Compensacao!$A$2:$A$500),WORKDAY(A2021,E2021,Dias_Sem_Compensacao!$A$2:$A$500)),"")</f>
        <v>46309</v>
      </c>
      <c r="H2021" s="25">
        <v>0</v>
      </c>
      <c r="I2021" s="28">
        <v>46308</v>
      </c>
      <c r="J2021" t="s">
        <v>621</v>
      </c>
      <c r="K2021" t="s">
        <v>2514</v>
      </c>
    </row>
    <row r="2022" spans="1:11" hidden="1">
      <c r="A2022" s="28">
        <v>46308</v>
      </c>
      <c r="B2022" t="s">
        <v>186</v>
      </c>
      <c r="C2022" t="s">
        <v>203</v>
      </c>
      <c r="D2022" t="s">
        <v>217</v>
      </c>
      <c r="E2022">
        <f>IF(LEFT(D2022,6)="CLIENT",IFERROR(VLOOKUP(C2022,Config_Carteiras!$A:$B,2,FALSE),1),"")</f>
        <v>1</v>
      </c>
      <c r="F2022" s="25">
        <v>889</v>
      </c>
      <c r="G2022" s="28">
        <f>IF(LEFT(D2022,6)="CLIENT",IF(E2022=0,WORKDAY(A2022-1,1,Dias_Sem_Compensacao!$A$2:$A$500),WORKDAY(A2022,E2022,Dias_Sem_Compensacao!$A$2:$A$500)),"")</f>
        <v>46309</v>
      </c>
      <c r="H2022" s="25">
        <v>0</v>
      </c>
      <c r="I2022" s="28">
        <v>46308</v>
      </c>
      <c r="J2022" t="s">
        <v>2014</v>
      </c>
      <c r="K2022" t="s">
        <v>2015</v>
      </c>
    </row>
    <row r="2023" spans="1:11" hidden="1">
      <c r="A2023" s="28">
        <v>46308</v>
      </c>
      <c r="B2023" t="s">
        <v>186</v>
      </c>
      <c r="C2023" t="s">
        <v>203</v>
      </c>
      <c r="D2023" t="s">
        <v>217</v>
      </c>
      <c r="E2023">
        <f>IF(LEFT(D2023,6)="CLIENT",IFERROR(VLOOKUP(C2023,Config_Carteiras!$A:$B,2,FALSE),1),"")</f>
        <v>1</v>
      </c>
      <c r="F2023" s="25">
        <v>622.5</v>
      </c>
      <c r="G2023" s="28">
        <f>IF(LEFT(D2023,6)="CLIENT",IF(E2023=0,WORKDAY(A2023-1,1,Dias_Sem_Compensacao!$A$2:$A$500),WORKDAY(A2023,E2023,Dias_Sem_Compensacao!$A$2:$A$500)),"")</f>
        <v>46309</v>
      </c>
      <c r="H2023" s="25">
        <v>0</v>
      </c>
      <c r="I2023" s="28">
        <v>46308</v>
      </c>
      <c r="J2023" t="s">
        <v>566</v>
      </c>
      <c r="K2023" t="s">
        <v>2515</v>
      </c>
    </row>
    <row r="2024" spans="1:11" hidden="1">
      <c r="A2024" s="28">
        <v>46308</v>
      </c>
      <c r="B2024" t="s">
        <v>186</v>
      </c>
      <c r="C2024" t="s">
        <v>203</v>
      </c>
      <c r="D2024" t="s">
        <v>217</v>
      </c>
      <c r="E2024">
        <f>IF(LEFT(D2024,6)="CLIENT",IFERROR(VLOOKUP(C2024,Config_Carteiras!$A:$B,2,FALSE),1),"")</f>
        <v>1</v>
      </c>
      <c r="F2024" s="25">
        <v>531.96</v>
      </c>
      <c r="G2024" s="28">
        <f>IF(LEFT(D2024,6)="CLIENT",IF(E2024=0,WORKDAY(A2024-1,1,Dias_Sem_Compensacao!$A$2:$A$500),WORKDAY(A2024,E2024,Dias_Sem_Compensacao!$A$2:$A$500)),"")</f>
        <v>46309</v>
      </c>
      <c r="H2024" s="25">
        <v>0</v>
      </c>
      <c r="I2024" s="28">
        <v>46308</v>
      </c>
      <c r="J2024" t="s">
        <v>1117</v>
      </c>
      <c r="K2024" t="s">
        <v>1118</v>
      </c>
    </row>
    <row r="2025" spans="1:11" hidden="1">
      <c r="A2025" s="28">
        <v>46308</v>
      </c>
      <c r="B2025" t="s">
        <v>186</v>
      </c>
      <c r="C2025" t="s">
        <v>203</v>
      </c>
      <c r="D2025" t="s">
        <v>217</v>
      </c>
      <c r="E2025">
        <f>IF(LEFT(D2025,6)="CLIENT",IFERROR(VLOOKUP(C2025,Config_Carteiras!$A:$B,2,FALSE),1),"")</f>
        <v>1</v>
      </c>
      <c r="F2025" s="25">
        <v>401.5</v>
      </c>
      <c r="G2025" s="28">
        <f>IF(LEFT(D2025,6)="CLIENT",IF(E2025=0,WORKDAY(A2025-1,1,Dias_Sem_Compensacao!$A$2:$A$500),WORKDAY(A2025,E2025,Dias_Sem_Compensacao!$A$2:$A$500)),"")</f>
        <v>46309</v>
      </c>
      <c r="H2025" s="25">
        <v>0</v>
      </c>
      <c r="I2025" s="28">
        <v>46308</v>
      </c>
      <c r="J2025" t="s">
        <v>2516</v>
      </c>
      <c r="K2025" t="s">
        <v>2517</v>
      </c>
    </row>
    <row r="2026" spans="1:11" hidden="1">
      <c r="A2026" s="28">
        <v>46308</v>
      </c>
      <c r="B2026" t="s">
        <v>186</v>
      </c>
      <c r="C2026" t="s">
        <v>203</v>
      </c>
      <c r="D2026" t="s">
        <v>217</v>
      </c>
      <c r="E2026">
        <f>IF(LEFT(D2026,6)="CLIENT",IFERROR(VLOOKUP(C2026,Config_Carteiras!$A:$B,2,FALSE),1),"")</f>
        <v>1</v>
      </c>
      <c r="F2026" s="25">
        <v>1225</v>
      </c>
      <c r="G2026" s="28">
        <f>IF(LEFT(D2026,6)="CLIENT",IF(E2026=0,WORKDAY(A2026-1,1,Dias_Sem_Compensacao!$A$2:$A$500),WORKDAY(A2026,E2026,Dias_Sem_Compensacao!$A$2:$A$500)),"")</f>
        <v>46309</v>
      </c>
      <c r="H2026" s="25">
        <v>0</v>
      </c>
      <c r="I2026" s="28">
        <v>46308</v>
      </c>
      <c r="J2026" t="s">
        <v>2518</v>
      </c>
      <c r="K2026" t="s">
        <v>2519</v>
      </c>
    </row>
    <row r="2027" spans="1:11" hidden="1">
      <c r="A2027" s="28">
        <v>46308</v>
      </c>
      <c r="B2027" t="s">
        <v>186</v>
      </c>
      <c r="C2027" t="s">
        <v>203</v>
      </c>
      <c r="D2027" t="s">
        <v>217</v>
      </c>
      <c r="E2027">
        <f>IF(LEFT(D2027,6)="CLIENT",IFERROR(VLOOKUP(C2027,Config_Carteiras!$A:$B,2,FALSE),1),"")</f>
        <v>1</v>
      </c>
      <c r="F2027" s="25">
        <v>1512.71</v>
      </c>
      <c r="G2027" s="28">
        <f>IF(LEFT(D2027,6)="CLIENT",IF(E2027=0,WORKDAY(A2027-1,1,Dias_Sem_Compensacao!$A$2:$A$500),WORKDAY(A2027,E2027,Dias_Sem_Compensacao!$A$2:$A$500)),"")</f>
        <v>46309</v>
      </c>
      <c r="H2027" s="25">
        <v>0</v>
      </c>
      <c r="I2027" s="28">
        <v>46308</v>
      </c>
      <c r="J2027" t="s">
        <v>2520</v>
      </c>
      <c r="K2027" t="s">
        <v>2521</v>
      </c>
    </row>
    <row r="2028" spans="1:11" hidden="1">
      <c r="A2028" s="28">
        <v>46308</v>
      </c>
      <c r="B2028" t="s">
        <v>186</v>
      </c>
      <c r="C2028" t="s">
        <v>203</v>
      </c>
      <c r="D2028" t="s">
        <v>217</v>
      </c>
      <c r="E2028">
        <f>IF(LEFT(D2028,6)="CLIENT",IFERROR(VLOOKUP(C2028,Config_Carteiras!$A:$B,2,FALSE),1),"")</f>
        <v>1</v>
      </c>
      <c r="F2028" s="25">
        <v>748.57</v>
      </c>
      <c r="G2028" s="28">
        <f>IF(LEFT(D2028,6)="CLIENT",IF(E2028=0,WORKDAY(A2028-1,1,Dias_Sem_Compensacao!$A$2:$A$500),WORKDAY(A2028,E2028,Dias_Sem_Compensacao!$A$2:$A$500)),"")</f>
        <v>46309</v>
      </c>
      <c r="H2028" s="25">
        <v>0</v>
      </c>
      <c r="I2028" s="28">
        <v>46308</v>
      </c>
      <c r="J2028" t="s">
        <v>2522</v>
      </c>
      <c r="K2028" t="s">
        <v>2523</v>
      </c>
    </row>
    <row r="2029" spans="1:11" hidden="1">
      <c r="A2029" s="28">
        <v>46308</v>
      </c>
      <c r="B2029" t="s">
        <v>186</v>
      </c>
      <c r="C2029" t="s">
        <v>203</v>
      </c>
      <c r="D2029" t="s">
        <v>217</v>
      </c>
      <c r="E2029">
        <f>IF(LEFT(D2029,6)="CLIENT",IFERROR(VLOOKUP(C2029,Config_Carteiras!$A:$B,2,FALSE),1),"")</f>
        <v>1</v>
      </c>
      <c r="F2029" s="25">
        <v>825</v>
      </c>
      <c r="G2029" s="28">
        <f>IF(LEFT(D2029,6)="CLIENT",IF(E2029=0,WORKDAY(A2029-1,1,Dias_Sem_Compensacao!$A$2:$A$500),WORKDAY(A2029,E2029,Dias_Sem_Compensacao!$A$2:$A$500)),"")</f>
        <v>46309</v>
      </c>
      <c r="H2029" s="25">
        <v>0</v>
      </c>
      <c r="I2029" s="28">
        <v>46308</v>
      </c>
      <c r="J2029" t="s">
        <v>2016</v>
      </c>
      <c r="K2029" t="s">
        <v>2017</v>
      </c>
    </row>
    <row r="2030" spans="1:11" hidden="1">
      <c r="A2030" s="28">
        <v>46308</v>
      </c>
      <c r="B2030" t="s">
        <v>186</v>
      </c>
      <c r="C2030" t="s">
        <v>203</v>
      </c>
      <c r="D2030" t="s">
        <v>217</v>
      </c>
      <c r="E2030">
        <f>IF(LEFT(D2030,6)="CLIENT",IFERROR(VLOOKUP(C2030,Config_Carteiras!$A:$B,2,FALSE),1),"")</f>
        <v>1</v>
      </c>
      <c r="F2030" s="25">
        <v>308</v>
      </c>
      <c r="G2030" s="28">
        <f>IF(LEFT(D2030,6)="CLIENT",IF(E2030=0,WORKDAY(A2030-1,1,Dias_Sem_Compensacao!$A$2:$A$500),WORKDAY(A2030,E2030,Dias_Sem_Compensacao!$A$2:$A$500)),"")</f>
        <v>46309</v>
      </c>
      <c r="H2030" s="25">
        <v>0</v>
      </c>
      <c r="I2030" s="28">
        <v>46308</v>
      </c>
      <c r="J2030" t="s">
        <v>2524</v>
      </c>
      <c r="K2030" t="s">
        <v>2525</v>
      </c>
    </row>
    <row r="2031" spans="1:11" hidden="1">
      <c r="A2031" s="28">
        <v>46308</v>
      </c>
      <c r="B2031" t="s">
        <v>186</v>
      </c>
      <c r="C2031" t="s">
        <v>203</v>
      </c>
      <c r="D2031" t="s">
        <v>217</v>
      </c>
      <c r="E2031">
        <f>IF(LEFT(D2031,6)="CLIENT",IFERROR(VLOOKUP(C2031,Config_Carteiras!$A:$B,2,FALSE),1),"")</f>
        <v>1</v>
      </c>
      <c r="F2031" s="25">
        <v>1886.25</v>
      </c>
      <c r="G2031" s="28">
        <f>IF(LEFT(D2031,6)="CLIENT",IF(E2031=0,WORKDAY(A2031-1,1,Dias_Sem_Compensacao!$A$2:$A$500),WORKDAY(A2031,E2031,Dias_Sem_Compensacao!$A$2:$A$500)),"")</f>
        <v>46309</v>
      </c>
      <c r="H2031" s="25">
        <v>0</v>
      </c>
      <c r="I2031" s="28">
        <v>46308</v>
      </c>
      <c r="J2031" t="s">
        <v>1273</v>
      </c>
      <c r="K2031" t="s">
        <v>1274</v>
      </c>
    </row>
    <row r="2032" spans="1:11" hidden="1">
      <c r="A2032" s="28">
        <v>46308</v>
      </c>
      <c r="B2032" t="s">
        <v>186</v>
      </c>
      <c r="C2032" t="s">
        <v>203</v>
      </c>
      <c r="D2032" t="s">
        <v>217</v>
      </c>
      <c r="E2032">
        <f>IF(LEFT(D2032,6)="CLIENT",IFERROR(VLOOKUP(C2032,Config_Carteiras!$A:$B,2,FALSE),1),"")</f>
        <v>1</v>
      </c>
      <c r="F2032" s="25">
        <v>1720</v>
      </c>
      <c r="G2032" s="28">
        <f>IF(LEFT(D2032,6)="CLIENT",IF(E2032=0,WORKDAY(A2032-1,1,Dias_Sem_Compensacao!$A$2:$A$500),WORKDAY(A2032,E2032,Dias_Sem_Compensacao!$A$2:$A$500)),"")</f>
        <v>46309</v>
      </c>
      <c r="H2032" s="25">
        <v>0</v>
      </c>
      <c r="I2032" s="28">
        <v>46308</v>
      </c>
      <c r="J2032" t="s">
        <v>2018</v>
      </c>
      <c r="K2032" t="s">
        <v>2019</v>
      </c>
    </row>
    <row r="2033" spans="1:11" hidden="1">
      <c r="A2033" s="28">
        <v>46308</v>
      </c>
      <c r="B2033" t="s">
        <v>186</v>
      </c>
      <c r="C2033" t="s">
        <v>203</v>
      </c>
      <c r="D2033" t="s">
        <v>217</v>
      </c>
      <c r="E2033">
        <f>IF(LEFT(D2033,6)="CLIENT",IFERROR(VLOOKUP(C2033,Config_Carteiras!$A:$B,2,FALSE),1),"")</f>
        <v>1</v>
      </c>
      <c r="F2033" s="25">
        <v>1260.26</v>
      </c>
      <c r="G2033" s="28">
        <f>IF(LEFT(D2033,6)="CLIENT",IF(E2033=0,WORKDAY(A2033-1,1,Dias_Sem_Compensacao!$A$2:$A$500),WORKDAY(A2033,E2033,Dias_Sem_Compensacao!$A$2:$A$500)),"")</f>
        <v>46309</v>
      </c>
      <c r="H2033" s="25">
        <v>0</v>
      </c>
      <c r="I2033" s="28">
        <v>46308</v>
      </c>
      <c r="J2033" t="s">
        <v>1918</v>
      </c>
      <c r="K2033" t="s">
        <v>1919</v>
      </c>
    </row>
    <row r="2034" spans="1:11" hidden="1">
      <c r="A2034" s="28">
        <v>46308</v>
      </c>
      <c r="B2034" t="s">
        <v>186</v>
      </c>
      <c r="C2034" t="s">
        <v>203</v>
      </c>
      <c r="D2034" t="s">
        <v>217</v>
      </c>
      <c r="E2034">
        <f>IF(LEFT(D2034,6)="CLIENT",IFERROR(VLOOKUP(C2034,Config_Carteiras!$A:$B,2,FALSE),1),"")</f>
        <v>1</v>
      </c>
      <c r="F2034" s="25">
        <v>770</v>
      </c>
      <c r="G2034" s="28">
        <f>IF(LEFT(D2034,6)="CLIENT",IF(E2034=0,WORKDAY(A2034-1,1,Dias_Sem_Compensacao!$A$2:$A$500),WORKDAY(A2034,E2034,Dias_Sem_Compensacao!$A$2:$A$500)),"")</f>
        <v>46309</v>
      </c>
      <c r="H2034" s="25">
        <v>0</v>
      </c>
      <c r="I2034" s="28">
        <v>46308</v>
      </c>
      <c r="J2034" t="s">
        <v>1414</v>
      </c>
      <c r="K2034" t="s">
        <v>1922</v>
      </c>
    </row>
    <row r="2035" spans="1:11" hidden="1">
      <c r="A2035" s="28">
        <v>46308</v>
      </c>
      <c r="B2035" t="s">
        <v>186</v>
      </c>
      <c r="C2035" t="s">
        <v>203</v>
      </c>
      <c r="D2035" t="s">
        <v>217</v>
      </c>
      <c r="E2035">
        <f>IF(LEFT(D2035,6)="CLIENT",IFERROR(VLOOKUP(C2035,Config_Carteiras!$A:$B,2,FALSE),1),"")</f>
        <v>1</v>
      </c>
      <c r="F2035" s="25">
        <v>804</v>
      </c>
      <c r="G2035" s="28">
        <f>IF(LEFT(D2035,6)="CLIENT",IF(E2035=0,WORKDAY(A2035-1,1,Dias_Sem_Compensacao!$A$2:$A$500),WORKDAY(A2035,E2035,Dias_Sem_Compensacao!$A$2:$A$500)),"")</f>
        <v>46309</v>
      </c>
      <c r="H2035" s="25">
        <v>0</v>
      </c>
      <c r="I2035" s="28">
        <v>46308</v>
      </c>
      <c r="K2035" t="s">
        <v>2022</v>
      </c>
    </row>
    <row r="2036" spans="1:11" hidden="1">
      <c r="A2036" s="28">
        <v>46308</v>
      </c>
      <c r="B2036" t="s">
        <v>186</v>
      </c>
      <c r="C2036" t="s">
        <v>203</v>
      </c>
      <c r="D2036" t="s">
        <v>217</v>
      </c>
      <c r="E2036">
        <f>IF(LEFT(D2036,6)="CLIENT",IFERROR(VLOOKUP(C2036,Config_Carteiras!$A:$B,2,FALSE),1),"")</f>
        <v>1</v>
      </c>
      <c r="F2036" s="25">
        <v>540</v>
      </c>
      <c r="G2036" s="28">
        <f>IF(LEFT(D2036,6)="CLIENT",IF(E2036=0,WORKDAY(A2036-1,1,Dias_Sem_Compensacao!$A$2:$A$500),WORKDAY(A2036,E2036,Dias_Sem_Compensacao!$A$2:$A$500)),"")</f>
        <v>46309</v>
      </c>
      <c r="H2036" s="25">
        <v>0</v>
      </c>
      <c r="I2036" s="28">
        <v>46308</v>
      </c>
      <c r="J2036" t="s">
        <v>698</v>
      </c>
      <c r="K2036" t="s">
        <v>2023</v>
      </c>
    </row>
    <row r="2037" spans="1:11" hidden="1">
      <c r="A2037" s="28">
        <v>46308</v>
      </c>
      <c r="B2037" t="s">
        <v>186</v>
      </c>
      <c r="C2037" t="s">
        <v>203</v>
      </c>
      <c r="D2037" t="s">
        <v>217</v>
      </c>
      <c r="E2037">
        <f>IF(LEFT(D2037,6)="CLIENT",IFERROR(VLOOKUP(C2037,Config_Carteiras!$A:$B,2,FALSE),1),"")</f>
        <v>1</v>
      </c>
      <c r="F2037" s="25">
        <v>1769</v>
      </c>
      <c r="G2037" s="28">
        <f>IF(LEFT(D2037,6)="CLIENT",IF(E2037=0,WORKDAY(A2037-1,1,Dias_Sem_Compensacao!$A$2:$A$500),WORKDAY(A2037,E2037,Dias_Sem_Compensacao!$A$2:$A$500)),"")</f>
        <v>46309</v>
      </c>
      <c r="H2037" s="25">
        <v>0</v>
      </c>
      <c r="I2037" s="28">
        <v>46308</v>
      </c>
      <c r="J2037" t="s">
        <v>2526</v>
      </c>
      <c r="K2037" t="s">
        <v>2527</v>
      </c>
    </row>
    <row r="2038" spans="1:11" hidden="1">
      <c r="A2038" s="28">
        <v>46308</v>
      </c>
      <c r="B2038" t="s">
        <v>186</v>
      </c>
      <c r="C2038" t="s">
        <v>203</v>
      </c>
      <c r="D2038" t="s">
        <v>217</v>
      </c>
      <c r="E2038">
        <f>IF(LEFT(D2038,6)="CLIENT",IFERROR(VLOOKUP(C2038,Config_Carteiras!$A:$B,2,FALSE),1),"")</f>
        <v>1</v>
      </c>
      <c r="F2038" s="25">
        <v>604.66</v>
      </c>
      <c r="G2038" s="28">
        <f>IF(LEFT(D2038,6)="CLIENT",IF(E2038=0,WORKDAY(A2038-1,1,Dias_Sem_Compensacao!$A$2:$A$500),WORKDAY(A2038,E2038,Dias_Sem_Compensacao!$A$2:$A$500)),"")</f>
        <v>46309</v>
      </c>
      <c r="H2038" s="25">
        <v>0</v>
      </c>
      <c r="I2038" s="28">
        <v>46308</v>
      </c>
      <c r="J2038" t="s">
        <v>2528</v>
      </c>
      <c r="K2038" t="s">
        <v>2529</v>
      </c>
    </row>
    <row r="2039" spans="1:11" hidden="1">
      <c r="A2039" s="28">
        <v>46308</v>
      </c>
      <c r="B2039" t="s">
        <v>186</v>
      </c>
      <c r="C2039" t="s">
        <v>203</v>
      </c>
      <c r="D2039" t="s">
        <v>217</v>
      </c>
      <c r="E2039">
        <f>IF(LEFT(D2039,6)="CLIENT",IFERROR(VLOOKUP(C2039,Config_Carteiras!$A:$B,2,FALSE),1),"")</f>
        <v>1</v>
      </c>
      <c r="F2039" s="25">
        <v>818.8</v>
      </c>
      <c r="G2039" s="28">
        <f>IF(LEFT(D2039,6)="CLIENT",IF(E2039=0,WORKDAY(A2039-1,1,Dias_Sem_Compensacao!$A$2:$A$500),WORKDAY(A2039,E2039,Dias_Sem_Compensacao!$A$2:$A$500)),"")</f>
        <v>46309</v>
      </c>
      <c r="H2039" s="25">
        <v>0</v>
      </c>
      <c r="I2039" s="28">
        <v>46308</v>
      </c>
      <c r="J2039" t="s">
        <v>2530</v>
      </c>
      <c r="K2039" t="s">
        <v>2531</v>
      </c>
    </row>
    <row r="2040" spans="1:11" hidden="1">
      <c r="A2040" s="28">
        <v>46308</v>
      </c>
      <c r="B2040" t="s">
        <v>186</v>
      </c>
      <c r="C2040" t="s">
        <v>203</v>
      </c>
      <c r="D2040" t="s">
        <v>217</v>
      </c>
      <c r="E2040">
        <f>IF(LEFT(D2040,6)="CLIENT",IFERROR(VLOOKUP(C2040,Config_Carteiras!$A:$B,2,FALSE),1),"")</f>
        <v>1</v>
      </c>
      <c r="F2040" s="25">
        <v>2853.01</v>
      </c>
      <c r="G2040" s="28">
        <f>IF(LEFT(D2040,6)="CLIENT",IF(E2040=0,WORKDAY(A2040-1,1,Dias_Sem_Compensacao!$A$2:$A$500),WORKDAY(A2040,E2040,Dias_Sem_Compensacao!$A$2:$A$500)),"")</f>
        <v>46309</v>
      </c>
      <c r="H2040" s="25">
        <v>0</v>
      </c>
      <c r="I2040" s="28">
        <v>46308</v>
      </c>
      <c r="J2040" t="s">
        <v>2532</v>
      </c>
      <c r="K2040" t="s">
        <v>2533</v>
      </c>
    </row>
    <row r="2041" spans="1:11" hidden="1">
      <c r="A2041" s="28">
        <v>46308</v>
      </c>
      <c r="B2041" t="s">
        <v>186</v>
      </c>
      <c r="C2041" t="s">
        <v>203</v>
      </c>
      <c r="D2041" t="s">
        <v>217</v>
      </c>
      <c r="E2041">
        <f>IF(LEFT(D2041,6)="CLIENT",IFERROR(VLOOKUP(C2041,Config_Carteiras!$A:$B,2,FALSE),1),"")</f>
        <v>1</v>
      </c>
      <c r="F2041" s="25">
        <v>2918</v>
      </c>
      <c r="G2041" s="28">
        <f>IF(LEFT(D2041,6)="CLIENT",IF(E2041=0,WORKDAY(A2041-1,1,Dias_Sem_Compensacao!$A$2:$A$500),WORKDAY(A2041,E2041,Dias_Sem_Compensacao!$A$2:$A$500)),"")</f>
        <v>46309</v>
      </c>
      <c r="H2041" s="25">
        <v>0</v>
      </c>
      <c r="I2041" s="28">
        <v>46308</v>
      </c>
      <c r="K2041" t="s">
        <v>2534</v>
      </c>
    </row>
    <row r="2042" spans="1:11" hidden="1">
      <c r="A2042" s="28">
        <v>46308</v>
      </c>
      <c r="B2042" t="s">
        <v>186</v>
      </c>
      <c r="C2042" t="s">
        <v>203</v>
      </c>
      <c r="D2042" t="s">
        <v>217</v>
      </c>
      <c r="E2042">
        <f>IF(LEFT(D2042,6)="CLIENT",IFERROR(VLOOKUP(C2042,Config_Carteiras!$A:$B,2,FALSE),1),"")</f>
        <v>1</v>
      </c>
      <c r="F2042" s="25">
        <v>1672.62</v>
      </c>
      <c r="G2042" s="28">
        <f>IF(LEFT(D2042,6)="CLIENT",IF(E2042=0,WORKDAY(A2042-1,1,Dias_Sem_Compensacao!$A$2:$A$500),WORKDAY(A2042,E2042,Dias_Sem_Compensacao!$A$2:$A$500)),"")</f>
        <v>46309</v>
      </c>
      <c r="H2042" s="25">
        <v>0</v>
      </c>
      <c r="I2042" s="28">
        <v>46308</v>
      </c>
      <c r="J2042" t="s">
        <v>2535</v>
      </c>
      <c r="K2042" t="s">
        <v>2536</v>
      </c>
    </row>
    <row r="2043" spans="1:11" hidden="1">
      <c r="A2043" s="28">
        <v>46308</v>
      </c>
      <c r="B2043" t="s">
        <v>186</v>
      </c>
      <c r="C2043" t="s">
        <v>203</v>
      </c>
      <c r="D2043" t="s">
        <v>217</v>
      </c>
      <c r="E2043">
        <f>IF(LEFT(D2043,6)="CLIENT",IFERROR(VLOOKUP(C2043,Config_Carteiras!$A:$B,2,FALSE),1),"")</f>
        <v>1</v>
      </c>
      <c r="F2043" s="25">
        <v>908</v>
      </c>
      <c r="G2043" s="28">
        <f>IF(LEFT(D2043,6)="CLIENT",IF(E2043=0,WORKDAY(A2043-1,1,Dias_Sem_Compensacao!$A$2:$A$500),WORKDAY(A2043,E2043,Dias_Sem_Compensacao!$A$2:$A$500)),"")</f>
        <v>46309</v>
      </c>
      <c r="H2043" s="25">
        <v>0</v>
      </c>
      <c r="I2043" s="28">
        <v>46308</v>
      </c>
      <c r="J2043" t="s">
        <v>2537</v>
      </c>
      <c r="K2043" t="s">
        <v>2538</v>
      </c>
    </row>
    <row r="2044" spans="1:11" hidden="1">
      <c r="A2044" s="28">
        <v>46308</v>
      </c>
      <c r="B2044" t="s">
        <v>186</v>
      </c>
      <c r="C2044" t="s">
        <v>203</v>
      </c>
      <c r="D2044" t="s">
        <v>217</v>
      </c>
      <c r="E2044">
        <f>IF(LEFT(D2044,6)="CLIENT",IFERROR(VLOOKUP(C2044,Config_Carteiras!$A:$B,2,FALSE),1),"")</f>
        <v>1</v>
      </c>
      <c r="F2044" s="25">
        <v>404</v>
      </c>
      <c r="G2044" s="28">
        <f>IF(LEFT(D2044,6)="CLIENT",IF(E2044=0,WORKDAY(A2044-1,1,Dias_Sem_Compensacao!$A$2:$A$500),WORKDAY(A2044,E2044,Dias_Sem_Compensacao!$A$2:$A$500)),"")</f>
        <v>46309</v>
      </c>
      <c r="H2044" s="25">
        <v>0</v>
      </c>
      <c r="I2044" s="28">
        <v>46308</v>
      </c>
      <c r="J2044" t="s">
        <v>1923</v>
      </c>
      <c r="K2044" t="s">
        <v>1924</v>
      </c>
    </row>
    <row r="2045" spans="1:11" hidden="1">
      <c r="A2045" s="28">
        <v>46308</v>
      </c>
      <c r="B2045" t="s">
        <v>186</v>
      </c>
      <c r="C2045" t="s">
        <v>203</v>
      </c>
      <c r="D2045" t="s">
        <v>217</v>
      </c>
      <c r="E2045">
        <f>IF(LEFT(D2045,6)="CLIENT",IFERROR(VLOOKUP(C2045,Config_Carteiras!$A:$B,2,FALSE),1),"")</f>
        <v>1</v>
      </c>
      <c r="F2045" s="25">
        <v>1668</v>
      </c>
      <c r="G2045" s="28">
        <f>IF(LEFT(D2045,6)="CLIENT",IF(E2045=0,WORKDAY(A2045-1,1,Dias_Sem_Compensacao!$A$2:$A$500),WORKDAY(A2045,E2045,Dias_Sem_Compensacao!$A$2:$A$500)),"")</f>
        <v>46309</v>
      </c>
      <c r="H2045" s="25">
        <v>0</v>
      </c>
      <c r="I2045" s="28">
        <v>46308</v>
      </c>
      <c r="J2045" t="s">
        <v>1020</v>
      </c>
      <c r="K2045" t="s">
        <v>2539</v>
      </c>
    </row>
    <row r="2046" spans="1:11" hidden="1">
      <c r="A2046" s="28">
        <v>46308</v>
      </c>
      <c r="B2046" t="s">
        <v>186</v>
      </c>
      <c r="C2046" t="s">
        <v>203</v>
      </c>
      <c r="D2046" t="s">
        <v>217</v>
      </c>
      <c r="E2046">
        <f>IF(LEFT(D2046,6)="CLIENT",IFERROR(VLOOKUP(C2046,Config_Carteiras!$A:$B,2,FALSE),1),"")</f>
        <v>1</v>
      </c>
      <c r="F2046" s="25">
        <v>868</v>
      </c>
      <c r="G2046" s="28">
        <f>IF(LEFT(D2046,6)="CLIENT",IF(E2046=0,WORKDAY(A2046-1,1,Dias_Sem_Compensacao!$A$2:$A$500),WORKDAY(A2046,E2046,Dias_Sem_Compensacao!$A$2:$A$500)),"")</f>
        <v>46309</v>
      </c>
      <c r="H2046" s="25">
        <v>0</v>
      </c>
      <c r="I2046" s="28">
        <v>46308</v>
      </c>
      <c r="J2046" t="s">
        <v>2028</v>
      </c>
      <c r="K2046" t="s">
        <v>2029</v>
      </c>
    </row>
    <row r="2047" spans="1:11" hidden="1">
      <c r="A2047" s="28">
        <v>46308</v>
      </c>
      <c r="B2047" t="s">
        <v>186</v>
      </c>
      <c r="C2047" t="s">
        <v>203</v>
      </c>
      <c r="D2047" t="s">
        <v>217</v>
      </c>
      <c r="E2047">
        <f>IF(LEFT(D2047,6)="CLIENT",IFERROR(VLOOKUP(C2047,Config_Carteiras!$A:$B,2,FALSE),1),"")</f>
        <v>1</v>
      </c>
      <c r="F2047" s="25">
        <v>950.95</v>
      </c>
      <c r="G2047" s="28">
        <f>IF(LEFT(D2047,6)="CLIENT",IF(E2047=0,WORKDAY(A2047-1,1,Dias_Sem_Compensacao!$A$2:$A$500),WORKDAY(A2047,E2047,Dias_Sem_Compensacao!$A$2:$A$500)),"")</f>
        <v>46309</v>
      </c>
      <c r="H2047" s="25">
        <v>0</v>
      </c>
      <c r="I2047" s="28">
        <v>46308</v>
      </c>
      <c r="J2047" t="s">
        <v>2030</v>
      </c>
      <c r="K2047" t="s">
        <v>2031</v>
      </c>
    </row>
    <row r="2048" spans="1:11" hidden="1">
      <c r="A2048" s="28">
        <v>46308</v>
      </c>
      <c r="B2048" t="s">
        <v>186</v>
      </c>
      <c r="C2048" t="s">
        <v>203</v>
      </c>
      <c r="D2048" t="s">
        <v>217</v>
      </c>
      <c r="E2048">
        <f>IF(LEFT(D2048,6)="CLIENT",IFERROR(VLOOKUP(C2048,Config_Carteiras!$A:$B,2,FALSE),1),"")</f>
        <v>1</v>
      </c>
      <c r="F2048" s="25">
        <v>666</v>
      </c>
      <c r="G2048" s="28">
        <f>IF(LEFT(D2048,6)="CLIENT",IF(E2048=0,WORKDAY(A2048-1,1,Dias_Sem_Compensacao!$A$2:$A$500),WORKDAY(A2048,E2048,Dias_Sem_Compensacao!$A$2:$A$500)),"")</f>
        <v>46309</v>
      </c>
      <c r="H2048" s="25">
        <v>0</v>
      </c>
      <c r="I2048" s="28">
        <v>46308</v>
      </c>
      <c r="J2048" t="s">
        <v>467</v>
      </c>
      <c r="K2048" t="s">
        <v>2540</v>
      </c>
    </row>
    <row r="2049" spans="1:11" hidden="1">
      <c r="A2049" s="28">
        <v>46308</v>
      </c>
      <c r="B2049" t="s">
        <v>186</v>
      </c>
      <c r="C2049" t="s">
        <v>203</v>
      </c>
      <c r="D2049" t="s">
        <v>217</v>
      </c>
      <c r="E2049">
        <f>IF(LEFT(D2049,6)="CLIENT",IFERROR(VLOOKUP(C2049,Config_Carteiras!$A:$B,2,FALSE),1),"")</f>
        <v>1</v>
      </c>
      <c r="F2049" s="25">
        <v>4106.37</v>
      </c>
      <c r="G2049" s="28">
        <f>IF(LEFT(D2049,6)="CLIENT",IF(E2049=0,WORKDAY(A2049-1,1,Dias_Sem_Compensacao!$A$2:$A$500),WORKDAY(A2049,E2049,Dias_Sem_Compensacao!$A$2:$A$500)),"")</f>
        <v>46309</v>
      </c>
      <c r="H2049" s="25">
        <v>0</v>
      </c>
      <c r="I2049" s="28">
        <v>46308</v>
      </c>
      <c r="J2049" t="s">
        <v>2032</v>
      </c>
      <c r="K2049" t="s">
        <v>2033</v>
      </c>
    </row>
    <row r="2050" spans="1:11" hidden="1">
      <c r="A2050" s="28">
        <v>46308</v>
      </c>
      <c r="B2050" t="s">
        <v>186</v>
      </c>
      <c r="C2050" t="s">
        <v>203</v>
      </c>
      <c r="D2050" t="s">
        <v>217</v>
      </c>
      <c r="E2050">
        <f>IF(LEFT(D2050,6)="CLIENT",IFERROR(VLOOKUP(C2050,Config_Carteiras!$A:$B,2,FALSE),1),"")</f>
        <v>1</v>
      </c>
      <c r="F2050" s="25">
        <v>844</v>
      </c>
      <c r="G2050" s="28">
        <f>IF(LEFT(D2050,6)="CLIENT",IF(E2050=0,WORKDAY(A2050-1,1,Dias_Sem_Compensacao!$A$2:$A$500),WORKDAY(A2050,E2050,Dias_Sem_Compensacao!$A$2:$A$500)),"")</f>
        <v>46309</v>
      </c>
      <c r="H2050" s="25">
        <v>0</v>
      </c>
      <c r="I2050" s="28">
        <v>46308</v>
      </c>
      <c r="J2050" t="s">
        <v>2541</v>
      </c>
      <c r="K2050" t="s">
        <v>2542</v>
      </c>
    </row>
    <row r="2051" spans="1:11" hidden="1">
      <c r="A2051" s="28">
        <v>46308</v>
      </c>
      <c r="B2051" t="s">
        <v>186</v>
      </c>
      <c r="C2051" t="s">
        <v>203</v>
      </c>
      <c r="D2051" t="s">
        <v>217</v>
      </c>
      <c r="E2051">
        <f>IF(LEFT(D2051,6)="CLIENT",IFERROR(VLOOKUP(C2051,Config_Carteiras!$A:$B,2,FALSE),1),"")</f>
        <v>1</v>
      </c>
      <c r="F2051" s="25">
        <v>4459.46</v>
      </c>
      <c r="G2051" s="28">
        <f>IF(LEFT(D2051,6)="CLIENT",IF(E2051=0,WORKDAY(A2051-1,1,Dias_Sem_Compensacao!$A$2:$A$500),WORKDAY(A2051,E2051,Dias_Sem_Compensacao!$A$2:$A$500)),"")</f>
        <v>46309</v>
      </c>
      <c r="H2051" s="25">
        <v>0</v>
      </c>
      <c r="I2051" s="28">
        <v>46308</v>
      </c>
      <c r="J2051" t="s">
        <v>1279</v>
      </c>
      <c r="K2051" t="s">
        <v>1280</v>
      </c>
    </row>
    <row r="2052" spans="1:11" hidden="1">
      <c r="A2052" s="28">
        <v>46308</v>
      </c>
      <c r="B2052" t="s">
        <v>186</v>
      </c>
      <c r="C2052" t="s">
        <v>203</v>
      </c>
      <c r="D2052" t="s">
        <v>217</v>
      </c>
      <c r="E2052">
        <f>IF(LEFT(D2052,6)="CLIENT",IFERROR(VLOOKUP(C2052,Config_Carteiras!$A:$B,2,FALSE),1),"")</f>
        <v>1</v>
      </c>
      <c r="F2052" s="25">
        <v>882</v>
      </c>
      <c r="G2052" s="28">
        <f>IF(LEFT(D2052,6)="CLIENT",IF(E2052=0,WORKDAY(A2052-1,1,Dias_Sem_Compensacao!$A$2:$A$500),WORKDAY(A2052,E2052,Dias_Sem_Compensacao!$A$2:$A$500)),"")</f>
        <v>46309</v>
      </c>
      <c r="H2052" s="25">
        <v>0</v>
      </c>
      <c r="I2052" s="28">
        <v>46308</v>
      </c>
      <c r="J2052" t="s">
        <v>2034</v>
      </c>
      <c r="K2052" t="s">
        <v>2035</v>
      </c>
    </row>
    <row r="2053" spans="1:11" hidden="1">
      <c r="A2053" s="28">
        <v>46308</v>
      </c>
      <c r="B2053" t="s">
        <v>186</v>
      </c>
      <c r="C2053" t="s">
        <v>203</v>
      </c>
      <c r="D2053" t="s">
        <v>217</v>
      </c>
      <c r="E2053">
        <f>IF(LEFT(D2053,6)="CLIENT",IFERROR(VLOOKUP(C2053,Config_Carteiras!$A:$B,2,FALSE),1),"")</f>
        <v>1</v>
      </c>
      <c r="F2053" s="25">
        <v>1434</v>
      </c>
      <c r="G2053" s="28">
        <f>IF(LEFT(D2053,6)="CLIENT",IF(E2053=0,WORKDAY(A2053-1,1,Dias_Sem_Compensacao!$A$2:$A$500),WORKDAY(A2053,E2053,Dias_Sem_Compensacao!$A$2:$A$500)),"")</f>
        <v>46309</v>
      </c>
      <c r="H2053" s="25">
        <v>0</v>
      </c>
      <c r="I2053" s="28">
        <v>46308</v>
      </c>
      <c r="J2053" t="s">
        <v>2036</v>
      </c>
      <c r="K2053" t="s">
        <v>2037</v>
      </c>
    </row>
    <row r="2054" spans="1:11" hidden="1">
      <c r="A2054" s="28">
        <v>46308</v>
      </c>
      <c r="B2054" t="s">
        <v>186</v>
      </c>
      <c r="C2054" t="s">
        <v>203</v>
      </c>
      <c r="D2054" t="s">
        <v>217</v>
      </c>
      <c r="E2054">
        <f>IF(LEFT(D2054,6)="CLIENT",IFERROR(VLOOKUP(C2054,Config_Carteiras!$A:$B,2,FALSE),1),"")</f>
        <v>1</v>
      </c>
      <c r="F2054" s="25">
        <v>3924</v>
      </c>
      <c r="G2054" s="28">
        <f>IF(LEFT(D2054,6)="CLIENT",IF(E2054=0,WORKDAY(A2054-1,1,Dias_Sem_Compensacao!$A$2:$A$500),WORKDAY(A2054,E2054,Dias_Sem_Compensacao!$A$2:$A$500)),"")</f>
        <v>46309</v>
      </c>
      <c r="H2054" s="25">
        <v>0</v>
      </c>
      <c r="I2054" s="28">
        <v>46308</v>
      </c>
      <c r="J2054" t="s">
        <v>2543</v>
      </c>
      <c r="K2054" t="s">
        <v>2544</v>
      </c>
    </row>
    <row r="2055" spans="1:11" hidden="1">
      <c r="A2055" s="28">
        <v>46308</v>
      </c>
      <c r="B2055" t="s">
        <v>186</v>
      </c>
      <c r="C2055" t="s">
        <v>203</v>
      </c>
      <c r="D2055" t="s">
        <v>217</v>
      </c>
      <c r="E2055">
        <f>IF(LEFT(D2055,6)="CLIENT",IFERROR(VLOOKUP(C2055,Config_Carteiras!$A:$B,2,FALSE),1),"")</f>
        <v>1</v>
      </c>
      <c r="F2055" s="25">
        <v>6311</v>
      </c>
      <c r="G2055" s="28">
        <f>IF(LEFT(D2055,6)="CLIENT",IF(E2055=0,WORKDAY(A2055-1,1,Dias_Sem_Compensacao!$A$2:$A$500),WORKDAY(A2055,E2055,Dias_Sem_Compensacao!$A$2:$A$500)),"")</f>
        <v>46309</v>
      </c>
      <c r="H2055" s="25">
        <v>0</v>
      </c>
      <c r="I2055" s="28">
        <v>46308</v>
      </c>
      <c r="K2055" t="s">
        <v>2545</v>
      </c>
    </row>
    <row r="2056" spans="1:11" hidden="1">
      <c r="A2056" s="28">
        <v>46308</v>
      </c>
      <c r="B2056" t="s">
        <v>186</v>
      </c>
      <c r="C2056" t="s">
        <v>203</v>
      </c>
      <c r="D2056" t="s">
        <v>217</v>
      </c>
      <c r="E2056">
        <f>IF(LEFT(D2056,6)="CLIENT",IFERROR(VLOOKUP(C2056,Config_Carteiras!$A:$B,2,FALSE),1),"")</f>
        <v>1</v>
      </c>
      <c r="F2056" s="25">
        <v>6779</v>
      </c>
      <c r="G2056" s="28">
        <f>IF(LEFT(D2056,6)="CLIENT",IF(E2056=0,WORKDAY(A2056-1,1,Dias_Sem_Compensacao!$A$2:$A$500),WORKDAY(A2056,E2056,Dias_Sem_Compensacao!$A$2:$A$500)),"")</f>
        <v>46309</v>
      </c>
      <c r="H2056" s="25">
        <v>0</v>
      </c>
      <c r="I2056" s="28">
        <v>46308</v>
      </c>
      <c r="K2056" t="s">
        <v>2546</v>
      </c>
    </row>
    <row r="2057" spans="1:11" hidden="1">
      <c r="A2057" s="28">
        <v>46308</v>
      </c>
      <c r="B2057" t="s">
        <v>186</v>
      </c>
      <c r="C2057" t="s">
        <v>203</v>
      </c>
      <c r="D2057" t="s">
        <v>217</v>
      </c>
      <c r="E2057">
        <f>IF(LEFT(D2057,6)="CLIENT",IFERROR(VLOOKUP(C2057,Config_Carteiras!$A:$B,2,FALSE),1),"")</f>
        <v>1</v>
      </c>
      <c r="F2057" s="25">
        <v>495</v>
      </c>
      <c r="G2057" s="28">
        <f>IF(LEFT(D2057,6)="CLIENT",IF(E2057=0,WORKDAY(A2057-1,1,Dias_Sem_Compensacao!$A$2:$A$500),WORKDAY(A2057,E2057,Dias_Sem_Compensacao!$A$2:$A$500)),"")</f>
        <v>46309</v>
      </c>
      <c r="H2057" s="25">
        <v>0</v>
      </c>
      <c r="I2057" s="28">
        <v>46308</v>
      </c>
      <c r="K2057" t="s">
        <v>2547</v>
      </c>
    </row>
    <row r="2058" spans="1:11" hidden="1">
      <c r="A2058" s="28">
        <v>46308</v>
      </c>
      <c r="B2058" t="s">
        <v>186</v>
      </c>
      <c r="C2058" t="s">
        <v>203</v>
      </c>
      <c r="D2058" t="s">
        <v>217</v>
      </c>
      <c r="E2058">
        <f>IF(LEFT(D2058,6)="CLIENT",IFERROR(VLOOKUP(C2058,Config_Carteiras!$A:$B,2,FALSE),1),"")</f>
        <v>1</v>
      </c>
      <c r="F2058" s="25">
        <v>838</v>
      </c>
      <c r="G2058" s="28">
        <f>IF(LEFT(D2058,6)="CLIENT",IF(E2058=0,WORKDAY(A2058-1,1,Dias_Sem_Compensacao!$A$2:$A$500),WORKDAY(A2058,E2058,Dias_Sem_Compensacao!$A$2:$A$500)),"")</f>
        <v>46309</v>
      </c>
      <c r="H2058" s="25">
        <v>0</v>
      </c>
      <c r="I2058" s="28">
        <v>46308</v>
      </c>
      <c r="J2058" t="s">
        <v>2548</v>
      </c>
      <c r="K2058" t="s">
        <v>33</v>
      </c>
    </row>
    <row r="2059" spans="1:11" hidden="1">
      <c r="A2059" s="28">
        <v>46308</v>
      </c>
      <c r="B2059" t="s">
        <v>186</v>
      </c>
      <c r="C2059" t="s">
        <v>203</v>
      </c>
      <c r="D2059" t="s">
        <v>217</v>
      </c>
      <c r="E2059">
        <f>IF(LEFT(D2059,6)="CLIENT",IFERROR(VLOOKUP(C2059,Config_Carteiras!$A:$B,2,FALSE),1),"")</f>
        <v>1</v>
      </c>
      <c r="F2059" s="25">
        <v>942.34</v>
      </c>
      <c r="G2059" s="28">
        <f>IF(LEFT(D2059,6)="CLIENT",IF(E2059=0,WORKDAY(A2059-1,1,Dias_Sem_Compensacao!$A$2:$A$500),WORKDAY(A2059,E2059,Dias_Sem_Compensacao!$A$2:$A$500)),"")</f>
        <v>46309</v>
      </c>
      <c r="H2059" s="25">
        <v>0</v>
      </c>
      <c r="I2059" s="28">
        <v>46308</v>
      </c>
      <c r="J2059" t="s">
        <v>1927</v>
      </c>
      <c r="K2059" t="s">
        <v>1928</v>
      </c>
    </row>
    <row r="2060" spans="1:11" hidden="1">
      <c r="A2060" s="28">
        <v>46308</v>
      </c>
      <c r="B2060" t="s">
        <v>186</v>
      </c>
      <c r="C2060" t="s">
        <v>203</v>
      </c>
      <c r="D2060" t="s">
        <v>217</v>
      </c>
      <c r="E2060">
        <f>IF(LEFT(D2060,6)="CLIENT",IFERROR(VLOOKUP(C2060,Config_Carteiras!$A:$B,2,FALSE),1),"")</f>
        <v>1</v>
      </c>
      <c r="F2060" s="25">
        <v>761</v>
      </c>
      <c r="G2060" s="28">
        <f>IF(LEFT(D2060,6)="CLIENT",IF(E2060=0,WORKDAY(A2060-1,1,Dias_Sem_Compensacao!$A$2:$A$500),WORKDAY(A2060,E2060,Dias_Sem_Compensacao!$A$2:$A$500)),"")</f>
        <v>46309</v>
      </c>
      <c r="H2060" s="25">
        <v>0</v>
      </c>
      <c r="I2060" s="28">
        <v>46308</v>
      </c>
      <c r="J2060" t="s">
        <v>2038</v>
      </c>
      <c r="K2060" t="s">
        <v>2039</v>
      </c>
    </row>
    <row r="2061" spans="1:11" hidden="1">
      <c r="A2061" s="28">
        <v>46308</v>
      </c>
      <c r="B2061" t="s">
        <v>186</v>
      </c>
      <c r="C2061" t="s">
        <v>203</v>
      </c>
      <c r="D2061" t="s">
        <v>217</v>
      </c>
      <c r="E2061">
        <f>IF(LEFT(D2061,6)="CLIENT",IFERROR(VLOOKUP(C2061,Config_Carteiras!$A:$B,2,FALSE),1),"")</f>
        <v>1</v>
      </c>
      <c r="F2061" s="25">
        <v>391</v>
      </c>
      <c r="G2061" s="28">
        <f>IF(LEFT(D2061,6)="CLIENT",IF(E2061=0,WORKDAY(A2061-1,1,Dias_Sem_Compensacao!$A$2:$A$500),WORKDAY(A2061,E2061,Dias_Sem_Compensacao!$A$2:$A$500)),"")</f>
        <v>46309</v>
      </c>
      <c r="H2061" s="25">
        <v>0</v>
      </c>
      <c r="I2061" s="28">
        <v>46308</v>
      </c>
      <c r="J2061" t="s">
        <v>2549</v>
      </c>
      <c r="K2061" t="s">
        <v>2550</v>
      </c>
    </row>
    <row r="2062" spans="1:11" hidden="1">
      <c r="A2062" s="28">
        <v>46308</v>
      </c>
      <c r="B2062" t="s">
        <v>186</v>
      </c>
      <c r="C2062" t="s">
        <v>203</v>
      </c>
      <c r="D2062" t="s">
        <v>217</v>
      </c>
      <c r="E2062">
        <f>IF(LEFT(D2062,6)="CLIENT",IFERROR(VLOOKUP(C2062,Config_Carteiras!$A:$B,2,FALSE),1),"")</f>
        <v>1</v>
      </c>
      <c r="F2062" s="25">
        <v>767</v>
      </c>
      <c r="G2062" s="28">
        <f>IF(LEFT(D2062,6)="CLIENT",IF(E2062=0,WORKDAY(A2062-1,1,Dias_Sem_Compensacao!$A$2:$A$500),WORKDAY(A2062,E2062,Dias_Sem_Compensacao!$A$2:$A$500)),"")</f>
        <v>46309</v>
      </c>
      <c r="H2062" s="25">
        <v>0</v>
      </c>
      <c r="I2062" s="28">
        <v>46308</v>
      </c>
      <c r="J2062" t="s">
        <v>1929</v>
      </c>
      <c r="K2062" t="s">
        <v>1930</v>
      </c>
    </row>
    <row r="2063" spans="1:11" hidden="1">
      <c r="A2063" s="28">
        <v>46308</v>
      </c>
      <c r="B2063" t="s">
        <v>186</v>
      </c>
      <c r="C2063" t="s">
        <v>203</v>
      </c>
      <c r="D2063" t="s">
        <v>217</v>
      </c>
      <c r="E2063">
        <f>IF(LEFT(D2063,6)="CLIENT",IFERROR(VLOOKUP(C2063,Config_Carteiras!$A:$B,2,FALSE),1),"")</f>
        <v>1</v>
      </c>
      <c r="F2063" s="25">
        <v>521</v>
      </c>
      <c r="G2063" s="28">
        <f>IF(LEFT(D2063,6)="CLIENT",IF(E2063=0,WORKDAY(A2063-1,1,Dias_Sem_Compensacao!$A$2:$A$500),WORKDAY(A2063,E2063,Dias_Sem_Compensacao!$A$2:$A$500)),"")</f>
        <v>46309</v>
      </c>
      <c r="H2063" s="25">
        <v>0</v>
      </c>
      <c r="I2063" s="28">
        <v>46308</v>
      </c>
      <c r="K2063" t="s">
        <v>2551</v>
      </c>
    </row>
    <row r="2064" spans="1:11" hidden="1">
      <c r="A2064" s="28">
        <v>46308</v>
      </c>
      <c r="B2064" t="s">
        <v>186</v>
      </c>
      <c r="C2064" t="s">
        <v>203</v>
      </c>
      <c r="D2064" t="s">
        <v>217</v>
      </c>
      <c r="E2064">
        <f>IF(LEFT(D2064,6)="CLIENT",IFERROR(VLOOKUP(C2064,Config_Carteiras!$A:$B,2,FALSE),1),"")</f>
        <v>1</v>
      </c>
      <c r="F2064" s="25">
        <v>475</v>
      </c>
      <c r="G2064" s="28">
        <f>IF(LEFT(D2064,6)="CLIENT",IF(E2064=0,WORKDAY(A2064-1,1,Dias_Sem_Compensacao!$A$2:$A$500),WORKDAY(A2064,E2064,Dias_Sem_Compensacao!$A$2:$A$500)),"")</f>
        <v>46309</v>
      </c>
      <c r="H2064" s="25">
        <v>0</v>
      </c>
      <c r="I2064" s="28">
        <v>46308</v>
      </c>
      <c r="J2064" t="s">
        <v>1933</v>
      </c>
      <c r="K2064" t="s">
        <v>1934</v>
      </c>
    </row>
    <row r="2065" spans="1:11" hidden="1">
      <c r="A2065" s="28">
        <v>46309</v>
      </c>
      <c r="B2065" t="s">
        <v>186</v>
      </c>
      <c r="C2065" t="s">
        <v>203</v>
      </c>
      <c r="D2065" t="s">
        <v>217</v>
      </c>
      <c r="E2065">
        <f>IF(LEFT(D2065,6)="CLIENT",IFERROR(VLOOKUP(C2065,Config_Carteiras!$A:$B,2,FALSE),1),"")</f>
        <v>1</v>
      </c>
      <c r="F2065" s="25">
        <v>391</v>
      </c>
      <c r="G2065" s="28">
        <f>IF(LEFT(D2065,6)="CLIENT",IF(E2065=0,WORKDAY(A2065-1,1,Dias_Sem_Compensacao!$A$2:$A$500),WORKDAY(A2065,E2065,Dias_Sem_Compensacao!$A$2:$A$500)),"")</f>
        <v>46310</v>
      </c>
      <c r="H2065" s="25">
        <v>0</v>
      </c>
      <c r="I2065" s="28">
        <v>46309</v>
      </c>
      <c r="J2065" t="s">
        <v>1291</v>
      </c>
      <c r="K2065" t="s">
        <v>1292</v>
      </c>
    </row>
    <row r="2066" spans="1:11" hidden="1">
      <c r="A2066" s="28">
        <v>46309</v>
      </c>
      <c r="B2066" t="s">
        <v>186</v>
      </c>
      <c r="C2066" t="s">
        <v>203</v>
      </c>
      <c r="D2066" t="s">
        <v>217</v>
      </c>
      <c r="E2066">
        <f>IF(LEFT(D2066,6)="CLIENT",IFERROR(VLOOKUP(C2066,Config_Carteiras!$A:$B,2,FALSE),1),"")</f>
        <v>1</v>
      </c>
      <c r="F2066" s="25">
        <v>643</v>
      </c>
      <c r="G2066" s="28">
        <f>IF(LEFT(D2066,6)="CLIENT",IF(E2066=0,WORKDAY(A2066-1,1,Dias_Sem_Compensacao!$A$2:$A$500),WORKDAY(A2066,E2066,Dias_Sem_Compensacao!$A$2:$A$500)),"")</f>
        <v>46310</v>
      </c>
      <c r="H2066" s="25">
        <v>0</v>
      </c>
      <c r="I2066" s="28">
        <v>46309</v>
      </c>
      <c r="J2066" t="s">
        <v>2552</v>
      </c>
      <c r="K2066" t="s">
        <v>2553</v>
      </c>
    </row>
    <row r="2067" spans="1:11" hidden="1">
      <c r="A2067" s="28">
        <v>46309</v>
      </c>
      <c r="B2067" t="s">
        <v>186</v>
      </c>
      <c r="C2067" t="s">
        <v>203</v>
      </c>
      <c r="D2067" t="s">
        <v>217</v>
      </c>
      <c r="E2067">
        <f>IF(LEFT(D2067,6)="CLIENT",IFERROR(VLOOKUP(C2067,Config_Carteiras!$A:$B,2,FALSE),1),"")</f>
        <v>1</v>
      </c>
      <c r="F2067" s="25">
        <v>495</v>
      </c>
      <c r="G2067" s="28">
        <f>IF(LEFT(D2067,6)="CLIENT",IF(E2067=0,WORKDAY(A2067-1,1,Dias_Sem_Compensacao!$A$2:$A$500),WORKDAY(A2067,E2067,Dias_Sem_Compensacao!$A$2:$A$500)),"")</f>
        <v>46310</v>
      </c>
      <c r="H2067" s="25">
        <v>0</v>
      </c>
      <c r="I2067" s="28">
        <v>46309</v>
      </c>
      <c r="J2067" t="s">
        <v>926</v>
      </c>
      <c r="K2067" t="s">
        <v>2554</v>
      </c>
    </row>
    <row r="2068" spans="1:11" hidden="1">
      <c r="A2068" s="28">
        <v>46309</v>
      </c>
      <c r="B2068" t="s">
        <v>186</v>
      </c>
      <c r="C2068" t="s">
        <v>203</v>
      </c>
      <c r="D2068" t="s">
        <v>217</v>
      </c>
      <c r="E2068">
        <f>IF(LEFT(D2068,6)="CLIENT",IFERROR(VLOOKUP(C2068,Config_Carteiras!$A:$B,2,FALSE),1),"")</f>
        <v>1</v>
      </c>
      <c r="F2068" s="25">
        <v>12995.05</v>
      </c>
      <c r="G2068" s="28">
        <f>IF(LEFT(D2068,6)="CLIENT",IF(E2068=0,WORKDAY(A2068-1,1,Dias_Sem_Compensacao!$A$2:$A$500),WORKDAY(A2068,E2068,Dias_Sem_Compensacao!$A$2:$A$500)),"")</f>
        <v>46310</v>
      </c>
      <c r="H2068" s="25">
        <v>0</v>
      </c>
      <c r="I2068" s="28">
        <v>46309</v>
      </c>
      <c r="J2068" t="s">
        <v>2555</v>
      </c>
      <c r="K2068" t="s">
        <v>2556</v>
      </c>
    </row>
    <row r="2069" spans="1:11" hidden="1">
      <c r="A2069" s="28">
        <v>46309</v>
      </c>
      <c r="B2069" t="s">
        <v>186</v>
      </c>
      <c r="C2069" t="s">
        <v>203</v>
      </c>
      <c r="D2069" t="s">
        <v>217</v>
      </c>
      <c r="E2069">
        <f>IF(LEFT(D2069,6)="CLIENT",IFERROR(VLOOKUP(C2069,Config_Carteiras!$A:$B,2,FALSE),1),"")</f>
        <v>1</v>
      </c>
      <c r="F2069" s="25">
        <v>1221</v>
      </c>
      <c r="G2069" s="28">
        <f>IF(LEFT(D2069,6)="CLIENT",IF(E2069=0,WORKDAY(A2069-1,1,Dias_Sem_Compensacao!$A$2:$A$500),WORKDAY(A2069,E2069,Dias_Sem_Compensacao!$A$2:$A$500)),"")</f>
        <v>46310</v>
      </c>
      <c r="H2069" s="25">
        <v>0</v>
      </c>
      <c r="I2069" s="28">
        <v>46309</v>
      </c>
      <c r="J2069" t="s">
        <v>2557</v>
      </c>
      <c r="K2069" t="s">
        <v>2558</v>
      </c>
    </row>
    <row r="2070" spans="1:11" hidden="1">
      <c r="A2070" s="28">
        <v>46309</v>
      </c>
      <c r="B2070" t="s">
        <v>186</v>
      </c>
      <c r="C2070" t="s">
        <v>203</v>
      </c>
      <c r="D2070" t="s">
        <v>217</v>
      </c>
      <c r="E2070">
        <f>IF(LEFT(D2070,6)="CLIENT",IFERROR(VLOOKUP(C2070,Config_Carteiras!$A:$B,2,FALSE),1),"")</f>
        <v>1</v>
      </c>
      <c r="F2070" s="25">
        <v>1120</v>
      </c>
      <c r="G2070" s="28">
        <f>IF(LEFT(D2070,6)="CLIENT",IF(E2070=0,WORKDAY(A2070-1,1,Dias_Sem_Compensacao!$A$2:$A$500),WORKDAY(A2070,E2070,Dias_Sem_Compensacao!$A$2:$A$500)),"")</f>
        <v>46310</v>
      </c>
      <c r="H2070" s="25">
        <v>0</v>
      </c>
      <c r="I2070" s="28">
        <v>46309</v>
      </c>
      <c r="J2070" t="s">
        <v>2040</v>
      </c>
      <c r="K2070" t="s">
        <v>2041</v>
      </c>
    </row>
    <row r="2071" spans="1:11" hidden="1">
      <c r="A2071" s="28">
        <v>46309</v>
      </c>
      <c r="B2071" t="s">
        <v>186</v>
      </c>
      <c r="C2071" t="s">
        <v>203</v>
      </c>
      <c r="D2071" t="s">
        <v>217</v>
      </c>
      <c r="E2071">
        <f>IF(LEFT(D2071,6)="CLIENT",IFERROR(VLOOKUP(C2071,Config_Carteiras!$A:$B,2,FALSE),1),"")</f>
        <v>1</v>
      </c>
      <c r="F2071" s="25">
        <v>1586</v>
      </c>
      <c r="G2071" s="28">
        <f>IF(LEFT(D2071,6)="CLIENT",IF(E2071=0,WORKDAY(A2071-1,1,Dias_Sem_Compensacao!$A$2:$A$500),WORKDAY(A2071,E2071,Dias_Sem_Compensacao!$A$2:$A$500)),"")</f>
        <v>46310</v>
      </c>
      <c r="H2071" s="25">
        <v>0</v>
      </c>
      <c r="I2071" s="28">
        <v>46309</v>
      </c>
      <c r="J2071" t="s">
        <v>2042</v>
      </c>
      <c r="K2071" t="s">
        <v>2043</v>
      </c>
    </row>
    <row r="2072" spans="1:11" hidden="1">
      <c r="A2072" s="28">
        <v>46309</v>
      </c>
      <c r="B2072" t="s">
        <v>186</v>
      </c>
      <c r="C2072" t="s">
        <v>203</v>
      </c>
      <c r="D2072" t="s">
        <v>217</v>
      </c>
      <c r="E2072">
        <f>IF(LEFT(D2072,6)="CLIENT",IFERROR(VLOOKUP(C2072,Config_Carteiras!$A:$B,2,FALSE),1),"")</f>
        <v>1</v>
      </c>
      <c r="F2072" s="25">
        <v>12994.05</v>
      </c>
      <c r="G2072" s="28">
        <f>IF(LEFT(D2072,6)="CLIENT",IF(E2072=0,WORKDAY(A2072-1,1,Dias_Sem_Compensacao!$A$2:$A$500),WORKDAY(A2072,E2072,Dias_Sem_Compensacao!$A$2:$A$500)),"")</f>
        <v>46310</v>
      </c>
      <c r="H2072" s="25">
        <v>0</v>
      </c>
      <c r="I2072" s="28">
        <v>46309</v>
      </c>
      <c r="J2072" t="s">
        <v>1058</v>
      </c>
      <c r="K2072" t="s">
        <v>1059</v>
      </c>
    </row>
    <row r="2073" spans="1:11" hidden="1">
      <c r="A2073" s="28">
        <v>46309</v>
      </c>
      <c r="B2073" t="s">
        <v>186</v>
      </c>
      <c r="C2073" t="s">
        <v>203</v>
      </c>
      <c r="D2073" t="s">
        <v>217</v>
      </c>
      <c r="E2073">
        <f>IF(LEFT(D2073,6)="CLIENT",IFERROR(VLOOKUP(C2073,Config_Carteiras!$A:$B,2,FALSE),1),"")</f>
        <v>1</v>
      </c>
      <c r="F2073" s="25">
        <v>668.03</v>
      </c>
      <c r="G2073" s="28">
        <f>IF(LEFT(D2073,6)="CLIENT",IF(E2073=0,WORKDAY(A2073-1,1,Dias_Sem_Compensacao!$A$2:$A$500),WORKDAY(A2073,E2073,Dias_Sem_Compensacao!$A$2:$A$500)),"")</f>
        <v>46310</v>
      </c>
      <c r="H2073" s="25">
        <v>0</v>
      </c>
      <c r="I2073" s="28">
        <v>46309</v>
      </c>
      <c r="J2073" t="s">
        <v>1304</v>
      </c>
      <c r="K2073" t="s">
        <v>1305</v>
      </c>
    </row>
    <row r="2074" spans="1:11" hidden="1">
      <c r="A2074" s="28">
        <v>46309</v>
      </c>
      <c r="B2074" t="s">
        <v>186</v>
      </c>
      <c r="C2074" t="s">
        <v>203</v>
      </c>
      <c r="D2074" t="s">
        <v>217</v>
      </c>
      <c r="E2074">
        <f>IF(LEFT(D2074,6)="CLIENT",IFERROR(VLOOKUP(C2074,Config_Carteiras!$A:$B,2,FALSE),1),"")</f>
        <v>1</v>
      </c>
      <c r="F2074" s="25">
        <v>1284</v>
      </c>
      <c r="G2074" s="28">
        <f>IF(LEFT(D2074,6)="CLIENT",IF(E2074=0,WORKDAY(A2074-1,1,Dias_Sem_Compensacao!$A$2:$A$500),WORKDAY(A2074,E2074,Dias_Sem_Compensacao!$A$2:$A$500)),"")</f>
        <v>46310</v>
      </c>
      <c r="H2074" s="25">
        <v>0</v>
      </c>
      <c r="I2074" s="28">
        <v>46309</v>
      </c>
      <c r="J2074" t="s">
        <v>2044</v>
      </c>
      <c r="K2074" t="s">
        <v>2045</v>
      </c>
    </row>
    <row r="2075" spans="1:11" hidden="1">
      <c r="A2075" s="28">
        <v>46309</v>
      </c>
      <c r="B2075" t="s">
        <v>186</v>
      </c>
      <c r="C2075" t="s">
        <v>203</v>
      </c>
      <c r="D2075" t="s">
        <v>217</v>
      </c>
      <c r="E2075">
        <f>IF(LEFT(D2075,6)="CLIENT",IFERROR(VLOOKUP(C2075,Config_Carteiras!$A:$B,2,FALSE),1),"")</f>
        <v>1</v>
      </c>
      <c r="F2075" s="25">
        <v>2488.56</v>
      </c>
      <c r="G2075" s="28">
        <f>IF(LEFT(D2075,6)="CLIENT",IF(E2075=0,WORKDAY(A2075-1,1,Dias_Sem_Compensacao!$A$2:$A$500),WORKDAY(A2075,E2075,Dias_Sem_Compensacao!$A$2:$A$500)),"")</f>
        <v>46310</v>
      </c>
      <c r="H2075" s="25">
        <v>0</v>
      </c>
      <c r="I2075" s="28">
        <v>46309</v>
      </c>
      <c r="J2075" t="s">
        <v>2559</v>
      </c>
      <c r="K2075" t="s">
        <v>2560</v>
      </c>
    </row>
    <row r="2076" spans="1:11" hidden="1">
      <c r="A2076" s="28">
        <v>46309</v>
      </c>
      <c r="B2076" t="s">
        <v>186</v>
      </c>
      <c r="C2076" t="s">
        <v>203</v>
      </c>
      <c r="D2076" t="s">
        <v>217</v>
      </c>
      <c r="E2076">
        <f>IF(LEFT(D2076,6)="CLIENT",IFERROR(VLOOKUP(C2076,Config_Carteiras!$A:$B,2,FALSE),1),"")</f>
        <v>1</v>
      </c>
      <c r="F2076" s="25">
        <v>7875.47</v>
      </c>
      <c r="G2076" s="28">
        <f>IF(LEFT(D2076,6)="CLIENT",IF(E2076=0,WORKDAY(A2076-1,1,Dias_Sem_Compensacao!$A$2:$A$500),WORKDAY(A2076,E2076,Dias_Sem_Compensacao!$A$2:$A$500)),"")</f>
        <v>46310</v>
      </c>
      <c r="H2076" s="25">
        <v>0</v>
      </c>
      <c r="I2076" s="28">
        <v>46309</v>
      </c>
      <c r="J2076" t="s">
        <v>2561</v>
      </c>
      <c r="K2076" t="s">
        <v>2562</v>
      </c>
    </row>
    <row r="2077" spans="1:11" hidden="1">
      <c r="A2077" s="28">
        <v>46309</v>
      </c>
      <c r="B2077" t="s">
        <v>186</v>
      </c>
      <c r="C2077" t="s">
        <v>203</v>
      </c>
      <c r="D2077" t="s">
        <v>217</v>
      </c>
      <c r="E2077">
        <f>IF(LEFT(D2077,6)="CLIENT",IFERROR(VLOOKUP(C2077,Config_Carteiras!$A:$B,2,FALSE),1),"")</f>
        <v>1</v>
      </c>
      <c r="F2077" s="25">
        <v>3105.52</v>
      </c>
      <c r="G2077" s="28">
        <f>IF(LEFT(D2077,6)="CLIENT",IF(E2077=0,WORKDAY(A2077-1,1,Dias_Sem_Compensacao!$A$2:$A$500),WORKDAY(A2077,E2077,Dias_Sem_Compensacao!$A$2:$A$500)),"")</f>
        <v>46310</v>
      </c>
      <c r="H2077" s="25">
        <v>0</v>
      </c>
      <c r="I2077" s="28">
        <v>46309</v>
      </c>
      <c r="J2077" t="s">
        <v>2563</v>
      </c>
      <c r="K2077" t="s">
        <v>2564</v>
      </c>
    </row>
    <row r="2078" spans="1:11" hidden="1">
      <c r="A2078" s="28">
        <v>46309</v>
      </c>
      <c r="B2078" t="s">
        <v>186</v>
      </c>
      <c r="C2078" t="s">
        <v>203</v>
      </c>
      <c r="D2078" t="s">
        <v>217</v>
      </c>
      <c r="E2078">
        <f>IF(LEFT(D2078,6)="CLIENT",IFERROR(VLOOKUP(C2078,Config_Carteiras!$A:$B,2,FALSE),1),"")</f>
        <v>1</v>
      </c>
      <c r="F2078" s="25">
        <v>4994.2299999999996</v>
      </c>
      <c r="G2078" s="28">
        <f>IF(LEFT(D2078,6)="CLIENT",IF(E2078=0,WORKDAY(A2078-1,1,Dias_Sem_Compensacao!$A$2:$A$500),WORKDAY(A2078,E2078,Dias_Sem_Compensacao!$A$2:$A$500)),"")</f>
        <v>46310</v>
      </c>
      <c r="H2078" s="25">
        <v>0</v>
      </c>
      <c r="I2078" s="28">
        <v>46309</v>
      </c>
      <c r="J2078" t="s">
        <v>1002</v>
      </c>
      <c r="K2078" t="s">
        <v>2565</v>
      </c>
    </row>
    <row r="2079" spans="1:11" hidden="1">
      <c r="A2079" s="28">
        <v>46309</v>
      </c>
      <c r="B2079" t="s">
        <v>186</v>
      </c>
      <c r="C2079" t="s">
        <v>203</v>
      </c>
      <c r="D2079" t="s">
        <v>217</v>
      </c>
      <c r="E2079">
        <f>IF(LEFT(D2079,6)="CLIENT",IFERROR(VLOOKUP(C2079,Config_Carteiras!$A:$B,2,FALSE),1),"")</f>
        <v>1</v>
      </c>
      <c r="F2079" s="25">
        <v>2097.75</v>
      </c>
      <c r="G2079" s="28">
        <f>IF(LEFT(D2079,6)="CLIENT",IF(E2079=0,WORKDAY(A2079-1,1,Dias_Sem_Compensacao!$A$2:$A$500),WORKDAY(A2079,E2079,Dias_Sem_Compensacao!$A$2:$A$500)),"")</f>
        <v>46310</v>
      </c>
      <c r="H2079" s="25">
        <v>0</v>
      </c>
      <c r="I2079" s="28">
        <v>46309</v>
      </c>
      <c r="K2079" t="s">
        <v>2566</v>
      </c>
    </row>
    <row r="2080" spans="1:11" hidden="1">
      <c r="A2080" s="28">
        <v>46309</v>
      </c>
      <c r="B2080" t="s">
        <v>186</v>
      </c>
      <c r="C2080" t="s">
        <v>203</v>
      </c>
      <c r="D2080" t="s">
        <v>217</v>
      </c>
      <c r="E2080">
        <f>IF(LEFT(D2080,6)="CLIENT",IFERROR(VLOOKUP(C2080,Config_Carteiras!$A:$B,2,FALSE),1),"")</f>
        <v>1</v>
      </c>
      <c r="F2080" s="25">
        <v>2937</v>
      </c>
      <c r="G2080" s="28">
        <f>IF(LEFT(D2080,6)="CLIENT",IF(E2080=0,WORKDAY(A2080-1,1,Dias_Sem_Compensacao!$A$2:$A$500),WORKDAY(A2080,E2080,Dias_Sem_Compensacao!$A$2:$A$500)),"")</f>
        <v>46310</v>
      </c>
      <c r="H2080" s="25">
        <v>0</v>
      </c>
      <c r="I2080" s="28">
        <v>46309</v>
      </c>
      <c r="J2080" t="s">
        <v>2567</v>
      </c>
      <c r="K2080" t="s">
        <v>2568</v>
      </c>
    </row>
    <row r="2081" spans="1:11" hidden="1">
      <c r="A2081" s="28">
        <v>46309</v>
      </c>
      <c r="B2081" t="s">
        <v>186</v>
      </c>
      <c r="C2081" t="s">
        <v>203</v>
      </c>
      <c r="D2081" t="s">
        <v>217</v>
      </c>
      <c r="E2081">
        <f>IF(LEFT(D2081,6)="CLIENT",IFERROR(VLOOKUP(C2081,Config_Carteiras!$A:$B,2,FALSE),1),"")</f>
        <v>1</v>
      </c>
      <c r="F2081" s="25">
        <v>701.77</v>
      </c>
      <c r="G2081" s="28">
        <f>IF(LEFT(D2081,6)="CLIENT",IF(E2081=0,WORKDAY(A2081-1,1,Dias_Sem_Compensacao!$A$2:$A$500),WORKDAY(A2081,E2081,Dias_Sem_Compensacao!$A$2:$A$500)),"")</f>
        <v>46310</v>
      </c>
      <c r="H2081" s="25">
        <v>0</v>
      </c>
      <c r="I2081" s="28">
        <v>46309</v>
      </c>
      <c r="J2081" t="s">
        <v>2569</v>
      </c>
      <c r="K2081" t="s">
        <v>2570</v>
      </c>
    </row>
    <row r="2082" spans="1:11" hidden="1">
      <c r="A2082" s="28">
        <v>46309</v>
      </c>
      <c r="B2082" t="s">
        <v>186</v>
      </c>
      <c r="C2082" t="s">
        <v>203</v>
      </c>
      <c r="D2082" t="s">
        <v>217</v>
      </c>
      <c r="E2082">
        <f>IF(LEFT(D2082,6)="CLIENT",IFERROR(VLOOKUP(C2082,Config_Carteiras!$A:$B,2,FALSE),1),"")</f>
        <v>1</v>
      </c>
      <c r="F2082" s="25">
        <v>570</v>
      </c>
      <c r="G2082" s="28">
        <f>IF(LEFT(D2082,6)="CLIENT",IF(E2082=0,WORKDAY(A2082-1,1,Dias_Sem_Compensacao!$A$2:$A$500),WORKDAY(A2082,E2082,Dias_Sem_Compensacao!$A$2:$A$500)),"")</f>
        <v>46310</v>
      </c>
      <c r="H2082" s="25">
        <v>0</v>
      </c>
      <c r="I2082" s="28">
        <v>46309</v>
      </c>
      <c r="J2082" t="s">
        <v>1943</v>
      </c>
      <c r="K2082" t="s">
        <v>2571</v>
      </c>
    </row>
    <row r="2083" spans="1:11" hidden="1">
      <c r="A2083" s="28">
        <v>46309</v>
      </c>
      <c r="B2083" t="s">
        <v>186</v>
      </c>
      <c r="C2083" t="s">
        <v>203</v>
      </c>
      <c r="D2083" t="s">
        <v>217</v>
      </c>
      <c r="E2083">
        <f>IF(LEFT(D2083,6)="CLIENT",IFERROR(VLOOKUP(C2083,Config_Carteiras!$A:$B,2,FALSE),1),"")</f>
        <v>1</v>
      </c>
      <c r="F2083" s="25">
        <v>1139</v>
      </c>
      <c r="G2083" s="28">
        <f>IF(LEFT(D2083,6)="CLIENT",IF(E2083=0,WORKDAY(A2083-1,1,Dias_Sem_Compensacao!$A$2:$A$500),WORKDAY(A2083,E2083,Dias_Sem_Compensacao!$A$2:$A$500)),"")</f>
        <v>46310</v>
      </c>
      <c r="H2083" s="25">
        <v>0</v>
      </c>
      <c r="I2083" s="28">
        <v>46309</v>
      </c>
      <c r="J2083" t="s">
        <v>2572</v>
      </c>
      <c r="K2083" t="s">
        <v>2573</v>
      </c>
    </row>
    <row r="2084" spans="1:11" hidden="1">
      <c r="A2084" s="28">
        <v>46309</v>
      </c>
      <c r="B2084" t="s">
        <v>186</v>
      </c>
      <c r="C2084" t="s">
        <v>203</v>
      </c>
      <c r="D2084" t="s">
        <v>217</v>
      </c>
      <c r="E2084">
        <f>IF(LEFT(D2084,6)="CLIENT",IFERROR(VLOOKUP(C2084,Config_Carteiras!$A:$B,2,FALSE),1),"")</f>
        <v>1</v>
      </c>
      <c r="F2084" s="25">
        <v>2004.52</v>
      </c>
      <c r="G2084" s="28">
        <f>IF(LEFT(D2084,6)="CLIENT",IF(E2084=0,WORKDAY(A2084-1,1,Dias_Sem_Compensacao!$A$2:$A$500),WORKDAY(A2084,E2084,Dias_Sem_Compensacao!$A$2:$A$500)),"")</f>
        <v>46310</v>
      </c>
      <c r="H2084" s="25">
        <v>0</v>
      </c>
      <c r="I2084" s="28">
        <v>46309</v>
      </c>
      <c r="J2084" t="s">
        <v>1323</v>
      </c>
      <c r="K2084" t="s">
        <v>1324</v>
      </c>
    </row>
    <row r="2085" spans="1:11" hidden="1">
      <c r="A2085" s="28">
        <v>46309</v>
      </c>
      <c r="B2085" t="s">
        <v>186</v>
      </c>
      <c r="C2085" t="s">
        <v>203</v>
      </c>
      <c r="D2085" t="s">
        <v>217</v>
      </c>
      <c r="E2085">
        <f>IF(LEFT(D2085,6)="CLIENT",IFERROR(VLOOKUP(C2085,Config_Carteiras!$A:$B,2,FALSE),1),"")</f>
        <v>1</v>
      </c>
      <c r="F2085" s="25">
        <v>1234</v>
      </c>
      <c r="G2085" s="28">
        <f>IF(LEFT(D2085,6)="CLIENT",IF(E2085=0,WORKDAY(A2085-1,1,Dias_Sem_Compensacao!$A$2:$A$500),WORKDAY(A2085,E2085,Dias_Sem_Compensacao!$A$2:$A$500)),"")</f>
        <v>46310</v>
      </c>
      <c r="H2085" s="25">
        <v>0</v>
      </c>
      <c r="I2085" s="28">
        <v>46309</v>
      </c>
      <c r="J2085" t="s">
        <v>2574</v>
      </c>
      <c r="K2085" t="s">
        <v>2575</v>
      </c>
    </row>
    <row r="2086" spans="1:11" hidden="1">
      <c r="A2086" s="28">
        <v>46309</v>
      </c>
      <c r="B2086" t="s">
        <v>186</v>
      </c>
      <c r="C2086" t="s">
        <v>203</v>
      </c>
      <c r="D2086" t="s">
        <v>217</v>
      </c>
      <c r="E2086">
        <f>IF(LEFT(D2086,6)="CLIENT",IFERROR(VLOOKUP(C2086,Config_Carteiras!$A:$B,2,FALSE),1),"")</f>
        <v>1</v>
      </c>
      <c r="F2086" s="25">
        <v>1520</v>
      </c>
      <c r="G2086" s="28">
        <f>IF(LEFT(D2086,6)="CLIENT",IF(E2086=0,WORKDAY(A2086-1,1,Dias_Sem_Compensacao!$A$2:$A$500),WORKDAY(A2086,E2086,Dias_Sem_Compensacao!$A$2:$A$500)),"")</f>
        <v>46310</v>
      </c>
      <c r="H2086" s="25">
        <v>0</v>
      </c>
      <c r="I2086" s="28">
        <v>46309</v>
      </c>
      <c r="J2086" t="s">
        <v>2046</v>
      </c>
      <c r="K2086" t="s">
        <v>2047</v>
      </c>
    </row>
    <row r="2087" spans="1:11" hidden="1">
      <c r="A2087" s="28">
        <v>46309</v>
      </c>
      <c r="B2087" t="s">
        <v>186</v>
      </c>
      <c r="C2087" t="s">
        <v>203</v>
      </c>
      <c r="D2087" t="s">
        <v>217</v>
      </c>
      <c r="E2087">
        <f>IF(LEFT(D2087,6)="CLIENT",IFERROR(VLOOKUP(C2087,Config_Carteiras!$A:$B,2,FALSE),1),"")</f>
        <v>1</v>
      </c>
      <c r="F2087" s="25">
        <v>731.1</v>
      </c>
      <c r="G2087" s="28">
        <f>IF(LEFT(D2087,6)="CLIENT",IF(E2087=0,WORKDAY(A2087-1,1,Dias_Sem_Compensacao!$A$2:$A$500),WORKDAY(A2087,E2087,Dias_Sem_Compensacao!$A$2:$A$500)),"")</f>
        <v>46310</v>
      </c>
      <c r="H2087" s="25">
        <v>0</v>
      </c>
      <c r="I2087" s="28">
        <v>46309</v>
      </c>
      <c r="J2087" t="s">
        <v>962</v>
      </c>
      <c r="K2087" t="s">
        <v>2576</v>
      </c>
    </row>
    <row r="2088" spans="1:11" hidden="1">
      <c r="A2088" s="28">
        <v>46309</v>
      </c>
      <c r="B2088" t="s">
        <v>186</v>
      </c>
      <c r="C2088" t="s">
        <v>203</v>
      </c>
      <c r="D2088" t="s">
        <v>217</v>
      </c>
      <c r="E2088">
        <f>IF(LEFT(D2088,6)="CLIENT",IFERROR(VLOOKUP(C2088,Config_Carteiras!$A:$B,2,FALSE),1),"")</f>
        <v>1</v>
      </c>
      <c r="F2088" s="25">
        <v>649</v>
      </c>
      <c r="G2088" s="28">
        <f>IF(LEFT(D2088,6)="CLIENT",IF(E2088=0,WORKDAY(A2088-1,1,Dias_Sem_Compensacao!$A$2:$A$500),WORKDAY(A2088,E2088,Dias_Sem_Compensacao!$A$2:$A$500)),"")</f>
        <v>46310</v>
      </c>
      <c r="H2088" s="25">
        <v>0</v>
      </c>
      <c r="I2088" s="28">
        <v>46309</v>
      </c>
      <c r="J2088" t="s">
        <v>2577</v>
      </c>
      <c r="K2088" t="s">
        <v>2578</v>
      </c>
    </row>
    <row r="2089" spans="1:11" hidden="1">
      <c r="A2089" s="28">
        <v>46309</v>
      </c>
      <c r="B2089" t="s">
        <v>186</v>
      </c>
      <c r="C2089" t="s">
        <v>203</v>
      </c>
      <c r="D2089" t="s">
        <v>217</v>
      </c>
      <c r="E2089">
        <f>IF(LEFT(D2089,6)="CLIENT",IFERROR(VLOOKUP(C2089,Config_Carteiras!$A:$B,2,FALSE),1),"")</f>
        <v>1</v>
      </c>
      <c r="F2089" s="25">
        <v>1286.72</v>
      </c>
      <c r="G2089" s="28">
        <f>IF(LEFT(D2089,6)="CLIENT",IF(E2089=0,WORKDAY(A2089-1,1,Dias_Sem_Compensacao!$A$2:$A$500),WORKDAY(A2089,E2089,Dias_Sem_Compensacao!$A$2:$A$500)),"")</f>
        <v>46310</v>
      </c>
      <c r="H2089" s="25">
        <v>0</v>
      </c>
      <c r="I2089" s="28">
        <v>46309</v>
      </c>
      <c r="J2089" t="s">
        <v>1329</v>
      </c>
      <c r="K2089" t="s">
        <v>1330</v>
      </c>
    </row>
    <row r="2090" spans="1:11" hidden="1">
      <c r="A2090" s="28">
        <v>46309</v>
      </c>
      <c r="B2090" t="s">
        <v>186</v>
      </c>
      <c r="C2090" t="s">
        <v>203</v>
      </c>
      <c r="D2090" t="s">
        <v>217</v>
      </c>
      <c r="E2090">
        <f>IF(LEFT(D2090,6)="CLIENT",IFERROR(VLOOKUP(C2090,Config_Carteiras!$A:$B,2,FALSE),1),"")</f>
        <v>1</v>
      </c>
      <c r="F2090" s="25">
        <v>627</v>
      </c>
      <c r="G2090" s="28">
        <f>IF(LEFT(D2090,6)="CLIENT",IF(E2090=0,WORKDAY(A2090-1,1,Dias_Sem_Compensacao!$A$2:$A$500),WORKDAY(A2090,E2090,Dias_Sem_Compensacao!$A$2:$A$500)),"")</f>
        <v>46310</v>
      </c>
      <c r="H2090" s="25">
        <v>0</v>
      </c>
      <c r="I2090" s="28">
        <v>46309</v>
      </c>
      <c r="J2090" t="s">
        <v>2579</v>
      </c>
      <c r="K2090" t="s">
        <v>2580</v>
      </c>
    </row>
    <row r="2091" spans="1:11" hidden="1">
      <c r="A2091" s="28">
        <v>46309</v>
      </c>
      <c r="B2091" t="s">
        <v>186</v>
      </c>
      <c r="C2091" t="s">
        <v>203</v>
      </c>
      <c r="D2091" t="s">
        <v>217</v>
      </c>
      <c r="E2091">
        <f>IF(LEFT(D2091,6)="CLIENT",IFERROR(VLOOKUP(C2091,Config_Carteiras!$A:$B,2,FALSE),1),"")</f>
        <v>1</v>
      </c>
      <c r="F2091" s="25">
        <v>346</v>
      </c>
      <c r="G2091" s="28">
        <f>IF(LEFT(D2091,6)="CLIENT",IF(E2091=0,WORKDAY(A2091-1,1,Dias_Sem_Compensacao!$A$2:$A$500),WORKDAY(A2091,E2091,Dias_Sem_Compensacao!$A$2:$A$500)),"")</f>
        <v>46310</v>
      </c>
      <c r="H2091" s="25">
        <v>0</v>
      </c>
      <c r="I2091" s="28">
        <v>46309</v>
      </c>
      <c r="J2091" t="s">
        <v>2581</v>
      </c>
      <c r="K2091" t="s">
        <v>2582</v>
      </c>
    </row>
    <row r="2092" spans="1:11" hidden="1">
      <c r="A2092" s="28">
        <v>46309</v>
      </c>
      <c r="B2092" t="s">
        <v>186</v>
      </c>
      <c r="C2092" t="s">
        <v>203</v>
      </c>
      <c r="D2092" t="s">
        <v>217</v>
      </c>
      <c r="E2092">
        <f>IF(LEFT(D2092,6)="CLIENT",IFERROR(VLOOKUP(C2092,Config_Carteiras!$A:$B,2,FALSE),1),"")</f>
        <v>1</v>
      </c>
      <c r="F2092" s="25">
        <v>856</v>
      </c>
      <c r="G2092" s="28">
        <f>IF(LEFT(D2092,6)="CLIENT",IF(E2092=0,WORKDAY(A2092-1,1,Dias_Sem_Compensacao!$A$2:$A$500),WORKDAY(A2092,E2092,Dias_Sem_Compensacao!$A$2:$A$500)),"")</f>
        <v>46310</v>
      </c>
      <c r="H2092" s="25">
        <v>0</v>
      </c>
      <c r="I2092" s="28">
        <v>46309</v>
      </c>
      <c r="J2092" t="s">
        <v>2583</v>
      </c>
      <c r="K2092" t="s">
        <v>2584</v>
      </c>
    </row>
    <row r="2093" spans="1:11" hidden="1">
      <c r="A2093" s="28">
        <v>46309</v>
      </c>
      <c r="B2093" t="s">
        <v>186</v>
      </c>
      <c r="C2093" t="s">
        <v>203</v>
      </c>
      <c r="D2093" t="s">
        <v>217</v>
      </c>
      <c r="E2093">
        <f>IF(LEFT(D2093,6)="CLIENT",IFERROR(VLOOKUP(C2093,Config_Carteiras!$A:$B,2,FALSE),1),"")</f>
        <v>1</v>
      </c>
      <c r="F2093" s="25">
        <v>384</v>
      </c>
      <c r="G2093" s="28">
        <f>IF(LEFT(D2093,6)="CLIENT",IF(E2093=0,WORKDAY(A2093-1,1,Dias_Sem_Compensacao!$A$2:$A$500),WORKDAY(A2093,E2093,Dias_Sem_Compensacao!$A$2:$A$500)),"")</f>
        <v>46310</v>
      </c>
      <c r="H2093" s="25">
        <v>0</v>
      </c>
      <c r="I2093" s="28">
        <v>46309</v>
      </c>
      <c r="J2093" t="s">
        <v>2585</v>
      </c>
      <c r="K2093" t="s">
        <v>2586</v>
      </c>
    </row>
    <row r="2094" spans="1:11" hidden="1">
      <c r="A2094" s="28">
        <v>46309</v>
      </c>
      <c r="B2094" t="s">
        <v>186</v>
      </c>
      <c r="C2094" t="s">
        <v>203</v>
      </c>
      <c r="D2094" t="s">
        <v>217</v>
      </c>
      <c r="E2094">
        <f>IF(LEFT(D2094,6)="CLIENT",IFERROR(VLOOKUP(C2094,Config_Carteiras!$A:$B,2,FALSE),1),"")</f>
        <v>1</v>
      </c>
      <c r="F2094" s="25">
        <v>3885</v>
      </c>
      <c r="G2094" s="28">
        <f>IF(LEFT(D2094,6)="CLIENT",IF(E2094=0,WORKDAY(A2094-1,1,Dias_Sem_Compensacao!$A$2:$A$500),WORKDAY(A2094,E2094,Dias_Sem_Compensacao!$A$2:$A$500)),"")</f>
        <v>46310</v>
      </c>
      <c r="H2094" s="25">
        <v>0</v>
      </c>
      <c r="I2094" s="28">
        <v>46309</v>
      </c>
      <c r="J2094" t="s">
        <v>2587</v>
      </c>
      <c r="K2094" t="s">
        <v>2588</v>
      </c>
    </row>
    <row r="2095" spans="1:11" hidden="1">
      <c r="A2095" s="28">
        <v>46309</v>
      </c>
      <c r="B2095" t="s">
        <v>186</v>
      </c>
      <c r="C2095" t="s">
        <v>203</v>
      </c>
      <c r="D2095" t="s">
        <v>217</v>
      </c>
      <c r="E2095">
        <f>IF(LEFT(D2095,6)="CLIENT",IFERROR(VLOOKUP(C2095,Config_Carteiras!$A:$B,2,FALSE),1),"")</f>
        <v>1</v>
      </c>
      <c r="F2095" s="25">
        <v>1208.46</v>
      </c>
      <c r="G2095" s="28">
        <f>IF(LEFT(D2095,6)="CLIENT",IF(E2095=0,WORKDAY(A2095-1,1,Dias_Sem_Compensacao!$A$2:$A$500),WORKDAY(A2095,E2095,Dias_Sem_Compensacao!$A$2:$A$500)),"")</f>
        <v>46310</v>
      </c>
      <c r="H2095" s="25">
        <v>0</v>
      </c>
      <c r="I2095" s="28">
        <v>46309</v>
      </c>
      <c r="J2095" t="s">
        <v>2049</v>
      </c>
      <c r="K2095" t="s">
        <v>2050</v>
      </c>
    </row>
    <row r="2096" spans="1:11" hidden="1">
      <c r="A2096" s="28">
        <v>46309</v>
      </c>
      <c r="B2096" t="s">
        <v>186</v>
      </c>
      <c r="C2096" t="s">
        <v>203</v>
      </c>
      <c r="D2096" t="s">
        <v>217</v>
      </c>
      <c r="E2096">
        <f>IF(LEFT(D2096,6)="CLIENT",IFERROR(VLOOKUP(C2096,Config_Carteiras!$A:$B,2,FALSE),1),"")</f>
        <v>1</v>
      </c>
      <c r="F2096" s="25">
        <v>902</v>
      </c>
      <c r="G2096" s="28">
        <f>IF(LEFT(D2096,6)="CLIENT",IF(E2096=0,WORKDAY(A2096-1,1,Dias_Sem_Compensacao!$A$2:$A$500),WORKDAY(A2096,E2096,Dias_Sem_Compensacao!$A$2:$A$500)),"")</f>
        <v>46310</v>
      </c>
      <c r="H2096" s="25">
        <v>0</v>
      </c>
      <c r="I2096" s="28">
        <v>46309</v>
      </c>
      <c r="J2096" t="s">
        <v>1338</v>
      </c>
      <c r="K2096" t="s">
        <v>1339</v>
      </c>
    </row>
    <row r="2097" spans="1:11" hidden="1">
      <c r="A2097" s="28">
        <v>46309</v>
      </c>
      <c r="B2097" t="s">
        <v>186</v>
      </c>
      <c r="C2097" t="s">
        <v>203</v>
      </c>
      <c r="D2097" t="s">
        <v>217</v>
      </c>
      <c r="E2097">
        <f>IF(LEFT(D2097,6)="CLIENT",IFERROR(VLOOKUP(C2097,Config_Carteiras!$A:$B,2,FALSE),1),"")</f>
        <v>1</v>
      </c>
      <c r="F2097" s="25">
        <v>1087</v>
      </c>
      <c r="G2097" s="28">
        <f>IF(LEFT(D2097,6)="CLIENT",IF(E2097=0,WORKDAY(A2097-1,1,Dias_Sem_Compensacao!$A$2:$A$500),WORKDAY(A2097,E2097,Dias_Sem_Compensacao!$A$2:$A$500)),"")</f>
        <v>46310</v>
      </c>
      <c r="H2097" s="25">
        <v>0</v>
      </c>
      <c r="I2097" s="28">
        <v>46309</v>
      </c>
      <c r="J2097" t="s">
        <v>2053</v>
      </c>
      <c r="K2097" t="s">
        <v>2054</v>
      </c>
    </row>
    <row r="2098" spans="1:11" hidden="1">
      <c r="A2098" s="28">
        <v>46309</v>
      </c>
      <c r="B2098" t="s">
        <v>186</v>
      </c>
      <c r="C2098" t="s">
        <v>203</v>
      </c>
      <c r="D2098" t="s">
        <v>217</v>
      </c>
      <c r="E2098">
        <f>IF(LEFT(D2098,6)="CLIENT",IFERROR(VLOOKUP(C2098,Config_Carteiras!$A:$B,2,FALSE),1),"")</f>
        <v>1</v>
      </c>
      <c r="F2098" s="25">
        <v>2360</v>
      </c>
      <c r="G2098" s="28">
        <f>IF(LEFT(D2098,6)="CLIENT",IF(E2098=0,WORKDAY(A2098-1,1,Dias_Sem_Compensacao!$A$2:$A$500),WORKDAY(A2098,E2098,Dias_Sem_Compensacao!$A$2:$A$500)),"")</f>
        <v>46310</v>
      </c>
      <c r="H2098" s="25">
        <v>0</v>
      </c>
      <c r="I2098" s="28">
        <v>46309</v>
      </c>
      <c r="J2098" t="s">
        <v>2589</v>
      </c>
      <c r="K2098" t="s">
        <v>2590</v>
      </c>
    </row>
    <row r="2099" spans="1:11" hidden="1">
      <c r="A2099" s="28">
        <v>46309</v>
      </c>
      <c r="B2099" t="s">
        <v>186</v>
      </c>
      <c r="C2099" t="s">
        <v>203</v>
      </c>
      <c r="D2099" t="s">
        <v>217</v>
      </c>
      <c r="E2099">
        <f>IF(LEFT(D2099,6)="CLIENT",IFERROR(VLOOKUP(C2099,Config_Carteiras!$A:$B,2,FALSE),1),"")</f>
        <v>1</v>
      </c>
      <c r="F2099" s="25">
        <v>3501</v>
      </c>
      <c r="G2099" s="28">
        <f>IF(LEFT(D2099,6)="CLIENT",IF(E2099=0,WORKDAY(A2099-1,1,Dias_Sem_Compensacao!$A$2:$A$500),WORKDAY(A2099,E2099,Dias_Sem_Compensacao!$A$2:$A$500)),"")</f>
        <v>46310</v>
      </c>
      <c r="H2099" s="25">
        <v>0</v>
      </c>
      <c r="I2099" s="28">
        <v>46309</v>
      </c>
      <c r="J2099" t="s">
        <v>1348</v>
      </c>
      <c r="K2099" t="s">
        <v>1349</v>
      </c>
    </row>
    <row r="2100" spans="1:11" hidden="1">
      <c r="A2100" s="28">
        <v>46309</v>
      </c>
      <c r="B2100" t="s">
        <v>186</v>
      </c>
      <c r="C2100" t="s">
        <v>203</v>
      </c>
      <c r="D2100" t="s">
        <v>217</v>
      </c>
      <c r="E2100">
        <f>IF(LEFT(D2100,6)="CLIENT",IFERROR(VLOOKUP(C2100,Config_Carteiras!$A:$B,2,FALSE),1),"")</f>
        <v>1</v>
      </c>
      <c r="F2100" s="25">
        <v>1024.79</v>
      </c>
      <c r="G2100" s="28">
        <f>IF(LEFT(D2100,6)="CLIENT",IF(E2100=0,WORKDAY(A2100-1,1,Dias_Sem_Compensacao!$A$2:$A$500),WORKDAY(A2100,E2100,Dias_Sem_Compensacao!$A$2:$A$500)),"")</f>
        <v>46310</v>
      </c>
      <c r="H2100" s="25">
        <v>0</v>
      </c>
      <c r="I2100" s="28">
        <v>46309</v>
      </c>
      <c r="J2100" t="s">
        <v>2055</v>
      </c>
      <c r="K2100" t="s">
        <v>2056</v>
      </c>
    </row>
    <row r="2101" spans="1:11" hidden="1">
      <c r="A2101" s="28">
        <v>46309</v>
      </c>
      <c r="B2101" t="s">
        <v>186</v>
      </c>
      <c r="C2101" t="s">
        <v>203</v>
      </c>
      <c r="D2101" t="s">
        <v>217</v>
      </c>
      <c r="E2101">
        <f>IF(LEFT(D2101,6)="CLIENT",IFERROR(VLOOKUP(C2101,Config_Carteiras!$A:$B,2,FALSE),1),"")</f>
        <v>1</v>
      </c>
      <c r="F2101" s="25">
        <v>1555.21</v>
      </c>
      <c r="G2101" s="28">
        <f>IF(LEFT(D2101,6)="CLIENT",IF(E2101=0,WORKDAY(A2101-1,1,Dias_Sem_Compensacao!$A$2:$A$500),WORKDAY(A2101,E2101,Dias_Sem_Compensacao!$A$2:$A$500)),"")</f>
        <v>46310</v>
      </c>
      <c r="H2101" s="25">
        <v>0</v>
      </c>
      <c r="I2101" s="28">
        <v>46309</v>
      </c>
      <c r="J2101" t="s">
        <v>1350</v>
      </c>
      <c r="K2101" t="s">
        <v>1351</v>
      </c>
    </row>
    <row r="2102" spans="1:11" hidden="1">
      <c r="A2102" s="28">
        <v>46309</v>
      </c>
      <c r="B2102" t="s">
        <v>186</v>
      </c>
      <c r="C2102" t="s">
        <v>203</v>
      </c>
      <c r="D2102" t="s">
        <v>217</v>
      </c>
      <c r="E2102">
        <f>IF(LEFT(D2102,6)="CLIENT",IFERROR(VLOOKUP(C2102,Config_Carteiras!$A:$B,2,FALSE),1),"")</f>
        <v>1</v>
      </c>
      <c r="F2102" s="25">
        <v>1306</v>
      </c>
      <c r="G2102" s="28">
        <f>IF(LEFT(D2102,6)="CLIENT",IF(E2102=0,WORKDAY(A2102-1,1,Dias_Sem_Compensacao!$A$2:$A$500),WORKDAY(A2102,E2102,Dias_Sem_Compensacao!$A$2:$A$500)),"")</f>
        <v>46310</v>
      </c>
      <c r="H2102" s="25">
        <v>0</v>
      </c>
      <c r="I2102" s="28">
        <v>46309</v>
      </c>
      <c r="J2102" t="s">
        <v>1703</v>
      </c>
      <c r="K2102" t="s">
        <v>2591</v>
      </c>
    </row>
    <row r="2103" spans="1:11" hidden="1">
      <c r="A2103" s="28">
        <v>46309</v>
      </c>
      <c r="B2103" t="s">
        <v>186</v>
      </c>
      <c r="C2103" t="s">
        <v>203</v>
      </c>
      <c r="D2103" t="s">
        <v>217</v>
      </c>
      <c r="E2103">
        <f>IF(LEFT(D2103,6)="CLIENT",IFERROR(VLOOKUP(C2103,Config_Carteiras!$A:$B,2,FALSE),1),"")</f>
        <v>1</v>
      </c>
      <c r="F2103" s="25">
        <v>1126</v>
      </c>
      <c r="G2103" s="28">
        <f>IF(LEFT(D2103,6)="CLIENT",IF(E2103=0,WORKDAY(A2103-1,1,Dias_Sem_Compensacao!$A$2:$A$500),WORKDAY(A2103,E2103,Dias_Sem_Compensacao!$A$2:$A$500)),"")</f>
        <v>46310</v>
      </c>
      <c r="H2103" s="25">
        <v>0</v>
      </c>
      <c r="I2103" s="28">
        <v>46309</v>
      </c>
      <c r="J2103" t="s">
        <v>2592</v>
      </c>
      <c r="K2103" t="s">
        <v>2593</v>
      </c>
    </row>
    <row r="2104" spans="1:11" hidden="1">
      <c r="A2104" s="28">
        <v>46309</v>
      </c>
      <c r="B2104" t="s">
        <v>186</v>
      </c>
      <c r="C2104" t="s">
        <v>203</v>
      </c>
      <c r="D2104" t="s">
        <v>217</v>
      </c>
      <c r="E2104">
        <f>IF(LEFT(D2104,6)="CLIENT",IFERROR(VLOOKUP(C2104,Config_Carteiras!$A:$B,2,FALSE),1),"")</f>
        <v>1</v>
      </c>
      <c r="F2104" s="25">
        <v>297.11</v>
      </c>
      <c r="G2104" s="28">
        <f>IF(LEFT(D2104,6)="CLIENT",IF(E2104=0,WORKDAY(A2104-1,1,Dias_Sem_Compensacao!$A$2:$A$500),WORKDAY(A2104,E2104,Dias_Sem_Compensacao!$A$2:$A$500)),"")</f>
        <v>46310</v>
      </c>
      <c r="H2104" s="25">
        <v>0</v>
      </c>
      <c r="I2104" s="28">
        <v>46309</v>
      </c>
      <c r="J2104" t="s">
        <v>78</v>
      </c>
      <c r="K2104" t="s">
        <v>2594</v>
      </c>
    </row>
    <row r="2105" spans="1:11" hidden="1">
      <c r="A2105" s="28">
        <v>46309</v>
      </c>
      <c r="B2105" t="s">
        <v>186</v>
      </c>
      <c r="C2105" t="s">
        <v>203</v>
      </c>
      <c r="D2105" t="s">
        <v>217</v>
      </c>
      <c r="E2105">
        <f>IF(LEFT(D2105,6)="CLIENT",IFERROR(VLOOKUP(C2105,Config_Carteiras!$A:$B,2,FALSE),1),"")</f>
        <v>1</v>
      </c>
      <c r="F2105" s="25">
        <v>61.94</v>
      </c>
      <c r="G2105" s="28">
        <f>IF(LEFT(D2105,6)="CLIENT",IF(E2105=0,WORKDAY(A2105-1,1,Dias_Sem_Compensacao!$A$2:$A$500),WORKDAY(A2105,E2105,Dias_Sem_Compensacao!$A$2:$A$500)),"")</f>
        <v>46310</v>
      </c>
      <c r="H2105" s="25">
        <v>0</v>
      </c>
      <c r="I2105" s="28">
        <v>46309</v>
      </c>
      <c r="J2105" t="s">
        <v>2595</v>
      </c>
      <c r="K2105" t="s">
        <v>2596</v>
      </c>
    </row>
    <row r="2106" spans="1:11" hidden="1">
      <c r="A2106" s="28">
        <v>46309</v>
      </c>
      <c r="B2106" t="s">
        <v>186</v>
      </c>
      <c r="C2106" t="s">
        <v>203</v>
      </c>
      <c r="D2106" t="s">
        <v>217</v>
      </c>
      <c r="E2106">
        <f>IF(LEFT(D2106,6)="CLIENT",IFERROR(VLOOKUP(C2106,Config_Carteiras!$A:$B,2,FALSE),1),"")</f>
        <v>1</v>
      </c>
      <c r="F2106" s="25">
        <v>596</v>
      </c>
      <c r="G2106" s="28">
        <f>IF(LEFT(D2106,6)="CLIENT",IF(E2106=0,WORKDAY(A2106-1,1,Dias_Sem_Compensacao!$A$2:$A$500),WORKDAY(A2106,E2106,Dias_Sem_Compensacao!$A$2:$A$500)),"")</f>
        <v>46310</v>
      </c>
      <c r="H2106" s="25">
        <v>0</v>
      </c>
      <c r="I2106" s="28">
        <v>46309</v>
      </c>
      <c r="J2106" t="s">
        <v>2597</v>
      </c>
      <c r="K2106" t="s">
        <v>2598</v>
      </c>
    </row>
    <row r="2107" spans="1:11" hidden="1">
      <c r="A2107" s="28">
        <v>46309</v>
      </c>
      <c r="B2107" t="s">
        <v>186</v>
      </c>
      <c r="C2107" t="s">
        <v>203</v>
      </c>
      <c r="D2107" t="s">
        <v>217</v>
      </c>
      <c r="E2107">
        <f>IF(LEFT(D2107,6)="CLIENT",IFERROR(VLOOKUP(C2107,Config_Carteiras!$A:$B,2,FALSE),1),"")</f>
        <v>1</v>
      </c>
      <c r="F2107" s="25">
        <v>1853</v>
      </c>
      <c r="G2107" s="28">
        <f>IF(LEFT(D2107,6)="CLIENT",IF(E2107=0,WORKDAY(A2107-1,1,Dias_Sem_Compensacao!$A$2:$A$500),WORKDAY(A2107,E2107,Dias_Sem_Compensacao!$A$2:$A$500)),"")</f>
        <v>46310</v>
      </c>
      <c r="H2107" s="25">
        <v>0</v>
      </c>
      <c r="I2107" s="28">
        <v>46309</v>
      </c>
      <c r="J2107" t="s">
        <v>2060</v>
      </c>
      <c r="K2107" t="s">
        <v>2061</v>
      </c>
    </row>
    <row r="2108" spans="1:11" hidden="1">
      <c r="A2108" s="28">
        <v>46309</v>
      </c>
      <c r="B2108" t="s">
        <v>186</v>
      </c>
      <c r="C2108" t="s">
        <v>203</v>
      </c>
      <c r="D2108" t="s">
        <v>217</v>
      </c>
      <c r="E2108">
        <f>IF(LEFT(D2108,6)="CLIENT",IFERROR(VLOOKUP(C2108,Config_Carteiras!$A:$B,2,FALSE),1),"")</f>
        <v>1</v>
      </c>
      <c r="F2108" s="25">
        <v>1360</v>
      </c>
      <c r="G2108" s="28">
        <f>IF(LEFT(D2108,6)="CLIENT",IF(E2108=0,WORKDAY(A2108-1,1,Dias_Sem_Compensacao!$A$2:$A$500),WORKDAY(A2108,E2108,Dias_Sem_Compensacao!$A$2:$A$500)),"")</f>
        <v>46310</v>
      </c>
      <c r="H2108" s="25">
        <v>0</v>
      </c>
      <c r="I2108" s="28">
        <v>46309</v>
      </c>
      <c r="J2108" t="s">
        <v>2064</v>
      </c>
      <c r="K2108" t="s">
        <v>2065</v>
      </c>
    </row>
    <row r="2109" spans="1:11" hidden="1">
      <c r="A2109" s="28">
        <v>46309</v>
      </c>
      <c r="B2109" t="s">
        <v>186</v>
      </c>
      <c r="C2109" t="s">
        <v>203</v>
      </c>
      <c r="D2109" t="s">
        <v>217</v>
      </c>
      <c r="E2109">
        <f>IF(LEFT(D2109,6)="CLIENT",IFERROR(VLOOKUP(C2109,Config_Carteiras!$A:$B,2,FALSE),1),"")</f>
        <v>1</v>
      </c>
      <c r="F2109" s="25">
        <v>446</v>
      </c>
      <c r="G2109" s="28">
        <f>IF(LEFT(D2109,6)="CLIENT",IF(E2109=0,WORKDAY(A2109-1,1,Dias_Sem_Compensacao!$A$2:$A$500),WORKDAY(A2109,E2109,Dias_Sem_Compensacao!$A$2:$A$500)),"")</f>
        <v>46310</v>
      </c>
      <c r="H2109" s="25">
        <v>0</v>
      </c>
      <c r="I2109" s="28">
        <v>46309</v>
      </c>
      <c r="J2109" t="s">
        <v>2066</v>
      </c>
      <c r="K2109" t="s">
        <v>2067</v>
      </c>
    </row>
    <row r="2110" spans="1:11" hidden="1">
      <c r="A2110" s="28">
        <v>46309</v>
      </c>
      <c r="B2110" t="s">
        <v>186</v>
      </c>
      <c r="C2110" t="s">
        <v>203</v>
      </c>
      <c r="D2110" t="s">
        <v>217</v>
      </c>
      <c r="E2110">
        <f>IF(LEFT(D2110,6)="CLIENT",IFERROR(VLOOKUP(C2110,Config_Carteiras!$A:$B,2,FALSE),1),"")</f>
        <v>1</v>
      </c>
      <c r="F2110" s="25">
        <v>1216</v>
      </c>
      <c r="G2110" s="28">
        <f>IF(LEFT(D2110,6)="CLIENT",IF(E2110=0,WORKDAY(A2110-1,1,Dias_Sem_Compensacao!$A$2:$A$500),WORKDAY(A2110,E2110,Dias_Sem_Compensacao!$A$2:$A$500)),"")</f>
        <v>46310</v>
      </c>
      <c r="H2110" s="25">
        <v>0</v>
      </c>
      <c r="I2110" s="28">
        <v>46309</v>
      </c>
      <c r="J2110" t="s">
        <v>413</v>
      </c>
      <c r="K2110" t="s">
        <v>2068</v>
      </c>
    </row>
    <row r="2111" spans="1:11" hidden="1">
      <c r="A2111" s="28">
        <v>46309</v>
      </c>
      <c r="B2111" t="s">
        <v>186</v>
      </c>
      <c r="C2111" t="s">
        <v>203</v>
      </c>
      <c r="D2111" t="s">
        <v>217</v>
      </c>
      <c r="E2111">
        <f>IF(LEFT(D2111,6)="CLIENT",IFERROR(VLOOKUP(C2111,Config_Carteiras!$A:$B,2,FALSE),1),"")</f>
        <v>1</v>
      </c>
      <c r="F2111" s="25">
        <v>2779</v>
      </c>
      <c r="G2111" s="28">
        <f>IF(LEFT(D2111,6)="CLIENT",IF(E2111=0,WORKDAY(A2111-1,1,Dias_Sem_Compensacao!$A$2:$A$500),WORKDAY(A2111,E2111,Dias_Sem_Compensacao!$A$2:$A$500)),"")</f>
        <v>46310</v>
      </c>
      <c r="H2111" s="25">
        <v>0</v>
      </c>
      <c r="I2111" s="28">
        <v>46309</v>
      </c>
      <c r="J2111" t="s">
        <v>2599</v>
      </c>
      <c r="K2111" t="s">
        <v>2600</v>
      </c>
    </row>
    <row r="2112" spans="1:11" hidden="1">
      <c r="A2112" s="28">
        <v>46309</v>
      </c>
      <c r="B2112" t="s">
        <v>186</v>
      </c>
      <c r="C2112" t="s">
        <v>203</v>
      </c>
      <c r="D2112" t="s">
        <v>217</v>
      </c>
      <c r="E2112">
        <f>IF(LEFT(D2112,6)="CLIENT",IFERROR(VLOOKUP(C2112,Config_Carteiras!$A:$B,2,FALSE),1),"")</f>
        <v>1</v>
      </c>
      <c r="F2112" s="25">
        <v>2165</v>
      </c>
      <c r="G2112" s="28">
        <f>IF(LEFT(D2112,6)="CLIENT",IF(E2112=0,WORKDAY(A2112-1,1,Dias_Sem_Compensacao!$A$2:$A$500),WORKDAY(A2112,E2112,Dias_Sem_Compensacao!$A$2:$A$500)),"")</f>
        <v>46310</v>
      </c>
      <c r="H2112" s="25">
        <v>0</v>
      </c>
      <c r="I2112" s="28">
        <v>46309</v>
      </c>
      <c r="K2112" t="s">
        <v>2601</v>
      </c>
    </row>
    <row r="2113" spans="1:11" hidden="1">
      <c r="A2113" s="28">
        <v>46309</v>
      </c>
      <c r="B2113" t="s">
        <v>186</v>
      </c>
      <c r="C2113" t="s">
        <v>203</v>
      </c>
      <c r="D2113" t="s">
        <v>217</v>
      </c>
      <c r="E2113">
        <f>IF(LEFT(D2113,6)="CLIENT",IFERROR(VLOOKUP(C2113,Config_Carteiras!$A:$B,2,FALSE),1),"")</f>
        <v>1</v>
      </c>
      <c r="F2113" s="25">
        <v>758</v>
      </c>
      <c r="G2113" s="28">
        <f>IF(LEFT(D2113,6)="CLIENT",IF(E2113=0,WORKDAY(A2113-1,1,Dias_Sem_Compensacao!$A$2:$A$500),WORKDAY(A2113,E2113,Dias_Sem_Compensacao!$A$2:$A$500)),"")</f>
        <v>46310</v>
      </c>
      <c r="H2113" s="25">
        <v>0</v>
      </c>
      <c r="I2113" s="28">
        <v>46309</v>
      </c>
      <c r="J2113" t="s">
        <v>2069</v>
      </c>
      <c r="K2113" t="s">
        <v>2070</v>
      </c>
    </row>
    <row r="2114" spans="1:11" hidden="1">
      <c r="A2114" s="28">
        <v>46309</v>
      </c>
      <c r="B2114" t="s">
        <v>186</v>
      </c>
      <c r="C2114" t="s">
        <v>203</v>
      </c>
      <c r="D2114" t="s">
        <v>217</v>
      </c>
      <c r="E2114">
        <f>IF(LEFT(D2114,6)="CLIENT",IFERROR(VLOOKUP(C2114,Config_Carteiras!$A:$B,2,FALSE),1),"")</f>
        <v>1</v>
      </c>
      <c r="F2114" s="25">
        <v>3144.15</v>
      </c>
      <c r="G2114" s="28">
        <f>IF(LEFT(D2114,6)="CLIENT",IF(E2114=0,WORKDAY(A2114-1,1,Dias_Sem_Compensacao!$A$2:$A$500),WORKDAY(A2114,E2114,Dias_Sem_Compensacao!$A$2:$A$500)),"")</f>
        <v>46310</v>
      </c>
      <c r="H2114" s="25">
        <v>0</v>
      </c>
      <c r="I2114" s="28">
        <v>46309</v>
      </c>
      <c r="J2114" t="s">
        <v>1361</v>
      </c>
      <c r="K2114" t="s">
        <v>1362</v>
      </c>
    </row>
    <row r="2115" spans="1:11" hidden="1">
      <c r="A2115" s="28">
        <v>46309</v>
      </c>
      <c r="B2115" t="s">
        <v>186</v>
      </c>
      <c r="C2115" t="s">
        <v>203</v>
      </c>
      <c r="D2115" t="s">
        <v>217</v>
      </c>
      <c r="E2115">
        <f>IF(LEFT(D2115,6)="CLIENT",IFERROR(VLOOKUP(C2115,Config_Carteiras!$A:$B,2,FALSE),1),"")</f>
        <v>1</v>
      </c>
      <c r="F2115" s="25">
        <v>314.5</v>
      </c>
      <c r="G2115" s="28">
        <f>IF(LEFT(D2115,6)="CLIENT",IF(E2115=0,WORKDAY(A2115-1,1,Dias_Sem_Compensacao!$A$2:$A$500),WORKDAY(A2115,E2115,Dias_Sem_Compensacao!$A$2:$A$500)),"")</f>
        <v>46310</v>
      </c>
      <c r="H2115" s="25">
        <v>0</v>
      </c>
      <c r="I2115" s="28">
        <v>46309</v>
      </c>
      <c r="J2115" t="s">
        <v>2071</v>
      </c>
      <c r="K2115" t="s">
        <v>2072</v>
      </c>
    </row>
    <row r="2116" spans="1:11" hidden="1">
      <c r="A2116" s="28">
        <v>46309</v>
      </c>
      <c r="B2116" t="s">
        <v>186</v>
      </c>
      <c r="C2116" t="s">
        <v>203</v>
      </c>
      <c r="D2116" t="s">
        <v>217</v>
      </c>
      <c r="E2116">
        <f>IF(LEFT(D2116,6)="CLIENT",IFERROR(VLOOKUP(C2116,Config_Carteiras!$A:$B,2,FALSE),1),"")</f>
        <v>1</v>
      </c>
      <c r="F2116" s="25">
        <v>495</v>
      </c>
      <c r="G2116" s="28">
        <f>IF(LEFT(D2116,6)="CLIENT",IF(E2116=0,WORKDAY(A2116-1,1,Dias_Sem_Compensacao!$A$2:$A$500),WORKDAY(A2116,E2116,Dias_Sem_Compensacao!$A$2:$A$500)),"")</f>
        <v>46310</v>
      </c>
      <c r="H2116" s="25">
        <v>0</v>
      </c>
      <c r="I2116" s="28">
        <v>46309</v>
      </c>
      <c r="J2116" t="s">
        <v>2073</v>
      </c>
      <c r="K2116" t="s">
        <v>2074</v>
      </c>
    </row>
    <row r="2117" spans="1:11" hidden="1">
      <c r="A2117" s="28">
        <v>46309</v>
      </c>
      <c r="B2117" t="s">
        <v>186</v>
      </c>
      <c r="C2117" t="s">
        <v>203</v>
      </c>
      <c r="D2117" t="s">
        <v>217</v>
      </c>
      <c r="E2117">
        <f>IF(LEFT(D2117,6)="CLIENT",IFERROR(VLOOKUP(C2117,Config_Carteiras!$A:$B,2,FALSE),1),"")</f>
        <v>1</v>
      </c>
      <c r="F2117" s="25">
        <v>1343</v>
      </c>
      <c r="G2117" s="28">
        <f>IF(LEFT(D2117,6)="CLIENT",IF(E2117=0,WORKDAY(A2117-1,1,Dias_Sem_Compensacao!$A$2:$A$500),WORKDAY(A2117,E2117,Dias_Sem_Compensacao!$A$2:$A$500)),"")</f>
        <v>46310</v>
      </c>
      <c r="H2117" s="25">
        <v>0</v>
      </c>
      <c r="I2117" s="28">
        <v>46309</v>
      </c>
      <c r="J2117" t="s">
        <v>2602</v>
      </c>
      <c r="K2117" t="s">
        <v>2603</v>
      </c>
    </row>
    <row r="2118" spans="1:11" hidden="1">
      <c r="A2118" s="28">
        <v>46309</v>
      </c>
      <c r="B2118" t="s">
        <v>186</v>
      </c>
      <c r="C2118" t="s">
        <v>203</v>
      </c>
      <c r="D2118" t="s">
        <v>217</v>
      </c>
      <c r="E2118">
        <f>IF(LEFT(D2118,6)="CLIENT",IFERROR(VLOOKUP(C2118,Config_Carteiras!$A:$B,2,FALSE),1),"")</f>
        <v>1</v>
      </c>
      <c r="F2118" s="25">
        <v>485.51</v>
      </c>
      <c r="G2118" s="28">
        <f>IF(LEFT(D2118,6)="CLIENT",IF(E2118=0,WORKDAY(A2118-1,1,Dias_Sem_Compensacao!$A$2:$A$500),WORKDAY(A2118,E2118,Dias_Sem_Compensacao!$A$2:$A$500)),"")</f>
        <v>46310</v>
      </c>
      <c r="H2118" s="25">
        <v>0</v>
      </c>
      <c r="I2118" s="28">
        <v>46309</v>
      </c>
      <c r="J2118" t="s">
        <v>2075</v>
      </c>
      <c r="K2118" t="s">
        <v>2076</v>
      </c>
    </row>
    <row r="2119" spans="1:11" hidden="1">
      <c r="A2119" s="28">
        <v>46309</v>
      </c>
      <c r="B2119" t="s">
        <v>186</v>
      </c>
      <c r="C2119" t="s">
        <v>203</v>
      </c>
      <c r="D2119" t="s">
        <v>217</v>
      </c>
      <c r="E2119">
        <f>IF(LEFT(D2119,6)="CLIENT",IFERROR(VLOOKUP(C2119,Config_Carteiras!$A:$B,2,FALSE),1),"")</f>
        <v>1</v>
      </c>
      <c r="F2119" s="25">
        <v>1096</v>
      </c>
      <c r="G2119" s="28">
        <f>IF(LEFT(D2119,6)="CLIENT",IF(E2119=0,WORKDAY(A2119-1,1,Dias_Sem_Compensacao!$A$2:$A$500),WORKDAY(A2119,E2119,Dias_Sem_Compensacao!$A$2:$A$500)),"")</f>
        <v>46310</v>
      </c>
      <c r="H2119" s="25">
        <v>0</v>
      </c>
      <c r="I2119" s="28">
        <v>46309</v>
      </c>
      <c r="J2119" t="s">
        <v>2604</v>
      </c>
      <c r="K2119" t="s">
        <v>2605</v>
      </c>
    </row>
    <row r="2120" spans="1:11" hidden="1">
      <c r="A2120" s="28">
        <v>46309</v>
      </c>
      <c r="B2120" t="s">
        <v>186</v>
      </c>
      <c r="C2120" t="s">
        <v>203</v>
      </c>
      <c r="D2120" t="s">
        <v>217</v>
      </c>
      <c r="E2120">
        <f>IF(LEFT(D2120,6)="CLIENT",IFERROR(VLOOKUP(C2120,Config_Carteiras!$A:$B,2,FALSE),1),"")</f>
        <v>1</v>
      </c>
      <c r="F2120" s="25">
        <v>1238</v>
      </c>
      <c r="G2120" s="28">
        <f>IF(LEFT(D2120,6)="CLIENT",IF(E2120=0,WORKDAY(A2120-1,1,Dias_Sem_Compensacao!$A$2:$A$500),WORKDAY(A2120,E2120,Dias_Sem_Compensacao!$A$2:$A$500)),"")</f>
        <v>46310</v>
      </c>
      <c r="H2120" s="25">
        <v>0</v>
      </c>
      <c r="I2120" s="28">
        <v>46309</v>
      </c>
      <c r="J2120" t="s">
        <v>2606</v>
      </c>
      <c r="K2120" t="s">
        <v>2607</v>
      </c>
    </row>
    <row r="2121" spans="1:11" hidden="1">
      <c r="A2121" s="28">
        <v>46309</v>
      </c>
      <c r="B2121" t="s">
        <v>186</v>
      </c>
      <c r="C2121" t="s">
        <v>203</v>
      </c>
      <c r="D2121" t="s">
        <v>217</v>
      </c>
      <c r="E2121">
        <f>IF(LEFT(D2121,6)="CLIENT",IFERROR(VLOOKUP(C2121,Config_Carteiras!$A:$B,2,FALSE),1),"")</f>
        <v>1</v>
      </c>
      <c r="F2121" s="25">
        <v>2859</v>
      </c>
      <c r="G2121" s="28">
        <f>IF(LEFT(D2121,6)="CLIENT",IF(E2121=0,WORKDAY(A2121-1,1,Dias_Sem_Compensacao!$A$2:$A$500),WORKDAY(A2121,E2121,Dias_Sem_Compensacao!$A$2:$A$500)),"")</f>
        <v>46310</v>
      </c>
      <c r="H2121" s="25">
        <v>0</v>
      </c>
      <c r="I2121" s="28">
        <v>46309</v>
      </c>
      <c r="J2121" t="s">
        <v>2608</v>
      </c>
      <c r="K2121" t="s">
        <v>2609</v>
      </c>
    </row>
    <row r="2122" spans="1:11" hidden="1">
      <c r="A2122" s="28">
        <v>46309</v>
      </c>
      <c r="B2122" t="s">
        <v>186</v>
      </c>
      <c r="C2122" t="s">
        <v>203</v>
      </c>
      <c r="D2122" t="s">
        <v>217</v>
      </c>
      <c r="E2122">
        <f>IF(LEFT(D2122,6)="CLIENT",IFERROR(VLOOKUP(C2122,Config_Carteiras!$A:$B,2,FALSE),1),"")</f>
        <v>1</v>
      </c>
      <c r="F2122" s="25">
        <v>2456.66</v>
      </c>
      <c r="G2122" s="28">
        <f>IF(LEFT(D2122,6)="CLIENT",IF(E2122=0,WORKDAY(A2122-1,1,Dias_Sem_Compensacao!$A$2:$A$500),WORKDAY(A2122,E2122,Dias_Sem_Compensacao!$A$2:$A$500)),"")</f>
        <v>46310</v>
      </c>
      <c r="H2122" s="25">
        <v>0</v>
      </c>
      <c r="I2122" s="28">
        <v>46309</v>
      </c>
      <c r="J2122" t="s">
        <v>1365</v>
      </c>
      <c r="K2122" t="s">
        <v>2610</v>
      </c>
    </row>
    <row r="2123" spans="1:11" hidden="1">
      <c r="A2123" s="28">
        <v>46309</v>
      </c>
      <c r="B2123" t="s">
        <v>186</v>
      </c>
      <c r="C2123" t="s">
        <v>203</v>
      </c>
      <c r="D2123" t="s">
        <v>217</v>
      </c>
      <c r="E2123">
        <f>IF(LEFT(D2123,6)="CLIENT",IFERROR(VLOOKUP(C2123,Config_Carteiras!$A:$B,2,FALSE),1),"")</f>
        <v>1</v>
      </c>
      <c r="F2123" s="25">
        <v>1175.68</v>
      </c>
      <c r="G2123" s="28">
        <f>IF(LEFT(D2123,6)="CLIENT",IF(E2123=0,WORKDAY(A2123-1,1,Dias_Sem_Compensacao!$A$2:$A$500),WORKDAY(A2123,E2123,Dias_Sem_Compensacao!$A$2:$A$500)),"")</f>
        <v>46310</v>
      </c>
      <c r="H2123" s="25">
        <v>0</v>
      </c>
      <c r="I2123" s="28">
        <v>46309</v>
      </c>
      <c r="J2123" t="s">
        <v>2611</v>
      </c>
      <c r="K2123" t="s">
        <v>2612</v>
      </c>
    </row>
    <row r="2124" spans="1:11" hidden="1">
      <c r="A2124" s="28">
        <v>46309</v>
      </c>
      <c r="B2124" t="s">
        <v>186</v>
      </c>
      <c r="C2124" t="s">
        <v>203</v>
      </c>
      <c r="D2124" t="s">
        <v>217</v>
      </c>
      <c r="E2124">
        <f>IF(LEFT(D2124,6)="CLIENT",IFERROR(VLOOKUP(C2124,Config_Carteiras!$A:$B,2,FALSE),1),"")</f>
        <v>1</v>
      </c>
      <c r="F2124" s="25">
        <v>1999</v>
      </c>
      <c r="G2124" s="28">
        <f>IF(LEFT(D2124,6)="CLIENT",IF(E2124=0,WORKDAY(A2124-1,1,Dias_Sem_Compensacao!$A$2:$A$500),WORKDAY(A2124,E2124,Dias_Sem_Compensacao!$A$2:$A$500)),"")</f>
        <v>46310</v>
      </c>
      <c r="H2124" s="25">
        <v>0</v>
      </c>
      <c r="I2124" s="28">
        <v>46309</v>
      </c>
      <c r="J2124" t="s">
        <v>2081</v>
      </c>
      <c r="K2124" t="s">
        <v>2082</v>
      </c>
    </row>
    <row r="2125" spans="1:11" hidden="1">
      <c r="A2125" s="28">
        <v>46309</v>
      </c>
      <c r="B2125" t="s">
        <v>186</v>
      </c>
      <c r="C2125" t="s">
        <v>203</v>
      </c>
      <c r="D2125" t="s">
        <v>217</v>
      </c>
      <c r="E2125">
        <f>IF(LEFT(D2125,6)="CLIENT",IFERROR(VLOOKUP(C2125,Config_Carteiras!$A:$B,2,FALSE),1),"")</f>
        <v>1</v>
      </c>
      <c r="F2125" s="25">
        <v>3945</v>
      </c>
      <c r="G2125" s="28">
        <f>IF(LEFT(D2125,6)="CLIENT",IF(E2125=0,WORKDAY(A2125-1,1,Dias_Sem_Compensacao!$A$2:$A$500),WORKDAY(A2125,E2125,Dias_Sem_Compensacao!$A$2:$A$500)),"")</f>
        <v>46310</v>
      </c>
      <c r="H2125" s="25">
        <v>0</v>
      </c>
      <c r="I2125" s="28">
        <v>46309</v>
      </c>
      <c r="J2125" t="s">
        <v>1016</v>
      </c>
      <c r="K2125" t="s">
        <v>2613</v>
      </c>
    </row>
    <row r="2126" spans="1:11" hidden="1">
      <c r="A2126" s="28">
        <v>46309</v>
      </c>
      <c r="B2126" t="s">
        <v>186</v>
      </c>
      <c r="C2126" t="s">
        <v>203</v>
      </c>
      <c r="D2126" t="s">
        <v>217</v>
      </c>
      <c r="E2126">
        <f>IF(LEFT(D2126,6)="CLIENT",IFERROR(VLOOKUP(C2126,Config_Carteiras!$A:$B,2,FALSE),1),"")</f>
        <v>1</v>
      </c>
      <c r="F2126" s="25">
        <v>551</v>
      </c>
      <c r="G2126" s="28">
        <f>IF(LEFT(D2126,6)="CLIENT",IF(E2126=0,WORKDAY(A2126-1,1,Dias_Sem_Compensacao!$A$2:$A$500),WORKDAY(A2126,E2126,Dias_Sem_Compensacao!$A$2:$A$500)),"")</f>
        <v>46310</v>
      </c>
      <c r="H2126" s="25">
        <v>0</v>
      </c>
      <c r="I2126" s="28">
        <v>46309</v>
      </c>
      <c r="J2126" t="s">
        <v>2614</v>
      </c>
      <c r="K2126" t="s">
        <v>2615</v>
      </c>
    </row>
    <row r="2127" spans="1:11" hidden="1">
      <c r="A2127" s="28">
        <v>46309</v>
      </c>
      <c r="B2127" t="s">
        <v>186</v>
      </c>
      <c r="C2127" t="s">
        <v>203</v>
      </c>
      <c r="D2127" t="s">
        <v>217</v>
      </c>
      <c r="E2127">
        <f>IF(LEFT(D2127,6)="CLIENT",IFERROR(VLOOKUP(C2127,Config_Carteiras!$A:$B,2,FALSE),1),"")</f>
        <v>1</v>
      </c>
      <c r="F2127" s="25">
        <v>1036</v>
      </c>
      <c r="G2127" s="28">
        <f>IF(LEFT(D2127,6)="CLIENT",IF(E2127=0,WORKDAY(A2127-1,1,Dias_Sem_Compensacao!$A$2:$A$500),WORKDAY(A2127,E2127,Dias_Sem_Compensacao!$A$2:$A$500)),"")</f>
        <v>46310</v>
      </c>
      <c r="H2127" s="25">
        <v>0</v>
      </c>
      <c r="I2127" s="28">
        <v>46309</v>
      </c>
      <c r="J2127" t="s">
        <v>2616</v>
      </c>
      <c r="K2127" t="s">
        <v>2617</v>
      </c>
    </row>
    <row r="2128" spans="1:11" hidden="1">
      <c r="A2128" s="28">
        <v>46309</v>
      </c>
      <c r="B2128" t="s">
        <v>186</v>
      </c>
      <c r="C2128" t="s">
        <v>203</v>
      </c>
      <c r="D2128" t="s">
        <v>217</v>
      </c>
      <c r="E2128">
        <f>IF(LEFT(D2128,6)="CLIENT",IFERROR(VLOOKUP(C2128,Config_Carteiras!$A:$B,2,FALSE),1),"")</f>
        <v>1</v>
      </c>
      <c r="F2128" s="25">
        <v>1800.9</v>
      </c>
      <c r="G2128" s="28">
        <f>IF(LEFT(D2128,6)="CLIENT",IF(E2128=0,WORKDAY(A2128-1,1,Dias_Sem_Compensacao!$A$2:$A$500),WORKDAY(A2128,E2128,Dias_Sem_Compensacao!$A$2:$A$500)),"")</f>
        <v>46310</v>
      </c>
      <c r="H2128" s="25">
        <v>0</v>
      </c>
      <c r="I2128" s="28">
        <v>46309</v>
      </c>
      <c r="J2128" t="s">
        <v>2618</v>
      </c>
      <c r="K2128" t="s">
        <v>2619</v>
      </c>
    </row>
    <row r="2129" spans="1:11" hidden="1">
      <c r="A2129" s="28">
        <v>46309</v>
      </c>
      <c r="B2129" t="s">
        <v>186</v>
      </c>
      <c r="C2129" t="s">
        <v>203</v>
      </c>
      <c r="D2129" t="s">
        <v>217</v>
      </c>
      <c r="E2129">
        <f>IF(LEFT(D2129,6)="CLIENT",IFERROR(VLOOKUP(C2129,Config_Carteiras!$A:$B,2,FALSE),1),"")</f>
        <v>1</v>
      </c>
      <c r="F2129" s="25">
        <v>780</v>
      </c>
      <c r="G2129" s="28">
        <f>IF(LEFT(D2129,6)="CLIENT",IF(E2129=0,WORKDAY(A2129-1,1,Dias_Sem_Compensacao!$A$2:$A$500),WORKDAY(A2129,E2129,Dias_Sem_Compensacao!$A$2:$A$500)),"")</f>
        <v>46310</v>
      </c>
      <c r="H2129" s="25">
        <v>0</v>
      </c>
      <c r="I2129" s="28">
        <v>46309</v>
      </c>
      <c r="J2129" t="s">
        <v>2620</v>
      </c>
      <c r="K2129" t="s">
        <v>2621</v>
      </c>
    </row>
    <row r="2130" spans="1:11" hidden="1">
      <c r="A2130" s="28">
        <v>46309</v>
      </c>
      <c r="B2130" t="s">
        <v>186</v>
      </c>
      <c r="C2130" t="s">
        <v>203</v>
      </c>
      <c r="D2130" t="s">
        <v>217</v>
      </c>
      <c r="E2130">
        <f>IF(LEFT(D2130,6)="CLIENT",IFERROR(VLOOKUP(C2130,Config_Carteiras!$A:$B,2,FALSE),1),"")</f>
        <v>1</v>
      </c>
      <c r="F2130" s="25">
        <v>1007</v>
      </c>
      <c r="G2130" s="28">
        <f>IF(LEFT(D2130,6)="CLIENT",IF(E2130=0,WORKDAY(A2130-1,1,Dias_Sem_Compensacao!$A$2:$A$500),WORKDAY(A2130,E2130,Dias_Sem_Compensacao!$A$2:$A$500)),"")</f>
        <v>46310</v>
      </c>
      <c r="H2130" s="25">
        <v>0</v>
      </c>
      <c r="I2130" s="28">
        <v>46309</v>
      </c>
      <c r="J2130" t="s">
        <v>2089</v>
      </c>
      <c r="K2130" t="s">
        <v>2090</v>
      </c>
    </row>
    <row r="2131" spans="1:11" hidden="1">
      <c r="A2131" s="28">
        <v>46309</v>
      </c>
      <c r="B2131" t="s">
        <v>186</v>
      </c>
      <c r="C2131" t="s">
        <v>203</v>
      </c>
      <c r="D2131" t="s">
        <v>217</v>
      </c>
      <c r="E2131">
        <f>IF(LEFT(D2131,6)="CLIENT",IFERROR(VLOOKUP(C2131,Config_Carteiras!$A:$B,2,FALSE),1),"")</f>
        <v>1</v>
      </c>
      <c r="F2131" s="25">
        <v>3199</v>
      </c>
      <c r="G2131" s="28">
        <f>IF(LEFT(D2131,6)="CLIENT",IF(E2131=0,WORKDAY(A2131-1,1,Dias_Sem_Compensacao!$A$2:$A$500),WORKDAY(A2131,E2131,Dias_Sem_Compensacao!$A$2:$A$500)),"")</f>
        <v>46310</v>
      </c>
      <c r="H2131" s="25">
        <v>0</v>
      </c>
      <c r="I2131" s="28">
        <v>46309</v>
      </c>
      <c r="J2131" t="s">
        <v>2091</v>
      </c>
      <c r="K2131" t="s">
        <v>2092</v>
      </c>
    </row>
    <row r="2132" spans="1:11" hidden="1">
      <c r="A2132" s="28">
        <v>46309</v>
      </c>
      <c r="B2132" t="s">
        <v>186</v>
      </c>
      <c r="C2132" t="s">
        <v>203</v>
      </c>
      <c r="D2132" t="s">
        <v>217</v>
      </c>
      <c r="E2132">
        <f>IF(LEFT(D2132,6)="CLIENT",IFERROR(VLOOKUP(C2132,Config_Carteiras!$A:$B,2,FALSE),1),"")</f>
        <v>1</v>
      </c>
      <c r="F2132" s="25">
        <v>419</v>
      </c>
      <c r="G2132" s="28">
        <f>IF(LEFT(D2132,6)="CLIENT",IF(E2132=0,WORKDAY(A2132-1,1,Dias_Sem_Compensacao!$A$2:$A$500),WORKDAY(A2132,E2132,Dias_Sem_Compensacao!$A$2:$A$500)),"")</f>
        <v>46310</v>
      </c>
      <c r="H2132" s="25">
        <v>0</v>
      </c>
      <c r="I2132" s="28">
        <v>46309</v>
      </c>
      <c r="K2132" t="s">
        <v>2622</v>
      </c>
    </row>
    <row r="2133" spans="1:11" hidden="1">
      <c r="A2133" s="28">
        <v>46309</v>
      </c>
      <c r="B2133" t="s">
        <v>186</v>
      </c>
      <c r="C2133" t="s">
        <v>203</v>
      </c>
      <c r="D2133" t="s">
        <v>217</v>
      </c>
      <c r="E2133">
        <f>IF(LEFT(D2133,6)="CLIENT",IFERROR(VLOOKUP(C2133,Config_Carteiras!$A:$B,2,FALSE),1),"")</f>
        <v>1</v>
      </c>
      <c r="F2133" s="25">
        <v>857.49</v>
      </c>
      <c r="G2133" s="28">
        <f>IF(LEFT(D2133,6)="CLIENT",IF(E2133=0,WORKDAY(A2133-1,1,Dias_Sem_Compensacao!$A$2:$A$500),WORKDAY(A2133,E2133,Dias_Sem_Compensacao!$A$2:$A$500)),"")</f>
        <v>46310</v>
      </c>
      <c r="H2133" s="25">
        <v>0</v>
      </c>
      <c r="I2133" s="28">
        <v>46309</v>
      </c>
      <c r="J2133" t="s">
        <v>2623</v>
      </c>
      <c r="K2133" t="s">
        <v>2624</v>
      </c>
    </row>
    <row r="2134" spans="1:11" hidden="1">
      <c r="A2134" s="28">
        <v>46309</v>
      </c>
      <c r="B2134" t="s">
        <v>186</v>
      </c>
      <c r="C2134" t="s">
        <v>203</v>
      </c>
      <c r="D2134" t="s">
        <v>217</v>
      </c>
      <c r="E2134">
        <f>IF(LEFT(D2134,6)="CLIENT",IFERROR(VLOOKUP(C2134,Config_Carteiras!$A:$B,2,FALSE),1),"")</f>
        <v>1</v>
      </c>
      <c r="F2134" s="25">
        <v>1042.01</v>
      </c>
      <c r="G2134" s="28">
        <f>IF(LEFT(D2134,6)="CLIENT",IF(E2134=0,WORKDAY(A2134-1,1,Dias_Sem_Compensacao!$A$2:$A$500),WORKDAY(A2134,E2134,Dias_Sem_Compensacao!$A$2:$A$500)),"")</f>
        <v>46310</v>
      </c>
      <c r="H2134" s="25">
        <v>0</v>
      </c>
      <c r="I2134" s="28">
        <v>46309</v>
      </c>
      <c r="J2134" t="s">
        <v>1373</v>
      </c>
      <c r="K2134" t="s">
        <v>1374</v>
      </c>
    </row>
    <row r="2135" spans="1:11" hidden="1">
      <c r="A2135" s="28">
        <v>46309</v>
      </c>
      <c r="B2135" t="s">
        <v>186</v>
      </c>
      <c r="C2135" t="s">
        <v>203</v>
      </c>
      <c r="D2135" t="s">
        <v>217</v>
      </c>
      <c r="E2135">
        <f>IF(LEFT(D2135,6)="CLIENT",IFERROR(VLOOKUP(C2135,Config_Carteiras!$A:$B,2,FALSE),1),"")</f>
        <v>1</v>
      </c>
      <c r="F2135" s="25">
        <v>2722.25</v>
      </c>
      <c r="G2135" s="28">
        <f>IF(LEFT(D2135,6)="CLIENT",IF(E2135=0,WORKDAY(A2135-1,1,Dias_Sem_Compensacao!$A$2:$A$500),WORKDAY(A2135,E2135,Dias_Sem_Compensacao!$A$2:$A$500)),"")</f>
        <v>46310</v>
      </c>
      <c r="H2135" s="25">
        <v>0</v>
      </c>
      <c r="I2135" s="28">
        <v>46309</v>
      </c>
      <c r="J2135" t="s">
        <v>1375</v>
      </c>
      <c r="K2135" t="s">
        <v>2093</v>
      </c>
    </row>
    <row r="2136" spans="1:11" hidden="1">
      <c r="A2136" s="28">
        <v>46309</v>
      </c>
      <c r="B2136" t="s">
        <v>186</v>
      </c>
      <c r="C2136" t="s">
        <v>203</v>
      </c>
      <c r="D2136" t="s">
        <v>217</v>
      </c>
      <c r="E2136">
        <f>IF(LEFT(D2136,6)="CLIENT",IFERROR(VLOOKUP(C2136,Config_Carteiras!$A:$B,2,FALSE),1),"")</f>
        <v>1</v>
      </c>
      <c r="F2136" s="25">
        <v>1701.59</v>
      </c>
      <c r="G2136" s="28">
        <f>IF(LEFT(D2136,6)="CLIENT",IF(E2136=0,WORKDAY(A2136-1,1,Dias_Sem_Compensacao!$A$2:$A$500),WORKDAY(A2136,E2136,Dias_Sem_Compensacao!$A$2:$A$500)),"")</f>
        <v>46310</v>
      </c>
      <c r="H2136" s="25">
        <v>0</v>
      </c>
      <c r="I2136" s="28">
        <v>46309</v>
      </c>
      <c r="K2136" t="s">
        <v>1376</v>
      </c>
    </row>
    <row r="2137" spans="1:11" hidden="1">
      <c r="A2137" s="28">
        <v>46309</v>
      </c>
      <c r="B2137" t="s">
        <v>186</v>
      </c>
      <c r="C2137" t="s">
        <v>203</v>
      </c>
      <c r="D2137" t="s">
        <v>217</v>
      </c>
      <c r="E2137">
        <f>IF(LEFT(D2137,6)="CLIENT",IFERROR(VLOOKUP(C2137,Config_Carteiras!$A:$B,2,FALSE),1),"")</f>
        <v>1</v>
      </c>
      <c r="F2137" s="25">
        <v>509.03</v>
      </c>
      <c r="G2137" s="28">
        <f>IF(LEFT(D2137,6)="CLIENT",IF(E2137=0,WORKDAY(A2137-1,1,Dias_Sem_Compensacao!$A$2:$A$500),WORKDAY(A2137,E2137,Dias_Sem_Compensacao!$A$2:$A$500)),"")</f>
        <v>46310</v>
      </c>
      <c r="H2137" s="25">
        <v>0</v>
      </c>
      <c r="I2137" s="28">
        <v>46309</v>
      </c>
      <c r="J2137" t="s">
        <v>2625</v>
      </c>
      <c r="K2137" t="s">
        <v>2626</v>
      </c>
    </row>
    <row r="2138" spans="1:11" hidden="1">
      <c r="A2138" s="28">
        <v>46309</v>
      </c>
      <c r="B2138" t="s">
        <v>186</v>
      </c>
      <c r="C2138" t="s">
        <v>203</v>
      </c>
      <c r="D2138" t="s">
        <v>217</v>
      </c>
      <c r="E2138">
        <f>IF(LEFT(D2138,6)="CLIENT",IFERROR(VLOOKUP(C2138,Config_Carteiras!$A:$B,2,FALSE),1),"")</f>
        <v>1</v>
      </c>
      <c r="F2138" s="25">
        <v>899</v>
      </c>
      <c r="G2138" s="28">
        <f>IF(LEFT(D2138,6)="CLIENT",IF(E2138=0,WORKDAY(A2138-1,1,Dias_Sem_Compensacao!$A$2:$A$500),WORKDAY(A2138,E2138,Dias_Sem_Compensacao!$A$2:$A$500)),"")</f>
        <v>46310</v>
      </c>
      <c r="H2138" s="25">
        <v>0</v>
      </c>
      <c r="I2138" s="28">
        <v>46309</v>
      </c>
      <c r="J2138" t="s">
        <v>2627</v>
      </c>
      <c r="K2138" t="s">
        <v>2628</v>
      </c>
    </row>
    <row r="2139" spans="1:11" hidden="1">
      <c r="A2139" s="28">
        <v>46309</v>
      </c>
      <c r="B2139" t="s">
        <v>186</v>
      </c>
      <c r="C2139" t="s">
        <v>203</v>
      </c>
      <c r="D2139" t="s">
        <v>217</v>
      </c>
      <c r="E2139">
        <f>IF(LEFT(D2139,6)="CLIENT",IFERROR(VLOOKUP(C2139,Config_Carteiras!$A:$B,2,FALSE),1),"")</f>
        <v>1</v>
      </c>
      <c r="F2139" s="25">
        <v>1977</v>
      </c>
      <c r="G2139" s="28">
        <f>IF(LEFT(D2139,6)="CLIENT",IF(E2139=0,WORKDAY(A2139-1,1,Dias_Sem_Compensacao!$A$2:$A$500),WORKDAY(A2139,E2139,Dias_Sem_Compensacao!$A$2:$A$500)),"")</f>
        <v>46310</v>
      </c>
      <c r="H2139" s="25">
        <v>0</v>
      </c>
      <c r="I2139" s="28">
        <v>46309</v>
      </c>
      <c r="J2139" t="s">
        <v>316</v>
      </c>
      <c r="K2139" t="s">
        <v>2629</v>
      </c>
    </row>
    <row r="2140" spans="1:11" hidden="1">
      <c r="A2140" s="28">
        <v>46309</v>
      </c>
      <c r="B2140" t="s">
        <v>186</v>
      </c>
      <c r="C2140" t="s">
        <v>203</v>
      </c>
      <c r="D2140" t="s">
        <v>217</v>
      </c>
      <c r="E2140">
        <f>IF(LEFT(D2140,6)="CLIENT",IFERROR(VLOOKUP(C2140,Config_Carteiras!$A:$B,2,FALSE),1),"")</f>
        <v>1</v>
      </c>
      <c r="F2140" s="25">
        <v>1202.33</v>
      </c>
      <c r="G2140" s="28">
        <f>IF(LEFT(D2140,6)="CLIENT",IF(E2140=0,WORKDAY(A2140-1,1,Dias_Sem_Compensacao!$A$2:$A$500),WORKDAY(A2140,E2140,Dias_Sem_Compensacao!$A$2:$A$500)),"")</f>
        <v>46310</v>
      </c>
      <c r="H2140" s="25">
        <v>0</v>
      </c>
      <c r="I2140" s="28">
        <v>46309</v>
      </c>
      <c r="J2140" t="s">
        <v>1380</v>
      </c>
      <c r="K2140" t="s">
        <v>1381</v>
      </c>
    </row>
    <row r="2141" spans="1:11" hidden="1">
      <c r="A2141" s="28">
        <v>46309</v>
      </c>
      <c r="B2141" t="s">
        <v>186</v>
      </c>
      <c r="C2141" t="s">
        <v>203</v>
      </c>
      <c r="D2141" t="s">
        <v>217</v>
      </c>
      <c r="E2141">
        <f>IF(LEFT(D2141,6)="CLIENT",IFERROR(VLOOKUP(C2141,Config_Carteiras!$A:$B,2,FALSE),1),"")</f>
        <v>1</v>
      </c>
      <c r="F2141" s="25">
        <v>1006.5</v>
      </c>
      <c r="G2141" s="28">
        <f>IF(LEFT(D2141,6)="CLIENT",IF(E2141=0,WORKDAY(A2141-1,1,Dias_Sem_Compensacao!$A$2:$A$500),WORKDAY(A2141,E2141,Dias_Sem_Compensacao!$A$2:$A$500)),"")</f>
        <v>46310</v>
      </c>
      <c r="H2141" s="25">
        <v>0</v>
      </c>
      <c r="I2141" s="28">
        <v>46309</v>
      </c>
      <c r="J2141" t="s">
        <v>2094</v>
      </c>
      <c r="K2141" t="s">
        <v>2630</v>
      </c>
    </row>
    <row r="2142" spans="1:11" hidden="1">
      <c r="A2142" s="28">
        <v>46309</v>
      </c>
      <c r="B2142" t="s">
        <v>186</v>
      </c>
      <c r="C2142" t="s">
        <v>203</v>
      </c>
      <c r="D2142" t="s">
        <v>217</v>
      </c>
      <c r="E2142">
        <f>IF(LEFT(D2142,6)="CLIENT",IFERROR(VLOOKUP(C2142,Config_Carteiras!$A:$B,2,FALSE),1),"")</f>
        <v>1</v>
      </c>
      <c r="F2142" s="25">
        <v>1447</v>
      </c>
      <c r="G2142" s="28">
        <f>IF(LEFT(D2142,6)="CLIENT",IF(E2142=0,WORKDAY(A2142-1,1,Dias_Sem_Compensacao!$A$2:$A$500),WORKDAY(A2142,E2142,Dias_Sem_Compensacao!$A$2:$A$500)),"")</f>
        <v>46310</v>
      </c>
      <c r="H2142" s="25">
        <v>0</v>
      </c>
      <c r="I2142" s="28">
        <v>46309</v>
      </c>
      <c r="J2142" t="s">
        <v>2096</v>
      </c>
      <c r="K2142" t="s">
        <v>2097</v>
      </c>
    </row>
    <row r="2143" spans="1:11" hidden="1">
      <c r="A2143" s="28">
        <v>46309</v>
      </c>
      <c r="B2143" t="s">
        <v>186</v>
      </c>
      <c r="C2143" t="s">
        <v>203</v>
      </c>
      <c r="D2143" t="s">
        <v>217</v>
      </c>
      <c r="E2143">
        <f>IF(LEFT(D2143,6)="CLIENT",IFERROR(VLOOKUP(C2143,Config_Carteiras!$A:$B,2,FALSE),1),"")</f>
        <v>1</v>
      </c>
      <c r="F2143" s="25">
        <v>19810</v>
      </c>
      <c r="G2143" s="28">
        <f>IF(LEFT(D2143,6)="CLIENT",IF(E2143=0,WORKDAY(A2143-1,1,Dias_Sem_Compensacao!$A$2:$A$500),WORKDAY(A2143,E2143,Dias_Sem_Compensacao!$A$2:$A$500)),"")</f>
        <v>46310</v>
      </c>
      <c r="H2143" s="25">
        <v>0</v>
      </c>
      <c r="I2143" s="28">
        <v>46309</v>
      </c>
      <c r="J2143" t="s">
        <v>904</v>
      </c>
      <c r="K2143" t="s">
        <v>2631</v>
      </c>
    </row>
    <row r="2144" spans="1:11" hidden="1">
      <c r="A2144" s="28">
        <v>46309</v>
      </c>
      <c r="B2144" t="s">
        <v>186</v>
      </c>
      <c r="C2144" t="s">
        <v>203</v>
      </c>
      <c r="D2144" t="s">
        <v>217</v>
      </c>
      <c r="E2144">
        <f>IF(LEFT(D2144,6)="CLIENT",IFERROR(VLOOKUP(C2144,Config_Carteiras!$A:$B,2,FALSE),1),"")</f>
        <v>1</v>
      </c>
      <c r="F2144" s="25">
        <v>1034</v>
      </c>
      <c r="G2144" s="28">
        <f>IF(LEFT(D2144,6)="CLIENT",IF(E2144=0,WORKDAY(A2144-1,1,Dias_Sem_Compensacao!$A$2:$A$500),WORKDAY(A2144,E2144,Dias_Sem_Compensacao!$A$2:$A$500)),"")</f>
        <v>46310</v>
      </c>
      <c r="H2144" s="25">
        <v>0</v>
      </c>
      <c r="I2144" s="28">
        <v>46309</v>
      </c>
      <c r="J2144" t="s">
        <v>1382</v>
      </c>
      <c r="K2144" t="s">
        <v>1383</v>
      </c>
    </row>
    <row r="2145" spans="1:11" hidden="1">
      <c r="A2145" s="28">
        <v>46309</v>
      </c>
      <c r="B2145" t="s">
        <v>186</v>
      </c>
      <c r="C2145" t="s">
        <v>203</v>
      </c>
      <c r="D2145" t="s">
        <v>217</v>
      </c>
      <c r="E2145">
        <f>IF(LEFT(D2145,6)="CLIENT",IFERROR(VLOOKUP(C2145,Config_Carteiras!$A:$B,2,FALSE),1),"")</f>
        <v>1</v>
      </c>
      <c r="F2145" s="25">
        <v>1034</v>
      </c>
      <c r="G2145" s="28">
        <f>IF(LEFT(D2145,6)="CLIENT",IF(E2145=0,WORKDAY(A2145-1,1,Dias_Sem_Compensacao!$A$2:$A$500),WORKDAY(A2145,E2145,Dias_Sem_Compensacao!$A$2:$A$500)),"")</f>
        <v>46310</v>
      </c>
      <c r="H2145" s="25">
        <v>0</v>
      </c>
      <c r="I2145" s="28">
        <v>46309</v>
      </c>
      <c r="J2145" t="s">
        <v>1384</v>
      </c>
      <c r="K2145" t="s">
        <v>1385</v>
      </c>
    </row>
    <row r="2146" spans="1:11" hidden="1">
      <c r="A2146" s="28">
        <v>46309</v>
      </c>
      <c r="B2146" t="s">
        <v>186</v>
      </c>
      <c r="C2146" t="s">
        <v>203</v>
      </c>
      <c r="D2146" t="s">
        <v>217</v>
      </c>
      <c r="E2146">
        <f>IF(LEFT(D2146,6)="CLIENT",IFERROR(VLOOKUP(C2146,Config_Carteiras!$A:$B,2,FALSE),1),"")</f>
        <v>1</v>
      </c>
      <c r="F2146" s="25">
        <v>847.2</v>
      </c>
      <c r="G2146" s="28">
        <f>IF(LEFT(D2146,6)="CLIENT",IF(E2146=0,WORKDAY(A2146-1,1,Dias_Sem_Compensacao!$A$2:$A$500),WORKDAY(A2146,E2146,Dias_Sem_Compensacao!$A$2:$A$500)),"")</f>
        <v>46310</v>
      </c>
      <c r="H2146" s="25">
        <v>0</v>
      </c>
      <c r="I2146" s="28">
        <v>46309</v>
      </c>
      <c r="J2146" t="s">
        <v>2632</v>
      </c>
      <c r="K2146" t="s">
        <v>2633</v>
      </c>
    </row>
    <row r="2147" spans="1:11" hidden="1">
      <c r="A2147" s="28">
        <v>46309</v>
      </c>
      <c r="B2147" t="s">
        <v>186</v>
      </c>
      <c r="C2147" t="s">
        <v>203</v>
      </c>
      <c r="D2147" t="s">
        <v>217</v>
      </c>
      <c r="E2147">
        <f>IF(LEFT(D2147,6)="CLIENT",IFERROR(VLOOKUP(C2147,Config_Carteiras!$A:$B,2,FALSE),1),"")</f>
        <v>1</v>
      </c>
      <c r="F2147" s="25">
        <v>1100</v>
      </c>
      <c r="G2147" s="28">
        <f>IF(LEFT(D2147,6)="CLIENT",IF(E2147=0,WORKDAY(A2147-1,1,Dias_Sem_Compensacao!$A$2:$A$500),WORKDAY(A2147,E2147,Dias_Sem_Compensacao!$A$2:$A$500)),"")</f>
        <v>46310</v>
      </c>
      <c r="H2147" s="25">
        <v>0</v>
      </c>
      <c r="I2147" s="28">
        <v>46309</v>
      </c>
      <c r="J2147" t="s">
        <v>2634</v>
      </c>
      <c r="K2147" t="s">
        <v>2635</v>
      </c>
    </row>
    <row r="2148" spans="1:11" hidden="1">
      <c r="A2148" s="28">
        <v>46309</v>
      </c>
      <c r="B2148" t="s">
        <v>186</v>
      </c>
      <c r="C2148" t="s">
        <v>203</v>
      </c>
      <c r="D2148" t="s">
        <v>217</v>
      </c>
      <c r="E2148">
        <f>IF(LEFT(D2148,6)="CLIENT",IFERROR(VLOOKUP(C2148,Config_Carteiras!$A:$B,2,FALSE),1),"")</f>
        <v>1</v>
      </c>
      <c r="F2148" s="25">
        <v>3267</v>
      </c>
      <c r="G2148" s="28">
        <f>IF(LEFT(D2148,6)="CLIENT",IF(E2148=0,WORKDAY(A2148-1,1,Dias_Sem_Compensacao!$A$2:$A$500),WORKDAY(A2148,E2148,Dias_Sem_Compensacao!$A$2:$A$500)),"")</f>
        <v>46310</v>
      </c>
      <c r="H2148" s="25">
        <v>0</v>
      </c>
      <c r="I2148" s="28">
        <v>46309</v>
      </c>
      <c r="J2148" t="s">
        <v>2100</v>
      </c>
      <c r="K2148" t="s">
        <v>2101</v>
      </c>
    </row>
    <row r="2149" spans="1:11" hidden="1">
      <c r="A2149" s="28">
        <v>46309</v>
      </c>
      <c r="B2149" t="s">
        <v>186</v>
      </c>
      <c r="C2149" t="s">
        <v>203</v>
      </c>
      <c r="D2149" t="s">
        <v>217</v>
      </c>
      <c r="E2149">
        <f>IF(LEFT(D2149,6)="CLIENT",IFERROR(VLOOKUP(C2149,Config_Carteiras!$A:$B,2,FALSE),1),"")</f>
        <v>1</v>
      </c>
      <c r="F2149" s="25">
        <v>5773.51</v>
      </c>
      <c r="G2149" s="28">
        <f>IF(LEFT(D2149,6)="CLIENT",IF(E2149=0,WORKDAY(A2149-1,1,Dias_Sem_Compensacao!$A$2:$A$500),WORKDAY(A2149,E2149,Dias_Sem_Compensacao!$A$2:$A$500)),"")</f>
        <v>46310</v>
      </c>
      <c r="H2149" s="25">
        <v>0</v>
      </c>
      <c r="I2149" s="28">
        <v>46309</v>
      </c>
      <c r="J2149" t="s">
        <v>1386</v>
      </c>
      <c r="K2149" t="s">
        <v>1387</v>
      </c>
    </row>
    <row r="2150" spans="1:11" hidden="1">
      <c r="A2150" s="28">
        <v>46309</v>
      </c>
      <c r="B2150" t="s">
        <v>186</v>
      </c>
      <c r="C2150" t="s">
        <v>203</v>
      </c>
      <c r="D2150" t="s">
        <v>217</v>
      </c>
      <c r="E2150">
        <f>IF(LEFT(D2150,6)="CLIENT",IFERROR(VLOOKUP(C2150,Config_Carteiras!$A:$B,2,FALSE),1),"")</f>
        <v>1</v>
      </c>
      <c r="F2150" s="25">
        <v>366</v>
      </c>
      <c r="G2150" s="28">
        <f>IF(LEFT(D2150,6)="CLIENT",IF(E2150=0,WORKDAY(A2150-1,1,Dias_Sem_Compensacao!$A$2:$A$500),WORKDAY(A2150,E2150,Dias_Sem_Compensacao!$A$2:$A$500)),"")</f>
        <v>46310</v>
      </c>
      <c r="H2150" s="25">
        <v>0</v>
      </c>
      <c r="I2150" s="28">
        <v>46309</v>
      </c>
      <c r="J2150" t="s">
        <v>2636</v>
      </c>
      <c r="K2150" t="s">
        <v>2637</v>
      </c>
    </row>
    <row r="2151" spans="1:11" hidden="1">
      <c r="A2151" s="28">
        <v>46309</v>
      </c>
      <c r="B2151" t="s">
        <v>186</v>
      </c>
      <c r="C2151" t="s">
        <v>203</v>
      </c>
      <c r="D2151" t="s">
        <v>217</v>
      </c>
      <c r="E2151">
        <f>IF(LEFT(D2151,6)="CLIENT",IFERROR(VLOOKUP(C2151,Config_Carteiras!$A:$B,2,FALSE),1),"")</f>
        <v>1</v>
      </c>
      <c r="F2151" s="25">
        <v>24318</v>
      </c>
      <c r="G2151" s="28">
        <f>IF(LEFT(D2151,6)="CLIENT",IF(E2151=0,WORKDAY(A2151-1,1,Dias_Sem_Compensacao!$A$2:$A$500),WORKDAY(A2151,E2151,Dias_Sem_Compensacao!$A$2:$A$500)),"")</f>
        <v>46310</v>
      </c>
      <c r="H2151" s="25">
        <v>0</v>
      </c>
      <c r="I2151" s="28">
        <v>46309</v>
      </c>
      <c r="J2151" t="s">
        <v>2102</v>
      </c>
      <c r="K2151" t="s">
        <v>2103</v>
      </c>
    </row>
    <row r="2152" spans="1:11" hidden="1">
      <c r="A2152" s="28">
        <v>46309</v>
      </c>
      <c r="B2152" t="s">
        <v>186</v>
      </c>
      <c r="C2152" t="s">
        <v>203</v>
      </c>
      <c r="D2152" t="s">
        <v>217</v>
      </c>
      <c r="E2152">
        <f>IF(LEFT(D2152,6)="CLIENT",IFERROR(VLOOKUP(C2152,Config_Carteiras!$A:$B,2,FALSE),1),"")</f>
        <v>1</v>
      </c>
      <c r="F2152" s="25">
        <v>455</v>
      </c>
      <c r="G2152" s="28">
        <f>IF(LEFT(D2152,6)="CLIENT",IF(E2152=0,WORKDAY(A2152-1,1,Dias_Sem_Compensacao!$A$2:$A$500),WORKDAY(A2152,E2152,Dias_Sem_Compensacao!$A$2:$A$500)),"")</f>
        <v>46310</v>
      </c>
      <c r="H2152" s="25">
        <v>0</v>
      </c>
      <c r="I2152" s="28">
        <v>46309</v>
      </c>
      <c r="J2152" t="s">
        <v>2104</v>
      </c>
      <c r="K2152" t="s">
        <v>2105</v>
      </c>
    </row>
    <row r="2153" spans="1:11" hidden="1">
      <c r="A2153" s="28">
        <v>46309</v>
      </c>
      <c r="B2153" t="s">
        <v>186</v>
      </c>
      <c r="C2153" t="s">
        <v>203</v>
      </c>
      <c r="D2153" t="s">
        <v>217</v>
      </c>
      <c r="E2153">
        <f>IF(LEFT(D2153,6)="CLIENT",IFERROR(VLOOKUP(C2153,Config_Carteiras!$A:$B,2,FALSE),1),"")</f>
        <v>1</v>
      </c>
      <c r="F2153" s="25">
        <v>1065</v>
      </c>
      <c r="G2153" s="28">
        <f>IF(LEFT(D2153,6)="CLIENT",IF(E2153=0,WORKDAY(A2153-1,1,Dias_Sem_Compensacao!$A$2:$A$500),WORKDAY(A2153,E2153,Dias_Sem_Compensacao!$A$2:$A$500)),"")</f>
        <v>46310</v>
      </c>
      <c r="H2153" s="25">
        <v>0</v>
      </c>
      <c r="I2153" s="28">
        <v>46309</v>
      </c>
      <c r="J2153" t="s">
        <v>2638</v>
      </c>
      <c r="K2153" t="s">
        <v>2639</v>
      </c>
    </row>
    <row r="2154" spans="1:11" hidden="1">
      <c r="A2154" s="28">
        <v>46309</v>
      </c>
      <c r="B2154" t="s">
        <v>186</v>
      </c>
      <c r="C2154" t="s">
        <v>203</v>
      </c>
      <c r="D2154" t="s">
        <v>217</v>
      </c>
      <c r="E2154">
        <f>IF(LEFT(D2154,6)="CLIENT",IFERROR(VLOOKUP(C2154,Config_Carteiras!$A:$B,2,FALSE),1),"")</f>
        <v>1</v>
      </c>
      <c r="F2154" s="25">
        <v>1811.43</v>
      </c>
      <c r="G2154" s="28">
        <f>IF(LEFT(D2154,6)="CLIENT",IF(E2154=0,WORKDAY(A2154-1,1,Dias_Sem_Compensacao!$A$2:$A$500),WORKDAY(A2154,E2154,Dias_Sem_Compensacao!$A$2:$A$500)),"")</f>
        <v>46310</v>
      </c>
      <c r="H2154" s="25">
        <v>0</v>
      </c>
      <c r="I2154" s="28">
        <v>46309</v>
      </c>
      <c r="J2154" t="s">
        <v>2106</v>
      </c>
      <c r="K2154" t="s">
        <v>2107</v>
      </c>
    </row>
    <row r="2155" spans="1:11" hidden="1">
      <c r="A2155" s="28">
        <v>46309</v>
      </c>
      <c r="B2155" t="s">
        <v>186</v>
      </c>
      <c r="C2155" t="s">
        <v>203</v>
      </c>
      <c r="D2155" t="s">
        <v>217</v>
      </c>
      <c r="E2155">
        <f>IF(LEFT(D2155,6)="CLIENT",IFERROR(VLOOKUP(C2155,Config_Carteiras!$A:$B,2,FALSE),1),"")</f>
        <v>1</v>
      </c>
      <c r="F2155" s="25">
        <v>662.36</v>
      </c>
      <c r="G2155" s="28">
        <f>IF(LEFT(D2155,6)="CLIENT",IF(E2155=0,WORKDAY(A2155-1,1,Dias_Sem_Compensacao!$A$2:$A$500),WORKDAY(A2155,E2155,Dias_Sem_Compensacao!$A$2:$A$500)),"")</f>
        <v>46310</v>
      </c>
      <c r="H2155" s="25">
        <v>0</v>
      </c>
      <c r="I2155" s="28">
        <v>46309</v>
      </c>
      <c r="J2155" t="s">
        <v>2640</v>
      </c>
      <c r="K2155" t="s">
        <v>2641</v>
      </c>
    </row>
    <row r="2156" spans="1:11" hidden="1">
      <c r="A2156" s="28">
        <v>46309</v>
      </c>
      <c r="B2156" t="s">
        <v>186</v>
      </c>
      <c r="C2156" t="s">
        <v>203</v>
      </c>
      <c r="D2156" t="s">
        <v>217</v>
      </c>
      <c r="E2156">
        <f>IF(LEFT(D2156,6)="CLIENT",IFERROR(VLOOKUP(C2156,Config_Carteiras!$A:$B,2,FALSE),1),"")</f>
        <v>1</v>
      </c>
      <c r="F2156" s="25">
        <v>18240</v>
      </c>
      <c r="G2156" s="28">
        <f>IF(LEFT(D2156,6)="CLIENT",IF(E2156=0,WORKDAY(A2156-1,1,Dias_Sem_Compensacao!$A$2:$A$500),WORKDAY(A2156,E2156,Dias_Sem_Compensacao!$A$2:$A$500)),"")</f>
        <v>46310</v>
      </c>
      <c r="H2156" s="25">
        <v>0</v>
      </c>
      <c r="I2156" s="28">
        <v>46309</v>
      </c>
      <c r="J2156" t="s">
        <v>1392</v>
      </c>
      <c r="K2156" t="s">
        <v>1393</v>
      </c>
    </row>
    <row r="2157" spans="1:11" hidden="1">
      <c r="A2157" s="28">
        <v>46309</v>
      </c>
      <c r="B2157" t="s">
        <v>186</v>
      </c>
      <c r="C2157" t="s">
        <v>203</v>
      </c>
      <c r="D2157" t="s">
        <v>217</v>
      </c>
      <c r="E2157">
        <f>IF(LEFT(D2157,6)="CLIENT",IFERROR(VLOOKUP(C2157,Config_Carteiras!$A:$B,2,FALSE),1),"")</f>
        <v>1</v>
      </c>
      <c r="F2157" s="25">
        <v>18240</v>
      </c>
      <c r="G2157" s="28">
        <f>IF(LEFT(D2157,6)="CLIENT",IF(E2157=0,WORKDAY(A2157-1,1,Dias_Sem_Compensacao!$A$2:$A$500),WORKDAY(A2157,E2157,Dias_Sem_Compensacao!$A$2:$A$500)),"")</f>
        <v>46310</v>
      </c>
      <c r="H2157" s="25">
        <v>0</v>
      </c>
      <c r="I2157" s="28">
        <v>46309</v>
      </c>
      <c r="K2157" t="s">
        <v>2642</v>
      </c>
    </row>
    <row r="2158" spans="1:11" hidden="1">
      <c r="A2158" s="28">
        <v>46309</v>
      </c>
      <c r="B2158" t="s">
        <v>186</v>
      </c>
      <c r="C2158" t="s">
        <v>203</v>
      </c>
      <c r="D2158" t="s">
        <v>217</v>
      </c>
      <c r="E2158">
        <f>IF(LEFT(D2158,6)="CLIENT",IFERROR(VLOOKUP(C2158,Config_Carteiras!$A:$B,2,FALSE),1),"")</f>
        <v>1</v>
      </c>
      <c r="F2158" s="25">
        <v>519.23</v>
      </c>
      <c r="G2158" s="28">
        <f>IF(LEFT(D2158,6)="CLIENT",IF(E2158=0,WORKDAY(A2158-1,1,Dias_Sem_Compensacao!$A$2:$A$500),WORKDAY(A2158,E2158,Dias_Sem_Compensacao!$A$2:$A$500)),"")</f>
        <v>46310</v>
      </c>
      <c r="H2158" s="25">
        <v>0</v>
      </c>
      <c r="I2158" s="28">
        <v>46309</v>
      </c>
      <c r="J2158" t="s">
        <v>2110</v>
      </c>
      <c r="K2158" t="s">
        <v>2111</v>
      </c>
    </row>
    <row r="2159" spans="1:11" hidden="1">
      <c r="A2159" s="28">
        <v>46309</v>
      </c>
      <c r="B2159" t="s">
        <v>186</v>
      </c>
      <c r="C2159" t="s">
        <v>203</v>
      </c>
      <c r="D2159" t="s">
        <v>217</v>
      </c>
      <c r="E2159">
        <f>IF(LEFT(D2159,6)="CLIENT",IFERROR(VLOOKUP(C2159,Config_Carteiras!$A:$B,2,FALSE),1),"")</f>
        <v>1</v>
      </c>
      <c r="F2159" s="25">
        <v>3515</v>
      </c>
      <c r="G2159" s="28">
        <f>IF(LEFT(D2159,6)="CLIENT",IF(E2159=0,WORKDAY(A2159-1,1,Dias_Sem_Compensacao!$A$2:$A$500),WORKDAY(A2159,E2159,Dias_Sem_Compensacao!$A$2:$A$500)),"")</f>
        <v>46310</v>
      </c>
      <c r="H2159" s="25">
        <v>0</v>
      </c>
      <c r="I2159" s="28">
        <v>46309</v>
      </c>
      <c r="J2159" t="s">
        <v>2643</v>
      </c>
      <c r="K2159" t="s">
        <v>2644</v>
      </c>
    </row>
    <row r="2160" spans="1:11" hidden="1">
      <c r="A2160" s="28">
        <v>46309</v>
      </c>
      <c r="B2160" t="s">
        <v>186</v>
      </c>
      <c r="C2160" t="s">
        <v>203</v>
      </c>
      <c r="D2160" t="s">
        <v>217</v>
      </c>
      <c r="E2160">
        <f>IF(LEFT(D2160,6)="CLIENT",IFERROR(VLOOKUP(C2160,Config_Carteiras!$A:$B,2,FALSE),1),"")</f>
        <v>1</v>
      </c>
      <c r="F2160" s="25">
        <v>1804</v>
      </c>
      <c r="G2160" s="28">
        <f>IF(LEFT(D2160,6)="CLIENT",IF(E2160=0,WORKDAY(A2160-1,1,Dias_Sem_Compensacao!$A$2:$A$500),WORKDAY(A2160,E2160,Dias_Sem_Compensacao!$A$2:$A$500)),"")</f>
        <v>46310</v>
      </c>
      <c r="H2160" s="25">
        <v>0</v>
      </c>
      <c r="I2160" s="28">
        <v>46309</v>
      </c>
      <c r="J2160" t="s">
        <v>2645</v>
      </c>
      <c r="K2160" t="s">
        <v>2646</v>
      </c>
    </row>
    <row r="2161" spans="1:11" hidden="1">
      <c r="A2161" s="28">
        <v>46309</v>
      </c>
      <c r="B2161" t="s">
        <v>186</v>
      </c>
      <c r="C2161" t="s">
        <v>203</v>
      </c>
      <c r="D2161" t="s">
        <v>217</v>
      </c>
      <c r="E2161">
        <f>IF(LEFT(D2161,6)="CLIENT",IFERROR(VLOOKUP(C2161,Config_Carteiras!$A:$B,2,FALSE),1),"")</f>
        <v>1</v>
      </c>
      <c r="F2161" s="25">
        <v>661</v>
      </c>
      <c r="G2161" s="28">
        <f>IF(LEFT(D2161,6)="CLIENT",IF(E2161=0,WORKDAY(A2161-1,1,Dias_Sem_Compensacao!$A$2:$A$500),WORKDAY(A2161,E2161,Dias_Sem_Compensacao!$A$2:$A$500)),"")</f>
        <v>46310</v>
      </c>
      <c r="H2161" s="25">
        <v>0</v>
      </c>
      <c r="I2161" s="28">
        <v>46309</v>
      </c>
      <c r="J2161" t="s">
        <v>2647</v>
      </c>
      <c r="K2161" t="s">
        <v>2648</v>
      </c>
    </row>
    <row r="2162" spans="1:11" hidden="1">
      <c r="A2162" s="28">
        <v>46309</v>
      </c>
      <c r="B2162" t="s">
        <v>186</v>
      </c>
      <c r="C2162" t="s">
        <v>203</v>
      </c>
      <c r="D2162" t="s">
        <v>217</v>
      </c>
      <c r="E2162">
        <f>IF(LEFT(D2162,6)="CLIENT",IFERROR(VLOOKUP(C2162,Config_Carteiras!$A:$B,2,FALSE),1),"")</f>
        <v>1</v>
      </c>
      <c r="F2162" s="25">
        <v>511</v>
      </c>
      <c r="G2162" s="28">
        <f>IF(LEFT(D2162,6)="CLIENT",IF(E2162=0,WORKDAY(A2162-1,1,Dias_Sem_Compensacao!$A$2:$A$500),WORKDAY(A2162,E2162,Dias_Sem_Compensacao!$A$2:$A$500)),"")</f>
        <v>46310</v>
      </c>
      <c r="H2162" s="25">
        <v>0</v>
      </c>
      <c r="I2162" s="28">
        <v>46309</v>
      </c>
      <c r="J2162" t="s">
        <v>2112</v>
      </c>
      <c r="K2162" t="s">
        <v>2113</v>
      </c>
    </row>
    <row r="2163" spans="1:11" hidden="1">
      <c r="A2163" s="28">
        <v>46309</v>
      </c>
      <c r="B2163" t="s">
        <v>186</v>
      </c>
      <c r="C2163" t="s">
        <v>203</v>
      </c>
      <c r="D2163" t="s">
        <v>217</v>
      </c>
      <c r="E2163">
        <f>IF(LEFT(D2163,6)="CLIENT",IFERROR(VLOOKUP(C2163,Config_Carteiras!$A:$B,2,FALSE),1),"")</f>
        <v>1</v>
      </c>
      <c r="F2163" s="25">
        <v>1192</v>
      </c>
      <c r="G2163" s="28">
        <f>IF(LEFT(D2163,6)="CLIENT",IF(E2163=0,WORKDAY(A2163-1,1,Dias_Sem_Compensacao!$A$2:$A$500),WORKDAY(A2163,E2163,Dias_Sem_Compensacao!$A$2:$A$500)),"")</f>
        <v>46310</v>
      </c>
      <c r="H2163" s="25">
        <v>0</v>
      </c>
      <c r="I2163" s="28">
        <v>46309</v>
      </c>
      <c r="J2163" t="s">
        <v>2649</v>
      </c>
      <c r="K2163" t="s">
        <v>2650</v>
      </c>
    </row>
    <row r="2164" spans="1:11" hidden="1">
      <c r="A2164" s="28">
        <v>46309</v>
      </c>
      <c r="B2164" t="s">
        <v>186</v>
      </c>
      <c r="C2164" t="s">
        <v>203</v>
      </c>
      <c r="D2164" t="s">
        <v>217</v>
      </c>
      <c r="E2164">
        <f>IF(LEFT(D2164,6)="CLIENT",IFERROR(VLOOKUP(C2164,Config_Carteiras!$A:$B,2,FALSE),1),"")</f>
        <v>1</v>
      </c>
      <c r="F2164" s="25">
        <v>1763.96</v>
      </c>
      <c r="G2164" s="28">
        <f>IF(LEFT(D2164,6)="CLIENT",IF(E2164=0,WORKDAY(A2164-1,1,Dias_Sem_Compensacao!$A$2:$A$500),WORKDAY(A2164,E2164,Dias_Sem_Compensacao!$A$2:$A$500)),"")</f>
        <v>46310</v>
      </c>
      <c r="H2164" s="25">
        <v>0</v>
      </c>
      <c r="I2164" s="28">
        <v>46309</v>
      </c>
      <c r="J2164" t="s">
        <v>1397</v>
      </c>
      <c r="K2164" t="s">
        <v>1398</v>
      </c>
    </row>
    <row r="2165" spans="1:11" hidden="1">
      <c r="A2165" s="28">
        <v>46309</v>
      </c>
      <c r="B2165" t="s">
        <v>186</v>
      </c>
      <c r="C2165" t="s">
        <v>203</v>
      </c>
      <c r="D2165" t="s">
        <v>217</v>
      </c>
      <c r="E2165">
        <f>IF(LEFT(D2165,6)="CLIENT",IFERROR(VLOOKUP(C2165,Config_Carteiras!$A:$B,2,FALSE),1),"")</f>
        <v>1</v>
      </c>
      <c r="F2165" s="25">
        <v>4249</v>
      </c>
      <c r="G2165" s="28">
        <f>IF(LEFT(D2165,6)="CLIENT",IF(E2165=0,WORKDAY(A2165-1,1,Dias_Sem_Compensacao!$A$2:$A$500),WORKDAY(A2165,E2165,Dias_Sem_Compensacao!$A$2:$A$500)),"")</f>
        <v>46310</v>
      </c>
      <c r="H2165" s="25">
        <v>0</v>
      </c>
      <c r="I2165" s="28">
        <v>46309</v>
      </c>
      <c r="J2165" t="s">
        <v>1401</v>
      </c>
      <c r="K2165" t="s">
        <v>1402</v>
      </c>
    </row>
    <row r="2166" spans="1:11" hidden="1">
      <c r="A2166" s="28">
        <v>46309</v>
      </c>
      <c r="B2166" t="s">
        <v>186</v>
      </c>
      <c r="C2166" t="s">
        <v>203</v>
      </c>
      <c r="D2166" t="s">
        <v>217</v>
      </c>
      <c r="E2166">
        <f>IF(LEFT(D2166,6)="CLIENT",IFERROR(VLOOKUP(C2166,Config_Carteiras!$A:$B,2,FALSE),1),"")</f>
        <v>1</v>
      </c>
      <c r="F2166" s="25">
        <v>1144</v>
      </c>
      <c r="G2166" s="28">
        <f>IF(LEFT(D2166,6)="CLIENT",IF(E2166=0,WORKDAY(A2166-1,1,Dias_Sem_Compensacao!$A$2:$A$500),WORKDAY(A2166,E2166,Dias_Sem_Compensacao!$A$2:$A$500)),"")</f>
        <v>46310</v>
      </c>
      <c r="H2166" s="25">
        <v>0</v>
      </c>
      <c r="I2166" s="28">
        <v>46309</v>
      </c>
      <c r="J2166" t="s">
        <v>2116</v>
      </c>
      <c r="K2166" t="s">
        <v>2117</v>
      </c>
    </row>
    <row r="2167" spans="1:11" hidden="1">
      <c r="A2167" s="28">
        <v>46309</v>
      </c>
      <c r="B2167" t="s">
        <v>186</v>
      </c>
      <c r="C2167" t="s">
        <v>203</v>
      </c>
      <c r="D2167" t="s">
        <v>217</v>
      </c>
      <c r="E2167">
        <f>IF(LEFT(D2167,6)="CLIENT",IFERROR(VLOOKUP(C2167,Config_Carteiras!$A:$B,2,FALSE),1),"")</f>
        <v>1</v>
      </c>
      <c r="F2167" s="25">
        <v>1377</v>
      </c>
      <c r="G2167" s="28">
        <f>IF(LEFT(D2167,6)="CLIENT",IF(E2167=0,WORKDAY(A2167-1,1,Dias_Sem_Compensacao!$A$2:$A$500),WORKDAY(A2167,E2167,Dias_Sem_Compensacao!$A$2:$A$500)),"")</f>
        <v>46310</v>
      </c>
      <c r="H2167" s="25">
        <v>0</v>
      </c>
      <c r="I2167" s="28">
        <v>46309</v>
      </c>
      <c r="J2167" t="s">
        <v>2651</v>
      </c>
      <c r="K2167" t="s">
        <v>2652</v>
      </c>
    </row>
    <row r="2168" spans="1:11" hidden="1">
      <c r="A2168" s="28">
        <v>46309</v>
      </c>
      <c r="B2168" t="s">
        <v>186</v>
      </c>
      <c r="C2168" t="s">
        <v>203</v>
      </c>
      <c r="D2168" t="s">
        <v>217</v>
      </c>
      <c r="E2168">
        <f>IF(LEFT(D2168,6)="CLIENT",IFERROR(VLOOKUP(C2168,Config_Carteiras!$A:$B,2,FALSE),1),"")</f>
        <v>1</v>
      </c>
      <c r="F2168" s="25">
        <v>1157.25</v>
      </c>
      <c r="G2168" s="28">
        <f>IF(LEFT(D2168,6)="CLIENT",IF(E2168=0,WORKDAY(A2168-1,1,Dias_Sem_Compensacao!$A$2:$A$500),WORKDAY(A2168,E2168,Dias_Sem_Compensacao!$A$2:$A$500)),"")</f>
        <v>46310</v>
      </c>
      <c r="H2168" s="25">
        <v>0</v>
      </c>
      <c r="I2168" s="28">
        <v>46309</v>
      </c>
      <c r="J2168" t="s">
        <v>1403</v>
      </c>
      <c r="K2168" t="s">
        <v>1404</v>
      </c>
    </row>
    <row r="2169" spans="1:11" hidden="1">
      <c r="A2169" s="28">
        <v>46309</v>
      </c>
      <c r="B2169" t="s">
        <v>186</v>
      </c>
      <c r="C2169" t="s">
        <v>203</v>
      </c>
      <c r="D2169" t="s">
        <v>217</v>
      </c>
      <c r="E2169">
        <f>IF(LEFT(D2169,6)="CLIENT",IFERROR(VLOOKUP(C2169,Config_Carteiras!$A:$B,2,FALSE),1),"")</f>
        <v>1</v>
      </c>
      <c r="F2169" s="25">
        <v>759.49</v>
      </c>
      <c r="G2169" s="28">
        <f>IF(LEFT(D2169,6)="CLIENT",IF(E2169=0,WORKDAY(A2169-1,1,Dias_Sem_Compensacao!$A$2:$A$500),WORKDAY(A2169,E2169,Dias_Sem_Compensacao!$A$2:$A$500)),"")</f>
        <v>46310</v>
      </c>
      <c r="H2169" s="25">
        <v>0</v>
      </c>
      <c r="I2169" s="28">
        <v>46309</v>
      </c>
      <c r="J2169" t="s">
        <v>1065</v>
      </c>
      <c r="K2169" t="s">
        <v>1066</v>
      </c>
    </row>
    <row r="2170" spans="1:11" hidden="1">
      <c r="A2170" s="28">
        <v>46309</v>
      </c>
      <c r="B2170" t="s">
        <v>186</v>
      </c>
      <c r="C2170" t="s">
        <v>203</v>
      </c>
      <c r="D2170" t="s">
        <v>217</v>
      </c>
      <c r="E2170">
        <f>IF(LEFT(D2170,6)="CLIENT",IFERROR(VLOOKUP(C2170,Config_Carteiras!$A:$B,2,FALSE),1),"")</f>
        <v>1</v>
      </c>
      <c r="F2170" s="25">
        <v>1550</v>
      </c>
      <c r="G2170" s="28">
        <f>IF(LEFT(D2170,6)="CLIENT",IF(E2170=0,WORKDAY(A2170-1,1,Dias_Sem_Compensacao!$A$2:$A$500),WORKDAY(A2170,E2170,Dias_Sem_Compensacao!$A$2:$A$500)),"")</f>
        <v>46310</v>
      </c>
      <c r="H2170" s="25">
        <v>0</v>
      </c>
      <c r="I2170" s="28">
        <v>46309</v>
      </c>
      <c r="J2170" t="s">
        <v>21</v>
      </c>
      <c r="K2170" t="s">
        <v>2653</v>
      </c>
    </row>
    <row r="2171" spans="1:11" hidden="1">
      <c r="A2171" s="28">
        <v>46309</v>
      </c>
      <c r="B2171" t="s">
        <v>186</v>
      </c>
      <c r="C2171" t="s">
        <v>203</v>
      </c>
      <c r="D2171" t="s">
        <v>217</v>
      </c>
      <c r="E2171">
        <f>IF(LEFT(D2171,6)="CLIENT",IFERROR(VLOOKUP(C2171,Config_Carteiras!$A:$B,2,FALSE),1),"")</f>
        <v>1</v>
      </c>
      <c r="F2171" s="25">
        <v>941.77</v>
      </c>
      <c r="G2171" s="28">
        <f>IF(LEFT(D2171,6)="CLIENT",IF(E2171=0,WORKDAY(A2171-1,1,Dias_Sem_Compensacao!$A$2:$A$500),WORKDAY(A2171,E2171,Dias_Sem_Compensacao!$A$2:$A$500)),"")</f>
        <v>46310</v>
      </c>
      <c r="H2171" s="25">
        <v>0</v>
      </c>
      <c r="I2171" s="28">
        <v>46309</v>
      </c>
      <c r="J2171" t="s">
        <v>2118</v>
      </c>
      <c r="K2171" t="s">
        <v>2119</v>
      </c>
    </row>
    <row r="2172" spans="1:11" hidden="1">
      <c r="A2172" s="28">
        <v>46309</v>
      </c>
      <c r="B2172" t="s">
        <v>186</v>
      </c>
      <c r="C2172" t="s">
        <v>203</v>
      </c>
      <c r="D2172" t="s">
        <v>217</v>
      </c>
      <c r="E2172">
        <f>IF(LEFT(D2172,6)="CLIENT",IFERROR(VLOOKUP(C2172,Config_Carteiras!$A:$B,2,FALSE),1),"")</f>
        <v>1</v>
      </c>
      <c r="F2172" s="25">
        <v>888</v>
      </c>
      <c r="G2172" s="28">
        <f>IF(LEFT(D2172,6)="CLIENT",IF(E2172=0,WORKDAY(A2172-1,1,Dias_Sem_Compensacao!$A$2:$A$500),WORKDAY(A2172,E2172,Dias_Sem_Compensacao!$A$2:$A$500)),"")</f>
        <v>46310</v>
      </c>
      <c r="H2172" s="25">
        <v>0</v>
      </c>
      <c r="I2172" s="28">
        <v>46309</v>
      </c>
      <c r="J2172" t="s">
        <v>2120</v>
      </c>
      <c r="K2172" t="s">
        <v>2121</v>
      </c>
    </row>
    <row r="2173" spans="1:11" hidden="1">
      <c r="A2173" s="28">
        <v>46309</v>
      </c>
      <c r="B2173" t="s">
        <v>186</v>
      </c>
      <c r="C2173" t="s">
        <v>203</v>
      </c>
      <c r="D2173" t="s">
        <v>217</v>
      </c>
      <c r="E2173">
        <f>IF(LEFT(D2173,6)="CLIENT",IFERROR(VLOOKUP(C2173,Config_Carteiras!$A:$B,2,FALSE),1),"")</f>
        <v>1</v>
      </c>
      <c r="F2173" s="25">
        <v>1364</v>
      </c>
      <c r="G2173" s="28">
        <f>IF(LEFT(D2173,6)="CLIENT",IF(E2173=0,WORKDAY(A2173-1,1,Dias_Sem_Compensacao!$A$2:$A$500),WORKDAY(A2173,E2173,Dias_Sem_Compensacao!$A$2:$A$500)),"")</f>
        <v>46310</v>
      </c>
      <c r="H2173" s="25">
        <v>0</v>
      </c>
      <c r="I2173" s="28">
        <v>46309</v>
      </c>
      <c r="J2173" t="s">
        <v>2122</v>
      </c>
      <c r="K2173" t="s">
        <v>2123</v>
      </c>
    </row>
    <row r="2174" spans="1:11" hidden="1">
      <c r="A2174" s="28">
        <v>46309</v>
      </c>
      <c r="B2174" t="s">
        <v>186</v>
      </c>
      <c r="C2174" t="s">
        <v>203</v>
      </c>
      <c r="D2174" t="s">
        <v>217</v>
      </c>
      <c r="E2174">
        <f>IF(LEFT(D2174,6)="CLIENT",IFERROR(VLOOKUP(C2174,Config_Carteiras!$A:$B,2,FALSE),1),"")</f>
        <v>1</v>
      </c>
      <c r="F2174" s="25">
        <v>18240</v>
      </c>
      <c r="G2174" s="28">
        <f>IF(LEFT(D2174,6)="CLIENT",IF(E2174=0,WORKDAY(A2174-1,1,Dias_Sem_Compensacao!$A$2:$A$500),WORKDAY(A2174,E2174,Dias_Sem_Compensacao!$A$2:$A$500)),"")</f>
        <v>46310</v>
      </c>
      <c r="H2174" s="25">
        <v>0</v>
      </c>
      <c r="I2174" s="28">
        <v>46309</v>
      </c>
      <c r="J2174" t="s">
        <v>1406</v>
      </c>
      <c r="K2174" t="s">
        <v>1407</v>
      </c>
    </row>
    <row r="2175" spans="1:11" hidden="1">
      <c r="A2175" s="28">
        <v>46309</v>
      </c>
      <c r="B2175" t="s">
        <v>186</v>
      </c>
      <c r="C2175" t="s">
        <v>203</v>
      </c>
      <c r="D2175" t="s">
        <v>217</v>
      </c>
      <c r="E2175">
        <f>IF(LEFT(D2175,6)="CLIENT",IFERROR(VLOOKUP(C2175,Config_Carteiras!$A:$B,2,FALSE),1),"")</f>
        <v>1</v>
      </c>
      <c r="F2175" s="25">
        <v>730</v>
      </c>
      <c r="G2175" s="28">
        <f>IF(LEFT(D2175,6)="CLIENT",IF(E2175=0,WORKDAY(A2175-1,1,Dias_Sem_Compensacao!$A$2:$A$500),WORKDAY(A2175,E2175,Dias_Sem_Compensacao!$A$2:$A$500)),"")</f>
        <v>46310</v>
      </c>
      <c r="H2175" s="25">
        <v>0</v>
      </c>
      <c r="I2175" s="28">
        <v>46309</v>
      </c>
      <c r="J2175" t="s">
        <v>984</v>
      </c>
      <c r="K2175" t="s">
        <v>2654</v>
      </c>
    </row>
    <row r="2176" spans="1:11" hidden="1">
      <c r="A2176" s="28">
        <v>46309</v>
      </c>
      <c r="B2176" t="s">
        <v>186</v>
      </c>
      <c r="C2176" t="s">
        <v>203</v>
      </c>
      <c r="D2176" t="s">
        <v>217</v>
      </c>
      <c r="E2176">
        <f>IF(LEFT(D2176,6)="CLIENT",IFERROR(VLOOKUP(C2176,Config_Carteiras!$A:$B,2,FALSE),1),"")</f>
        <v>1</v>
      </c>
      <c r="F2176" s="25">
        <v>334</v>
      </c>
      <c r="G2176" s="28">
        <f>IF(LEFT(D2176,6)="CLIENT",IF(E2176=0,WORKDAY(A2176-1,1,Dias_Sem_Compensacao!$A$2:$A$500),WORKDAY(A2176,E2176,Dias_Sem_Compensacao!$A$2:$A$500)),"")</f>
        <v>46310</v>
      </c>
      <c r="H2176" s="25">
        <v>0</v>
      </c>
      <c r="I2176" s="28">
        <v>46309</v>
      </c>
      <c r="J2176" t="s">
        <v>2655</v>
      </c>
      <c r="K2176" t="s">
        <v>2656</v>
      </c>
    </row>
    <row r="2177" spans="1:11" hidden="1">
      <c r="A2177" s="28">
        <v>46309</v>
      </c>
      <c r="B2177" t="s">
        <v>186</v>
      </c>
      <c r="C2177" t="s">
        <v>203</v>
      </c>
      <c r="D2177" t="s">
        <v>217</v>
      </c>
      <c r="E2177">
        <f>IF(LEFT(D2177,6)="CLIENT",IFERROR(VLOOKUP(C2177,Config_Carteiras!$A:$B,2,FALSE),1),"")</f>
        <v>1</v>
      </c>
      <c r="F2177" s="25">
        <v>454.73</v>
      </c>
      <c r="G2177" s="28">
        <f>IF(LEFT(D2177,6)="CLIENT",IF(E2177=0,WORKDAY(A2177-1,1,Dias_Sem_Compensacao!$A$2:$A$500),WORKDAY(A2177,E2177,Dias_Sem_Compensacao!$A$2:$A$500)),"")</f>
        <v>46310</v>
      </c>
      <c r="H2177" s="25">
        <v>0</v>
      </c>
      <c r="I2177" s="28">
        <v>46309</v>
      </c>
      <c r="J2177" t="s">
        <v>98</v>
      </c>
      <c r="K2177" t="s">
        <v>1411</v>
      </c>
    </row>
    <row r="2178" spans="1:11" hidden="1">
      <c r="A2178" s="28">
        <v>46309</v>
      </c>
      <c r="B2178" t="s">
        <v>186</v>
      </c>
      <c r="C2178" t="s">
        <v>203</v>
      </c>
      <c r="D2178" t="s">
        <v>217</v>
      </c>
      <c r="E2178">
        <f>IF(LEFT(D2178,6)="CLIENT",IFERROR(VLOOKUP(C2178,Config_Carteiras!$A:$B,2,FALSE),1),"")</f>
        <v>1</v>
      </c>
      <c r="F2178" s="25">
        <v>2417</v>
      </c>
      <c r="G2178" s="28">
        <f>IF(LEFT(D2178,6)="CLIENT",IF(E2178=0,WORKDAY(A2178-1,1,Dias_Sem_Compensacao!$A$2:$A$500),WORKDAY(A2178,E2178,Dias_Sem_Compensacao!$A$2:$A$500)),"")</f>
        <v>46310</v>
      </c>
      <c r="H2178" s="25">
        <v>0</v>
      </c>
      <c r="I2178" s="28">
        <v>46309</v>
      </c>
      <c r="J2178" t="s">
        <v>2125</v>
      </c>
      <c r="K2178" t="s">
        <v>2126</v>
      </c>
    </row>
    <row r="2179" spans="1:11" hidden="1">
      <c r="A2179" s="28">
        <v>46309</v>
      </c>
      <c r="B2179" t="s">
        <v>186</v>
      </c>
      <c r="C2179" t="s">
        <v>203</v>
      </c>
      <c r="D2179" t="s">
        <v>217</v>
      </c>
      <c r="E2179">
        <f>IF(LEFT(D2179,6)="CLIENT",IFERROR(VLOOKUP(C2179,Config_Carteiras!$A:$B,2,FALSE),1),"")</f>
        <v>1</v>
      </c>
      <c r="F2179" s="25">
        <v>6498</v>
      </c>
      <c r="G2179" s="28">
        <f>IF(LEFT(D2179,6)="CLIENT",IF(E2179=0,WORKDAY(A2179-1,1,Dias_Sem_Compensacao!$A$2:$A$500),WORKDAY(A2179,E2179,Dias_Sem_Compensacao!$A$2:$A$500)),"")</f>
        <v>46310</v>
      </c>
      <c r="H2179" s="25">
        <v>0</v>
      </c>
      <c r="I2179" s="28">
        <v>46309</v>
      </c>
      <c r="J2179" t="s">
        <v>2657</v>
      </c>
      <c r="K2179" t="s">
        <v>2658</v>
      </c>
    </row>
    <row r="2180" spans="1:11" hidden="1">
      <c r="A2180" s="28">
        <v>46309</v>
      </c>
      <c r="B2180" t="s">
        <v>186</v>
      </c>
      <c r="C2180" t="s">
        <v>203</v>
      </c>
      <c r="D2180" t="s">
        <v>217</v>
      </c>
      <c r="E2180">
        <f>IF(LEFT(D2180,6)="CLIENT",IFERROR(VLOOKUP(C2180,Config_Carteiras!$A:$B,2,FALSE),1),"")</f>
        <v>1</v>
      </c>
      <c r="F2180" s="25">
        <v>559.41</v>
      </c>
      <c r="G2180" s="28">
        <f>IF(LEFT(D2180,6)="CLIENT",IF(E2180=0,WORKDAY(A2180-1,1,Dias_Sem_Compensacao!$A$2:$A$500),WORKDAY(A2180,E2180,Dias_Sem_Compensacao!$A$2:$A$500)),"")</f>
        <v>46310</v>
      </c>
      <c r="H2180" s="25">
        <v>0</v>
      </c>
      <c r="I2180" s="28">
        <v>46309</v>
      </c>
      <c r="J2180" t="s">
        <v>2659</v>
      </c>
      <c r="K2180" t="s">
        <v>2660</v>
      </c>
    </row>
    <row r="2181" spans="1:11" hidden="1">
      <c r="A2181" s="28">
        <v>46309</v>
      </c>
      <c r="B2181" t="s">
        <v>186</v>
      </c>
      <c r="C2181" t="s">
        <v>203</v>
      </c>
      <c r="D2181" t="s">
        <v>217</v>
      </c>
      <c r="E2181">
        <f>IF(LEFT(D2181,6)="CLIENT",IFERROR(VLOOKUP(C2181,Config_Carteiras!$A:$B,2,FALSE),1),"")</f>
        <v>1</v>
      </c>
      <c r="F2181" s="25">
        <v>905</v>
      </c>
      <c r="G2181" s="28">
        <f>IF(LEFT(D2181,6)="CLIENT",IF(E2181=0,WORKDAY(A2181-1,1,Dias_Sem_Compensacao!$A$2:$A$500),WORKDAY(A2181,E2181,Dias_Sem_Compensacao!$A$2:$A$500)),"")</f>
        <v>46310</v>
      </c>
      <c r="H2181" s="25">
        <v>0</v>
      </c>
      <c r="I2181" s="28">
        <v>46309</v>
      </c>
      <c r="J2181" t="s">
        <v>2129</v>
      </c>
      <c r="K2181" t="s">
        <v>2130</v>
      </c>
    </row>
    <row r="2182" spans="1:11" hidden="1">
      <c r="A2182" s="28">
        <v>46309</v>
      </c>
      <c r="B2182" t="s">
        <v>186</v>
      </c>
      <c r="C2182" t="s">
        <v>203</v>
      </c>
      <c r="D2182" t="s">
        <v>217</v>
      </c>
      <c r="E2182">
        <f>IF(LEFT(D2182,6)="CLIENT",IFERROR(VLOOKUP(C2182,Config_Carteiras!$A:$B,2,FALSE),1),"")</f>
        <v>1</v>
      </c>
      <c r="F2182" s="25">
        <v>9093.64</v>
      </c>
      <c r="G2182" s="28">
        <f>IF(LEFT(D2182,6)="CLIENT",IF(E2182=0,WORKDAY(A2182-1,1,Dias_Sem_Compensacao!$A$2:$A$500),WORKDAY(A2182,E2182,Dias_Sem_Compensacao!$A$2:$A$500)),"")</f>
        <v>46310</v>
      </c>
      <c r="H2182" s="25">
        <v>0</v>
      </c>
      <c r="I2182" s="28">
        <v>46309</v>
      </c>
      <c r="J2182" t="s">
        <v>2661</v>
      </c>
      <c r="K2182" t="s">
        <v>2662</v>
      </c>
    </row>
    <row r="2183" spans="1:11" hidden="1">
      <c r="A2183" s="28">
        <v>46309</v>
      </c>
      <c r="B2183" t="s">
        <v>186</v>
      </c>
      <c r="C2183" t="s">
        <v>203</v>
      </c>
      <c r="D2183" t="s">
        <v>217</v>
      </c>
      <c r="E2183">
        <f>IF(LEFT(D2183,6)="CLIENT",IFERROR(VLOOKUP(C2183,Config_Carteiras!$A:$B,2,FALSE),1),"")</f>
        <v>1</v>
      </c>
      <c r="F2183" s="25">
        <v>1076.03</v>
      </c>
      <c r="G2183" s="28">
        <f>IF(LEFT(D2183,6)="CLIENT",IF(E2183=0,WORKDAY(A2183-1,1,Dias_Sem_Compensacao!$A$2:$A$500),WORKDAY(A2183,E2183,Dias_Sem_Compensacao!$A$2:$A$500)),"")</f>
        <v>46310</v>
      </c>
      <c r="H2183" s="25">
        <v>0</v>
      </c>
      <c r="I2183" s="28">
        <v>46309</v>
      </c>
      <c r="J2183" t="s">
        <v>2131</v>
      </c>
      <c r="K2183" t="s">
        <v>2132</v>
      </c>
    </row>
    <row r="2184" spans="1:11" hidden="1">
      <c r="A2184" s="28">
        <v>46309</v>
      </c>
      <c r="B2184" t="s">
        <v>186</v>
      </c>
      <c r="C2184" t="s">
        <v>203</v>
      </c>
      <c r="D2184" t="s">
        <v>217</v>
      </c>
      <c r="E2184">
        <f>IF(LEFT(D2184,6)="CLIENT",IFERROR(VLOOKUP(C2184,Config_Carteiras!$A:$B,2,FALSE),1),"")</f>
        <v>1</v>
      </c>
      <c r="F2184" s="25">
        <v>1192.46</v>
      </c>
      <c r="G2184" s="28">
        <f>IF(LEFT(D2184,6)="CLIENT",IF(E2184=0,WORKDAY(A2184-1,1,Dias_Sem_Compensacao!$A$2:$A$500),WORKDAY(A2184,E2184,Dias_Sem_Compensacao!$A$2:$A$500)),"")</f>
        <v>46310</v>
      </c>
      <c r="H2184" s="25">
        <v>0</v>
      </c>
      <c r="I2184" s="28">
        <v>46309</v>
      </c>
      <c r="J2184" t="s">
        <v>1420</v>
      </c>
      <c r="K2184" t="s">
        <v>1421</v>
      </c>
    </row>
    <row r="2185" spans="1:11" hidden="1">
      <c r="A2185" s="28">
        <v>46309</v>
      </c>
      <c r="B2185" t="s">
        <v>186</v>
      </c>
      <c r="C2185" t="s">
        <v>203</v>
      </c>
      <c r="D2185" t="s">
        <v>217</v>
      </c>
      <c r="E2185">
        <f>IF(LEFT(D2185,6)="CLIENT",IFERROR(VLOOKUP(C2185,Config_Carteiras!$A:$B,2,FALSE),1),"")</f>
        <v>1</v>
      </c>
      <c r="F2185" s="25">
        <v>595</v>
      </c>
      <c r="G2185" s="28">
        <f>IF(LEFT(D2185,6)="CLIENT",IF(E2185=0,WORKDAY(A2185-1,1,Dias_Sem_Compensacao!$A$2:$A$500),WORKDAY(A2185,E2185,Dias_Sem_Compensacao!$A$2:$A$500)),"")</f>
        <v>46310</v>
      </c>
      <c r="H2185" s="25">
        <v>0</v>
      </c>
      <c r="I2185" s="28">
        <v>46309</v>
      </c>
      <c r="J2185" t="s">
        <v>2663</v>
      </c>
      <c r="K2185" t="s">
        <v>2664</v>
      </c>
    </row>
    <row r="2186" spans="1:11" hidden="1">
      <c r="A2186" s="28">
        <v>46309</v>
      </c>
      <c r="B2186" t="s">
        <v>186</v>
      </c>
      <c r="C2186" t="s">
        <v>203</v>
      </c>
      <c r="D2186" t="s">
        <v>217</v>
      </c>
      <c r="E2186">
        <f>IF(LEFT(D2186,6)="CLIENT",IFERROR(VLOOKUP(C2186,Config_Carteiras!$A:$B,2,FALSE),1),"")</f>
        <v>1</v>
      </c>
      <c r="F2186" s="25">
        <v>1206</v>
      </c>
      <c r="G2186" s="28">
        <f>IF(LEFT(D2186,6)="CLIENT",IF(E2186=0,WORKDAY(A2186-1,1,Dias_Sem_Compensacao!$A$2:$A$500),WORKDAY(A2186,E2186,Dias_Sem_Compensacao!$A$2:$A$500)),"")</f>
        <v>46310</v>
      </c>
      <c r="H2186" s="25">
        <v>0</v>
      </c>
      <c r="I2186" s="28">
        <v>46309</v>
      </c>
      <c r="J2186" t="s">
        <v>2665</v>
      </c>
      <c r="K2186" t="s">
        <v>2666</v>
      </c>
    </row>
    <row r="2187" spans="1:11" hidden="1">
      <c r="A2187" s="28">
        <v>46309</v>
      </c>
      <c r="B2187" t="s">
        <v>186</v>
      </c>
      <c r="C2187" t="s">
        <v>203</v>
      </c>
      <c r="D2187" t="s">
        <v>217</v>
      </c>
      <c r="E2187">
        <f>IF(LEFT(D2187,6)="CLIENT",IFERROR(VLOOKUP(C2187,Config_Carteiras!$A:$B,2,FALSE),1),"")</f>
        <v>1</v>
      </c>
      <c r="F2187" s="25">
        <v>1321.02</v>
      </c>
      <c r="G2187" s="28">
        <f>IF(LEFT(D2187,6)="CLIENT",IF(E2187=0,WORKDAY(A2187-1,1,Dias_Sem_Compensacao!$A$2:$A$500),WORKDAY(A2187,E2187,Dias_Sem_Compensacao!$A$2:$A$500)),"")</f>
        <v>46310</v>
      </c>
      <c r="H2187" s="25">
        <v>0</v>
      </c>
      <c r="I2187" s="28">
        <v>46309</v>
      </c>
      <c r="J2187" t="s">
        <v>1422</v>
      </c>
      <c r="K2187" t="s">
        <v>1423</v>
      </c>
    </row>
    <row r="2188" spans="1:11" hidden="1">
      <c r="A2188" s="28">
        <v>46309</v>
      </c>
      <c r="B2188" t="s">
        <v>186</v>
      </c>
      <c r="C2188" t="s">
        <v>203</v>
      </c>
      <c r="D2188" t="s">
        <v>217</v>
      </c>
      <c r="E2188">
        <f>IF(LEFT(D2188,6)="CLIENT",IFERROR(VLOOKUP(C2188,Config_Carteiras!$A:$B,2,FALSE),1),"")</f>
        <v>1</v>
      </c>
      <c r="F2188" s="25">
        <v>1069</v>
      </c>
      <c r="G2188" s="28">
        <f>IF(LEFT(D2188,6)="CLIENT",IF(E2188=0,WORKDAY(A2188-1,1,Dias_Sem_Compensacao!$A$2:$A$500),WORKDAY(A2188,E2188,Dias_Sem_Compensacao!$A$2:$A$500)),"")</f>
        <v>46310</v>
      </c>
      <c r="H2188" s="25">
        <v>0</v>
      </c>
      <c r="I2188" s="28">
        <v>46309</v>
      </c>
      <c r="J2188" t="s">
        <v>2543</v>
      </c>
      <c r="K2188" t="s">
        <v>2667</v>
      </c>
    </row>
    <row r="2189" spans="1:11" hidden="1">
      <c r="A2189" s="28">
        <v>46309</v>
      </c>
      <c r="B2189" t="s">
        <v>186</v>
      </c>
      <c r="C2189" t="s">
        <v>203</v>
      </c>
      <c r="D2189" t="s">
        <v>217</v>
      </c>
      <c r="E2189">
        <f>IF(LEFT(D2189,6)="CLIENT",IFERROR(VLOOKUP(C2189,Config_Carteiras!$A:$B,2,FALSE),1),"")</f>
        <v>1</v>
      </c>
      <c r="F2189" s="25">
        <v>886</v>
      </c>
      <c r="G2189" s="28">
        <f>IF(LEFT(D2189,6)="CLIENT",IF(E2189=0,WORKDAY(A2189-1,1,Dias_Sem_Compensacao!$A$2:$A$500),WORKDAY(A2189,E2189,Dias_Sem_Compensacao!$A$2:$A$500)),"")</f>
        <v>46310</v>
      </c>
      <c r="H2189" s="25">
        <v>0</v>
      </c>
      <c r="I2189" s="28">
        <v>46309</v>
      </c>
      <c r="K2189" t="s">
        <v>2668</v>
      </c>
    </row>
    <row r="2190" spans="1:11" hidden="1">
      <c r="A2190" s="28">
        <v>46309</v>
      </c>
      <c r="B2190" t="s">
        <v>186</v>
      </c>
      <c r="C2190" t="s">
        <v>203</v>
      </c>
      <c r="D2190" t="s">
        <v>217</v>
      </c>
      <c r="E2190">
        <f>IF(LEFT(D2190,6)="CLIENT",IFERROR(VLOOKUP(C2190,Config_Carteiras!$A:$B,2,FALSE),1),"")</f>
        <v>1</v>
      </c>
      <c r="F2190" s="25">
        <v>377</v>
      </c>
      <c r="G2190" s="28">
        <f>IF(LEFT(D2190,6)="CLIENT",IF(E2190=0,WORKDAY(A2190-1,1,Dias_Sem_Compensacao!$A$2:$A$500),WORKDAY(A2190,E2190,Dias_Sem_Compensacao!$A$2:$A$500)),"")</f>
        <v>46310</v>
      </c>
      <c r="H2190" s="25">
        <v>0</v>
      </c>
      <c r="I2190" s="28">
        <v>46309</v>
      </c>
      <c r="J2190" t="s">
        <v>2669</v>
      </c>
      <c r="K2190" t="s">
        <v>2670</v>
      </c>
    </row>
    <row r="2191" spans="1:11" hidden="1">
      <c r="A2191" s="28">
        <v>46309</v>
      </c>
      <c r="B2191" t="s">
        <v>186</v>
      </c>
      <c r="C2191" t="s">
        <v>203</v>
      </c>
      <c r="D2191" t="s">
        <v>217</v>
      </c>
      <c r="E2191">
        <f>IF(LEFT(D2191,6)="CLIENT",IFERROR(VLOOKUP(C2191,Config_Carteiras!$A:$B,2,FALSE),1),"")</f>
        <v>1</v>
      </c>
      <c r="F2191" s="25">
        <v>1740</v>
      </c>
      <c r="G2191" s="28">
        <f>IF(LEFT(D2191,6)="CLIENT",IF(E2191=0,WORKDAY(A2191-1,1,Dias_Sem_Compensacao!$A$2:$A$500),WORKDAY(A2191,E2191,Dias_Sem_Compensacao!$A$2:$A$500)),"")</f>
        <v>46310</v>
      </c>
      <c r="H2191" s="25">
        <v>0</v>
      </c>
      <c r="I2191" s="28">
        <v>46309</v>
      </c>
      <c r="J2191" t="s">
        <v>371</v>
      </c>
      <c r="K2191" t="s">
        <v>2671</v>
      </c>
    </row>
    <row r="2192" spans="1:11" hidden="1">
      <c r="A2192" s="28">
        <v>46309</v>
      </c>
      <c r="B2192" t="s">
        <v>186</v>
      </c>
      <c r="C2192" t="s">
        <v>203</v>
      </c>
      <c r="D2192" t="s">
        <v>217</v>
      </c>
      <c r="E2192">
        <f>IF(LEFT(D2192,6)="CLIENT",IFERROR(VLOOKUP(C2192,Config_Carteiras!$A:$B,2,FALSE),1),"")</f>
        <v>1</v>
      </c>
      <c r="F2192" s="25">
        <v>589</v>
      </c>
      <c r="G2192" s="28">
        <f>IF(LEFT(D2192,6)="CLIENT",IF(E2192=0,WORKDAY(A2192-1,1,Dias_Sem_Compensacao!$A$2:$A$500),WORKDAY(A2192,E2192,Dias_Sem_Compensacao!$A$2:$A$500)),"")</f>
        <v>46310</v>
      </c>
      <c r="H2192" s="25">
        <v>0</v>
      </c>
      <c r="I2192" s="28">
        <v>46309</v>
      </c>
      <c r="J2192" t="s">
        <v>2133</v>
      </c>
      <c r="K2192" t="s">
        <v>2134</v>
      </c>
    </row>
    <row r="2193" spans="1:11" hidden="1">
      <c r="A2193" s="28">
        <v>46310</v>
      </c>
      <c r="B2193" t="s">
        <v>186</v>
      </c>
      <c r="C2193" t="s">
        <v>203</v>
      </c>
      <c r="D2193" t="s">
        <v>217</v>
      </c>
      <c r="E2193">
        <f>IF(LEFT(D2193,6)="CLIENT",IFERROR(VLOOKUP(C2193,Config_Carteiras!$A:$B,2,FALSE),1),"")</f>
        <v>1</v>
      </c>
      <c r="F2193" s="25">
        <v>967</v>
      </c>
      <c r="G2193" s="28">
        <f>IF(LEFT(D2193,6)="CLIENT",IF(E2193=0,WORKDAY(A2193-1,1,Dias_Sem_Compensacao!$A$2:$A$500),WORKDAY(A2193,E2193,Dias_Sem_Compensacao!$A$2:$A$500)),"")</f>
        <v>46311</v>
      </c>
      <c r="H2193" s="25">
        <v>0</v>
      </c>
      <c r="I2193" s="28">
        <v>46310</v>
      </c>
      <c r="J2193" t="s">
        <v>2672</v>
      </c>
      <c r="K2193" t="s">
        <v>2673</v>
      </c>
    </row>
    <row r="2194" spans="1:11" hidden="1">
      <c r="A2194" s="28">
        <v>46310</v>
      </c>
      <c r="B2194" t="s">
        <v>186</v>
      </c>
      <c r="C2194" t="s">
        <v>203</v>
      </c>
      <c r="D2194" t="s">
        <v>217</v>
      </c>
      <c r="E2194">
        <f>IF(LEFT(D2194,6)="CLIENT",IFERROR(VLOOKUP(C2194,Config_Carteiras!$A:$B,2,FALSE),1),"")</f>
        <v>1</v>
      </c>
      <c r="F2194" s="25">
        <v>691</v>
      </c>
      <c r="G2194" s="28">
        <f>IF(LEFT(D2194,6)="CLIENT",IF(E2194=0,WORKDAY(A2194-1,1,Dias_Sem_Compensacao!$A$2:$A$500),WORKDAY(A2194,E2194,Dias_Sem_Compensacao!$A$2:$A$500)),"")</f>
        <v>46311</v>
      </c>
      <c r="H2194" s="25">
        <v>0</v>
      </c>
      <c r="I2194" s="28">
        <v>46310</v>
      </c>
      <c r="J2194" t="s">
        <v>2674</v>
      </c>
      <c r="K2194" t="s">
        <v>2675</v>
      </c>
    </row>
    <row r="2195" spans="1:11" hidden="1">
      <c r="A2195" s="28">
        <v>46310</v>
      </c>
      <c r="B2195" t="s">
        <v>186</v>
      </c>
      <c r="C2195" t="s">
        <v>203</v>
      </c>
      <c r="D2195" t="s">
        <v>217</v>
      </c>
      <c r="E2195">
        <f>IF(LEFT(D2195,6)="CLIENT",IFERROR(VLOOKUP(C2195,Config_Carteiras!$A:$B,2,FALSE),1),"")</f>
        <v>1</v>
      </c>
      <c r="F2195" s="25">
        <v>14592</v>
      </c>
      <c r="G2195" s="28">
        <f>IF(LEFT(D2195,6)="CLIENT",IF(E2195=0,WORKDAY(A2195-1,1,Dias_Sem_Compensacao!$A$2:$A$500),WORKDAY(A2195,E2195,Dias_Sem_Compensacao!$A$2:$A$500)),"")</f>
        <v>46311</v>
      </c>
      <c r="H2195" s="25">
        <v>0</v>
      </c>
      <c r="I2195" s="28">
        <v>46310</v>
      </c>
      <c r="J2195" t="s">
        <v>2135</v>
      </c>
      <c r="K2195" t="s">
        <v>2136</v>
      </c>
    </row>
    <row r="2196" spans="1:11" hidden="1">
      <c r="A2196" s="28">
        <v>46310</v>
      </c>
      <c r="B2196" t="s">
        <v>186</v>
      </c>
      <c r="C2196" t="s">
        <v>203</v>
      </c>
      <c r="D2196" t="s">
        <v>217</v>
      </c>
      <c r="E2196">
        <f>IF(LEFT(D2196,6)="CLIENT",IFERROR(VLOOKUP(C2196,Config_Carteiras!$A:$B,2,FALSE),1),"")</f>
        <v>1</v>
      </c>
      <c r="F2196" s="25">
        <v>532</v>
      </c>
      <c r="G2196" s="28">
        <f>IF(LEFT(D2196,6)="CLIENT",IF(E2196=0,WORKDAY(A2196-1,1,Dias_Sem_Compensacao!$A$2:$A$500),WORKDAY(A2196,E2196,Dias_Sem_Compensacao!$A$2:$A$500)),"")</f>
        <v>46311</v>
      </c>
      <c r="H2196" s="25">
        <v>0</v>
      </c>
      <c r="I2196" s="28">
        <v>46310</v>
      </c>
      <c r="J2196" t="s">
        <v>2137</v>
      </c>
      <c r="K2196" t="s">
        <v>2138</v>
      </c>
    </row>
    <row r="2197" spans="1:11" hidden="1">
      <c r="A2197" s="28">
        <v>46310</v>
      </c>
      <c r="B2197" t="s">
        <v>186</v>
      </c>
      <c r="C2197" t="s">
        <v>203</v>
      </c>
      <c r="D2197" t="s">
        <v>217</v>
      </c>
      <c r="E2197">
        <f>IF(LEFT(D2197,6)="CLIENT",IFERROR(VLOOKUP(C2197,Config_Carteiras!$A:$B,2,FALSE),1),"")</f>
        <v>1</v>
      </c>
      <c r="F2197" s="25">
        <v>510</v>
      </c>
      <c r="G2197" s="28">
        <f>IF(LEFT(D2197,6)="CLIENT",IF(E2197=0,WORKDAY(A2197-1,1,Dias_Sem_Compensacao!$A$2:$A$500),WORKDAY(A2197,E2197,Dias_Sem_Compensacao!$A$2:$A$500)),"")</f>
        <v>46311</v>
      </c>
      <c r="H2197" s="25">
        <v>0</v>
      </c>
      <c r="I2197" s="28">
        <v>46310</v>
      </c>
      <c r="J2197" t="s">
        <v>2139</v>
      </c>
      <c r="K2197" t="s">
        <v>2140</v>
      </c>
    </row>
    <row r="2198" spans="1:11" hidden="1">
      <c r="A2198" s="28">
        <v>46310</v>
      </c>
      <c r="B2198" t="s">
        <v>186</v>
      </c>
      <c r="C2198" t="s">
        <v>203</v>
      </c>
      <c r="D2198" t="s">
        <v>217</v>
      </c>
      <c r="E2198">
        <f>IF(LEFT(D2198,6)="CLIENT",IFERROR(VLOOKUP(C2198,Config_Carteiras!$A:$B,2,FALSE),1),"")</f>
        <v>1</v>
      </c>
      <c r="F2198" s="25">
        <v>873</v>
      </c>
      <c r="G2198" s="28">
        <f>IF(LEFT(D2198,6)="CLIENT",IF(E2198=0,WORKDAY(A2198-1,1,Dias_Sem_Compensacao!$A$2:$A$500),WORKDAY(A2198,E2198,Dias_Sem_Compensacao!$A$2:$A$500)),"")</f>
        <v>46311</v>
      </c>
      <c r="H2198" s="25">
        <v>0</v>
      </c>
      <c r="I2198" s="28">
        <v>46310</v>
      </c>
      <c r="J2198" t="s">
        <v>2676</v>
      </c>
      <c r="K2198" t="s">
        <v>2677</v>
      </c>
    </row>
    <row r="2199" spans="1:11" hidden="1">
      <c r="A2199" s="28">
        <v>46310</v>
      </c>
      <c r="B2199" t="s">
        <v>186</v>
      </c>
      <c r="C2199" t="s">
        <v>203</v>
      </c>
      <c r="D2199" t="s">
        <v>217</v>
      </c>
      <c r="E2199">
        <f>IF(LEFT(D2199,6)="CLIENT",IFERROR(VLOOKUP(C2199,Config_Carteiras!$A:$B,2,FALSE),1),"")</f>
        <v>1</v>
      </c>
      <c r="F2199" s="25">
        <v>822</v>
      </c>
      <c r="G2199" s="28">
        <f>IF(LEFT(D2199,6)="CLIENT",IF(E2199=0,WORKDAY(A2199-1,1,Dias_Sem_Compensacao!$A$2:$A$500),WORKDAY(A2199,E2199,Dias_Sem_Compensacao!$A$2:$A$500)),"")</f>
        <v>46311</v>
      </c>
      <c r="H2199" s="25">
        <v>0</v>
      </c>
      <c r="I2199" s="28">
        <v>46310</v>
      </c>
      <c r="J2199" t="s">
        <v>2141</v>
      </c>
      <c r="K2199" t="s">
        <v>2142</v>
      </c>
    </row>
    <row r="2200" spans="1:11" hidden="1">
      <c r="A2200" s="28">
        <v>46310</v>
      </c>
      <c r="B2200" t="s">
        <v>186</v>
      </c>
      <c r="C2200" t="s">
        <v>203</v>
      </c>
      <c r="D2200" t="s">
        <v>217</v>
      </c>
      <c r="E2200">
        <f>IF(LEFT(D2200,6)="CLIENT",IFERROR(VLOOKUP(C2200,Config_Carteiras!$A:$B,2,FALSE),1),"")</f>
        <v>1</v>
      </c>
      <c r="F2200" s="25">
        <v>792</v>
      </c>
      <c r="G2200" s="28">
        <f>IF(LEFT(D2200,6)="CLIENT",IF(E2200=0,WORKDAY(A2200-1,1,Dias_Sem_Compensacao!$A$2:$A$500),WORKDAY(A2200,E2200,Dias_Sem_Compensacao!$A$2:$A$500)),"")</f>
        <v>46311</v>
      </c>
      <c r="H2200" s="25">
        <v>0</v>
      </c>
      <c r="I2200" s="28">
        <v>46310</v>
      </c>
      <c r="J2200" t="s">
        <v>2678</v>
      </c>
      <c r="K2200" t="s">
        <v>2679</v>
      </c>
    </row>
    <row r="2201" spans="1:11" hidden="1">
      <c r="A2201" s="28">
        <v>46310</v>
      </c>
      <c r="B2201" t="s">
        <v>186</v>
      </c>
      <c r="C2201" t="s">
        <v>203</v>
      </c>
      <c r="D2201" t="s">
        <v>217</v>
      </c>
      <c r="E2201">
        <f>IF(LEFT(D2201,6)="CLIENT",IFERROR(VLOOKUP(C2201,Config_Carteiras!$A:$B,2,FALSE),1),"")</f>
        <v>1</v>
      </c>
      <c r="F2201" s="25">
        <v>1370</v>
      </c>
      <c r="G2201" s="28">
        <f>IF(LEFT(D2201,6)="CLIENT",IF(E2201=0,WORKDAY(A2201-1,1,Dias_Sem_Compensacao!$A$2:$A$500),WORKDAY(A2201,E2201,Dias_Sem_Compensacao!$A$2:$A$500)),"")</f>
        <v>46311</v>
      </c>
      <c r="H2201" s="25">
        <v>0</v>
      </c>
      <c r="I2201" s="28">
        <v>46310</v>
      </c>
      <c r="J2201" t="s">
        <v>2680</v>
      </c>
      <c r="K2201" t="s">
        <v>2681</v>
      </c>
    </row>
    <row r="2202" spans="1:11" hidden="1">
      <c r="A2202" s="28">
        <v>46310</v>
      </c>
      <c r="B2202" t="s">
        <v>186</v>
      </c>
      <c r="C2202" t="s">
        <v>203</v>
      </c>
      <c r="D2202" t="s">
        <v>217</v>
      </c>
      <c r="E2202">
        <f>IF(LEFT(D2202,6)="CLIENT",IFERROR(VLOOKUP(C2202,Config_Carteiras!$A:$B,2,FALSE),1),"")</f>
        <v>1</v>
      </c>
      <c r="F2202" s="25">
        <v>878</v>
      </c>
      <c r="G2202" s="28">
        <f>IF(LEFT(D2202,6)="CLIENT",IF(E2202=0,WORKDAY(A2202-1,1,Dias_Sem_Compensacao!$A$2:$A$500),WORKDAY(A2202,E2202,Dias_Sem_Compensacao!$A$2:$A$500)),"")</f>
        <v>46311</v>
      </c>
      <c r="H2202" s="25">
        <v>0</v>
      </c>
      <c r="I2202" s="28">
        <v>46310</v>
      </c>
      <c r="J2202" t="s">
        <v>1451</v>
      </c>
      <c r="K2202" t="s">
        <v>1452</v>
      </c>
    </row>
    <row r="2203" spans="1:11" hidden="1">
      <c r="A2203" s="28">
        <v>46310</v>
      </c>
      <c r="B2203" t="s">
        <v>186</v>
      </c>
      <c r="C2203" t="s">
        <v>203</v>
      </c>
      <c r="D2203" t="s">
        <v>217</v>
      </c>
      <c r="E2203">
        <f>IF(LEFT(D2203,6)="CLIENT",IFERROR(VLOOKUP(C2203,Config_Carteiras!$A:$B,2,FALSE),1),"")</f>
        <v>1</v>
      </c>
      <c r="F2203" s="25">
        <v>810</v>
      </c>
      <c r="G2203" s="28">
        <f>IF(LEFT(D2203,6)="CLIENT",IF(E2203=0,WORKDAY(A2203-1,1,Dias_Sem_Compensacao!$A$2:$A$500),WORKDAY(A2203,E2203,Dias_Sem_Compensacao!$A$2:$A$500)),"")</f>
        <v>46311</v>
      </c>
      <c r="H2203" s="25">
        <v>0</v>
      </c>
      <c r="I2203" s="28">
        <v>46310</v>
      </c>
      <c r="J2203" t="s">
        <v>1463</v>
      </c>
      <c r="K2203" t="s">
        <v>1464</v>
      </c>
    </row>
    <row r="2204" spans="1:11" hidden="1">
      <c r="A2204" s="28">
        <v>46310</v>
      </c>
      <c r="B2204" t="s">
        <v>186</v>
      </c>
      <c r="C2204" t="s">
        <v>203</v>
      </c>
      <c r="D2204" t="s">
        <v>217</v>
      </c>
      <c r="E2204">
        <f>IF(LEFT(D2204,6)="CLIENT",IFERROR(VLOOKUP(C2204,Config_Carteiras!$A:$B,2,FALSE),1),"")</f>
        <v>1</v>
      </c>
      <c r="F2204" s="25">
        <v>3406.25</v>
      </c>
      <c r="G2204" s="28">
        <f>IF(LEFT(D2204,6)="CLIENT",IF(E2204=0,WORKDAY(A2204-1,1,Dias_Sem_Compensacao!$A$2:$A$500),WORKDAY(A2204,E2204,Dias_Sem_Compensacao!$A$2:$A$500)),"")</f>
        <v>46311</v>
      </c>
      <c r="H2204" s="25">
        <v>0</v>
      </c>
      <c r="I2204" s="28">
        <v>46310</v>
      </c>
      <c r="J2204" t="s">
        <v>2682</v>
      </c>
      <c r="K2204" t="s">
        <v>2683</v>
      </c>
    </row>
    <row r="2205" spans="1:11" hidden="1">
      <c r="A2205" s="28">
        <v>46310</v>
      </c>
      <c r="B2205" t="s">
        <v>186</v>
      </c>
      <c r="C2205" t="s">
        <v>203</v>
      </c>
      <c r="D2205" t="s">
        <v>217</v>
      </c>
      <c r="E2205">
        <f>IF(LEFT(D2205,6)="CLIENT",IFERROR(VLOOKUP(C2205,Config_Carteiras!$A:$B,2,FALSE),1),"")</f>
        <v>1</v>
      </c>
      <c r="F2205" s="25">
        <v>642</v>
      </c>
      <c r="G2205" s="28">
        <f>IF(LEFT(D2205,6)="CLIENT",IF(E2205=0,WORKDAY(A2205-1,1,Dias_Sem_Compensacao!$A$2:$A$500),WORKDAY(A2205,E2205,Dias_Sem_Compensacao!$A$2:$A$500)),"")</f>
        <v>46311</v>
      </c>
      <c r="H2205" s="25">
        <v>0</v>
      </c>
      <c r="I2205" s="28">
        <v>46310</v>
      </c>
      <c r="J2205" t="s">
        <v>2684</v>
      </c>
      <c r="K2205" t="s">
        <v>2685</v>
      </c>
    </row>
    <row r="2206" spans="1:11" hidden="1">
      <c r="A2206" s="28">
        <v>46310</v>
      </c>
      <c r="B2206" t="s">
        <v>186</v>
      </c>
      <c r="C2206" t="s">
        <v>203</v>
      </c>
      <c r="D2206" t="s">
        <v>217</v>
      </c>
      <c r="E2206">
        <f>IF(LEFT(D2206,6)="CLIENT",IFERROR(VLOOKUP(C2206,Config_Carteiras!$A:$B,2,FALSE),1),"")</f>
        <v>1</v>
      </c>
      <c r="F2206" s="25">
        <v>3634.51</v>
      </c>
      <c r="G2206" s="28">
        <f>IF(LEFT(D2206,6)="CLIENT",IF(E2206=0,WORKDAY(A2206-1,1,Dias_Sem_Compensacao!$A$2:$A$500),WORKDAY(A2206,E2206,Dias_Sem_Compensacao!$A$2:$A$500)),"")</f>
        <v>46311</v>
      </c>
      <c r="H2206" s="25">
        <v>0</v>
      </c>
      <c r="I2206" s="28">
        <v>46310</v>
      </c>
      <c r="J2206" t="s">
        <v>1147</v>
      </c>
      <c r="K2206" t="s">
        <v>2686</v>
      </c>
    </row>
    <row r="2207" spans="1:11" hidden="1">
      <c r="A2207" s="28">
        <v>46310</v>
      </c>
      <c r="B2207" t="s">
        <v>186</v>
      </c>
      <c r="C2207" t="s">
        <v>203</v>
      </c>
      <c r="D2207" t="s">
        <v>217</v>
      </c>
      <c r="E2207">
        <f>IF(LEFT(D2207,6)="CLIENT",IFERROR(VLOOKUP(C2207,Config_Carteiras!$A:$B,2,FALSE),1),"")</f>
        <v>1</v>
      </c>
      <c r="F2207" s="25">
        <v>4725</v>
      </c>
      <c r="G2207" s="28">
        <f>IF(LEFT(D2207,6)="CLIENT",IF(E2207=0,WORKDAY(A2207-1,1,Dias_Sem_Compensacao!$A$2:$A$500),WORKDAY(A2207,E2207,Dias_Sem_Compensacao!$A$2:$A$500)),"")</f>
        <v>46311</v>
      </c>
      <c r="H2207" s="25">
        <v>0</v>
      </c>
      <c r="I2207" s="28">
        <v>46310</v>
      </c>
      <c r="J2207" t="s">
        <v>2147</v>
      </c>
      <c r="K2207" t="s">
        <v>2148</v>
      </c>
    </row>
    <row r="2208" spans="1:11" hidden="1">
      <c r="A2208" s="28">
        <v>46310</v>
      </c>
      <c r="B2208" t="s">
        <v>186</v>
      </c>
      <c r="C2208" t="s">
        <v>203</v>
      </c>
      <c r="D2208" t="s">
        <v>217</v>
      </c>
      <c r="E2208">
        <f>IF(LEFT(D2208,6)="CLIENT",IFERROR(VLOOKUP(C2208,Config_Carteiras!$A:$B,2,FALSE),1),"")</f>
        <v>1</v>
      </c>
      <c r="F2208" s="25">
        <v>561</v>
      </c>
      <c r="G2208" s="28">
        <f>IF(LEFT(D2208,6)="CLIENT",IF(E2208=0,WORKDAY(A2208-1,1,Dias_Sem_Compensacao!$A$2:$A$500),WORKDAY(A2208,E2208,Dias_Sem_Compensacao!$A$2:$A$500)),"")</f>
        <v>46311</v>
      </c>
      <c r="H2208" s="25">
        <v>0</v>
      </c>
      <c r="I2208" s="28">
        <v>46310</v>
      </c>
      <c r="J2208" t="s">
        <v>1469</v>
      </c>
      <c r="K2208" t="s">
        <v>1470</v>
      </c>
    </row>
    <row r="2209" spans="1:11" hidden="1">
      <c r="A2209" s="28">
        <v>46310</v>
      </c>
      <c r="B2209" t="s">
        <v>186</v>
      </c>
      <c r="C2209" t="s">
        <v>203</v>
      </c>
      <c r="D2209" t="s">
        <v>217</v>
      </c>
      <c r="E2209">
        <f>IF(LEFT(D2209,6)="CLIENT",IFERROR(VLOOKUP(C2209,Config_Carteiras!$A:$B,2,FALSE),1),"")</f>
        <v>1</v>
      </c>
      <c r="F2209" s="25">
        <v>2106.4</v>
      </c>
      <c r="G2209" s="28">
        <f>IF(LEFT(D2209,6)="CLIENT",IF(E2209=0,WORKDAY(A2209-1,1,Dias_Sem_Compensacao!$A$2:$A$500),WORKDAY(A2209,E2209,Dias_Sem_Compensacao!$A$2:$A$500)),"")</f>
        <v>46311</v>
      </c>
      <c r="H2209" s="25">
        <v>0</v>
      </c>
      <c r="I2209" s="28">
        <v>46310</v>
      </c>
      <c r="J2209" t="s">
        <v>1472</v>
      </c>
      <c r="K2209" t="s">
        <v>1473</v>
      </c>
    </row>
    <row r="2210" spans="1:11" hidden="1">
      <c r="A2210" s="28">
        <v>46310</v>
      </c>
      <c r="B2210" t="s">
        <v>186</v>
      </c>
      <c r="C2210" t="s">
        <v>203</v>
      </c>
      <c r="D2210" t="s">
        <v>217</v>
      </c>
      <c r="E2210">
        <f>IF(LEFT(D2210,6)="CLIENT",IFERROR(VLOOKUP(C2210,Config_Carteiras!$A:$B,2,FALSE),1),"")</f>
        <v>1</v>
      </c>
      <c r="F2210" s="25">
        <v>777</v>
      </c>
      <c r="G2210" s="28">
        <f>IF(LEFT(D2210,6)="CLIENT",IF(E2210=0,WORKDAY(A2210-1,1,Dias_Sem_Compensacao!$A$2:$A$500),WORKDAY(A2210,E2210,Dias_Sem_Compensacao!$A$2:$A$500)),"")</f>
        <v>46311</v>
      </c>
      <c r="H2210" s="25">
        <v>0</v>
      </c>
      <c r="I2210" s="28">
        <v>46310</v>
      </c>
      <c r="J2210" t="s">
        <v>2687</v>
      </c>
      <c r="K2210" t="s">
        <v>2688</v>
      </c>
    </row>
    <row r="2211" spans="1:11" hidden="1">
      <c r="A2211" s="28">
        <v>46310</v>
      </c>
      <c r="B2211" t="s">
        <v>186</v>
      </c>
      <c r="C2211" t="s">
        <v>203</v>
      </c>
      <c r="D2211" t="s">
        <v>217</v>
      </c>
      <c r="E2211">
        <f>IF(LEFT(D2211,6)="CLIENT",IFERROR(VLOOKUP(C2211,Config_Carteiras!$A:$B,2,FALSE),1),"")</f>
        <v>1</v>
      </c>
      <c r="F2211" s="25">
        <v>1200</v>
      </c>
      <c r="G2211" s="28">
        <f>IF(LEFT(D2211,6)="CLIENT",IF(E2211=0,WORKDAY(A2211-1,1,Dias_Sem_Compensacao!$A$2:$A$500),WORKDAY(A2211,E2211,Dias_Sem_Compensacao!$A$2:$A$500)),"")</f>
        <v>46311</v>
      </c>
      <c r="H2211" s="25">
        <v>0</v>
      </c>
      <c r="I2211" s="28">
        <v>46310</v>
      </c>
      <c r="J2211" t="s">
        <v>2152</v>
      </c>
      <c r="K2211" t="s">
        <v>2153</v>
      </c>
    </row>
    <row r="2212" spans="1:11" hidden="1">
      <c r="A2212" s="28">
        <v>46310</v>
      </c>
      <c r="B2212" t="s">
        <v>186</v>
      </c>
      <c r="C2212" t="s">
        <v>203</v>
      </c>
      <c r="D2212" t="s">
        <v>217</v>
      </c>
      <c r="E2212">
        <f>IF(LEFT(D2212,6)="CLIENT",IFERROR(VLOOKUP(C2212,Config_Carteiras!$A:$B,2,FALSE),1),"")</f>
        <v>1</v>
      </c>
      <c r="F2212" s="25">
        <v>1101</v>
      </c>
      <c r="G2212" s="28">
        <f>IF(LEFT(D2212,6)="CLIENT",IF(E2212=0,WORKDAY(A2212-1,1,Dias_Sem_Compensacao!$A$2:$A$500),WORKDAY(A2212,E2212,Dias_Sem_Compensacao!$A$2:$A$500)),"")</f>
        <v>46311</v>
      </c>
      <c r="H2212" s="25">
        <v>0</v>
      </c>
      <c r="I2212" s="28">
        <v>46310</v>
      </c>
      <c r="J2212" t="s">
        <v>2689</v>
      </c>
      <c r="K2212" t="s">
        <v>2690</v>
      </c>
    </row>
    <row r="2213" spans="1:11" hidden="1">
      <c r="A2213" s="28">
        <v>46310</v>
      </c>
      <c r="B2213" t="s">
        <v>186</v>
      </c>
      <c r="C2213" t="s">
        <v>203</v>
      </c>
      <c r="D2213" t="s">
        <v>217</v>
      </c>
      <c r="E2213">
        <f>IF(LEFT(D2213,6)="CLIENT",IFERROR(VLOOKUP(C2213,Config_Carteiras!$A:$B,2,FALSE),1),"")</f>
        <v>1</v>
      </c>
      <c r="F2213" s="25">
        <v>828</v>
      </c>
      <c r="G2213" s="28">
        <f>IF(LEFT(D2213,6)="CLIENT",IF(E2213=0,WORKDAY(A2213-1,1,Dias_Sem_Compensacao!$A$2:$A$500),WORKDAY(A2213,E2213,Dias_Sem_Compensacao!$A$2:$A$500)),"")</f>
        <v>46311</v>
      </c>
      <c r="H2213" s="25">
        <v>0</v>
      </c>
      <c r="I2213" s="28">
        <v>46310</v>
      </c>
      <c r="J2213" t="s">
        <v>2154</v>
      </c>
      <c r="K2213" t="s">
        <v>2155</v>
      </c>
    </row>
    <row r="2214" spans="1:11" hidden="1">
      <c r="A2214" s="28">
        <v>46310</v>
      </c>
      <c r="B2214" t="s">
        <v>186</v>
      </c>
      <c r="C2214" t="s">
        <v>203</v>
      </c>
      <c r="D2214" t="s">
        <v>217</v>
      </c>
      <c r="E2214">
        <f>IF(LEFT(D2214,6)="CLIENT",IFERROR(VLOOKUP(C2214,Config_Carteiras!$A:$B,2,FALSE),1),"")</f>
        <v>1</v>
      </c>
      <c r="F2214" s="25">
        <v>1745</v>
      </c>
      <c r="G2214" s="28">
        <f>IF(LEFT(D2214,6)="CLIENT",IF(E2214=0,WORKDAY(A2214-1,1,Dias_Sem_Compensacao!$A$2:$A$500),WORKDAY(A2214,E2214,Dias_Sem_Compensacao!$A$2:$A$500)),"")</f>
        <v>46311</v>
      </c>
      <c r="H2214" s="25">
        <v>0</v>
      </c>
      <c r="I2214" s="28">
        <v>46310</v>
      </c>
      <c r="J2214" t="s">
        <v>2156</v>
      </c>
      <c r="K2214" t="s">
        <v>2157</v>
      </c>
    </row>
    <row r="2215" spans="1:11" hidden="1">
      <c r="A2215" s="28">
        <v>46310</v>
      </c>
      <c r="B2215" t="s">
        <v>186</v>
      </c>
      <c r="C2215" t="s">
        <v>203</v>
      </c>
      <c r="D2215" t="s">
        <v>217</v>
      </c>
      <c r="E2215">
        <f>IF(LEFT(D2215,6)="CLIENT",IFERROR(VLOOKUP(C2215,Config_Carteiras!$A:$B,2,FALSE),1),"")</f>
        <v>1</v>
      </c>
      <c r="F2215" s="25">
        <v>3082.03</v>
      </c>
      <c r="G2215" s="28">
        <f>IF(LEFT(D2215,6)="CLIENT",IF(E2215=0,WORKDAY(A2215-1,1,Dias_Sem_Compensacao!$A$2:$A$500),WORKDAY(A2215,E2215,Dias_Sem_Compensacao!$A$2:$A$500)),"")</f>
        <v>46311</v>
      </c>
      <c r="H2215" s="25">
        <v>0</v>
      </c>
      <c r="I2215" s="28">
        <v>46310</v>
      </c>
      <c r="J2215" t="s">
        <v>2691</v>
      </c>
      <c r="K2215" t="s">
        <v>2692</v>
      </c>
    </row>
    <row r="2216" spans="1:11" hidden="1">
      <c r="A2216" s="28">
        <v>46310</v>
      </c>
      <c r="B2216" t="s">
        <v>186</v>
      </c>
      <c r="C2216" t="s">
        <v>203</v>
      </c>
      <c r="D2216" t="s">
        <v>217</v>
      </c>
      <c r="E2216">
        <f>IF(LEFT(D2216,6)="CLIENT",IFERROR(VLOOKUP(C2216,Config_Carteiras!$A:$B,2,FALSE),1),"")</f>
        <v>1</v>
      </c>
      <c r="F2216" s="25">
        <v>934</v>
      </c>
      <c r="G2216" s="28">
        <f>IF(LEFT(D2216,6)="CLIENT",IF(E2216=0,WORKDAY(A2216-1,1,Dias_Sem_Compensacao!$A$2:$A$500),WORKDAY(A2216,E2216,Dias_Sem_Compensacao!$A$2:$A$500)),"")</f>
        <v>46311</v>
      </c>
      <c r="H2216" s="25">
        <v>0</v>
      </c>
      <c r="I2216" s="28">
        <v>46310</v>
      </c>
      <c r="J2216" t="s">
        <v>2158</v>
      </c>
      <c r="K2216" t="s">
        <v>2159</v>
      </c>
    </row>
    <row r="2217" spans="1:11" hidden="1">
      <c r="A2217" s="28">
        <v>46310</v>
      </c>
      <c r="B2217" t="s">
        <v>186</v>
      </c>
      <c r="C2217" t="s">
        <v>203</v>
      </c>
      <c r="D2217" t="s">
        <v>217</v>
      </c>
      <c r="E2217">
        <f>IF(LEFT(D2217,6)="CLIENT",IFERROR(VLOOKUP(C2217,Config_Carteiras!$A:$B,2,FALSE),1),"")</f>
        <v>1</v>
      </c>
      <c r="F2217" s="25">
        <v>1143</v>
      </c>
      <c r="G2217" s="28">
        <f>IF(LEFT(D2217,6)="CLIENT",IF(E2217=0,WORKDAY(A2217-1,1,Dias_Sem_Compensacao!$A$2:$A$500),WORKDAY(A2217,E2217,Dias_Sem_Compensacao!$A$2:$A$500)),"")</f>
        <v>46311</v>
      </c>
      <c r="H2217" s="25">
        <v>0</v>
      </c>
      <c r="I2217" s="28">
        <v>46310</v>
      </c>
      <c r="K2217" t="s">
        <v>2160</v>
      </c>
    </row>
    <row r="2218" spans="1:11" hidden="1">
      <c r="A2218" s="28">
        <v>46310</v>
      </c>
      <c r="B2218" t="s">
        <v>186</v>
      </c>
      <c r="C2218" t="s">
        <v>203</v>
      </c>
      <c r="D2218" t="s">
        <v>217</v>
      </c>
      <c r="E2218">
        <f>IF(LEFT(D2218,6)="CLIENT",IFERROR(VLOOKUP(C2218,Config_Carteiras!$A:$B,2,FALSE),1),"")</f>
        <v>1</v>
      </c>
      <c r="F2218" s="25">
        <v>1115</v>
      </c>
      <c r="G2218" s="28">
        <f>IF(LEFT(D2218,6)="CLIENT",IF(E2218=0,WORKDAY(A2218-1,1,Dias_Sem_Compensacao!$A$2:$A$500),WORKDAY(A2218,E2218,Dias_Sem_Compensacao!$A$2:$A$500)),"")</f>
        <v>46311</v>
      </c>
      <c r="H2218" s="25">
        <v>0</v>
      </c>
      <c r="I2218" s="28">
        <v>46310</v>
      </c>
      <c r="J2218" t="s">
        <v>1476</v>
      </c>
      <c r="K2218" t="s">
        <v>1477</v>
      </c>
    </row>
    <row r="2219" spans="1:11" hidden="1">
      <c r="A2219" s="28">
        <v>46310</v>
      </c>
      <c r="B2219" t="s">
        <v>186</v>
      </c>
      <c r="C2219" t="s">
        <v>203</v>
      </c>
      <c r="D2219" t="s">
        <v>217</v>
      </c>
      <c r="E2219">
        <f>IF(LEFT(D2219,6)="CLIENT",IFERROR(VLOOKUP(C2219,Config_Carteiras!$A:$B,2,FALSE),1),"")</f>
        <v>1</v>
      </c>
      <c r="F2219" s="25">
        <v>7906</v>
      </c>
      <c r="G2219" s="28">
        <f>IF(LEFT(D2219,6)="CLIENT",IF(E2219=0,WORKDAY(A2219-1,1,Dias_Sem_Compensacao!$A$2:$A$500),WORKDAY(A2219,E2219,Dias_Sem_Compensacao!$A$2:$A$500)),"")</f>
        <v>46311</v>
      </c>
      <c r="H2219" s="25">
        <v>0</v>
      </c>
      <c r="I2219" s="28">
        <v>46310</v>
      </c>
      <c r="J2219" t="s">
        <v>1478</v>
      </c>
      <c r="K2219" t="s">
        <v>1479</v>
      </c>
    </row>
    <row r="2220" spans="1:11" hidden="1">
      <c r="A2220" s="28">
        <v>46310</v>
      </c>
      <c r="B2220" t="s">
        <v>186</v>
      </c>
      <c r="C2220" t="s">
        <v>203</v>
      </c>
      <c r="D2220" t="s">
        <v>217</v>
      </c>
      <c r="E2220">
        <f>IF(LEFT(D2220,6)="CLIENT",IFERROR(VLOOKUP(C2220,Config_Carteiras!$A:$B,2,FALSE),1),"")</f>
        <v>1</v>
      </c>
      <c r="F2220" s="25">
        <v>1963.67</v>
      </c>
      <c r="G2220" s="28">
        <f>IF(LEFT(D2220,6)="CLIENT",IF(E2220=0,WORKDAY(A2220-1,1,Dias_Sem_Compensacao!$A$2:$A$500),WORKDAY(A2220,E2220,Dias_Sem_Compensacao!$A$2:$A$500)),"")</f>
        <v>46311</v>
      </c>
      <c r="H2220" s="25">
        <v>0</v>
      </c>
      <c r="I2220" s="28">
        <v>46310</v>
      </c>
      <c r="J2220" t="s">
        <v>2693</v>
      </c>
      <c r="K2220" t="s">
        <v>2694</v>
      </c>
    </row>
    <row r="2221" spans="1:11" hidden="1">
      <c r="A2221" s="28">
        <v>46310</v>
      </c>
      <c r="B2221" t="s">
        <v>186</v>
      </c>
      <c r="C2221" t="s">
        <v>203</v>
      </c>
      <c r="D2221" t="s">
        <v>217</v>
      </c>
      <c r="E2221">
        <f>IF(LEFT(D2221,6)="CLIENT",IFERROR(VLOOKUP(C2221,Config_Carteiras!$A:$B,2,FALSE),1),"")</f>
        <v>1</v>
      </c>
      <c r="F2221" s="25">
        <v>3808.44</v>
      </c>
      <c r="G2221" s="28">
        <f>IF(LEFT(D2221,6)="CLIENT",IF(E2221=0,WORKDAY(A2221-1,1,Dias_Sem_Compensacao!$A$2:$A$500),WORKDAY(A2221,E2221,Dias_Sem_Compensacao!$A$2:$A$500)),"")</f>
        <v>46311</v>
      </c>
      <c r="H2221" s="25">
        <v>0</v>
      </c>
      <c r="I2221" s="28">
        <v>46310</v>
      </c>
      <c r="K2221" t="s">
        <v>2695</v>
      </c>
    </row>
    <row r="2222" spans="1:11" hidden="1">
      <c r="A2222" s="28">
        <v>46310</v>
      </c>
      <c r="B2222" t="s">
        <v>186</v>
      </c>
      <c r="C2222" t="s">
        <v>203</v>
      </c>
      <c r="D2222" t="s">
        <v>217</v>
      </c>
      <c r="E2222">
        <f>IF(LEFT(D2222,6)="CLIENT",IFERROR(VLOOKUP(C2222,Config_Carteiras!$A:$B,2,FALSE),1),"")</f>
        <v>1</v>
      </c>
      <c r="F2222" s="25">
        <v>646.80999999999995</v>
      </c>
      <c r="G2222" s="28">
        <f>IF(LEFT(D2222,6)="CLIENT",IF(E2222=0,WORKDAY(A2222-1,1,Dias_Sem_Compensacao!$A$2:$A$500),WORKDAY(A2222,E2222,Dias_Sem_Compensacao!$A$2:$A$500)),"")</f>
        <v>46311</v>
      </c>
      <c r="H2222" s="25">
        <v>0</v>
      </c>
      <c r="I2222" s="28">
        <v>46310</v>
      </c>
      <c r="J2222" t="s">
        <v>278</v>
      </c>
      <c r="K2222" t="s">
        <v>2696</v>
      </c>
    </row>
    <row r="2223" spans="1:11" hidden="1">
      <c r="A2223" s="28">
        <v>46310</v>
      </c>
      <c r="B2223" t="s">
        <v>186</v>
      </c>
      <c r="C2223" t="s">
        <v>203</v>
      </c>
      <c r="D2223" t="s">
        <v>217</v>
      </c>
      <c r="E2223">
        <f>IF(LEFT(D2223,6)="CLIENT",IFERROR(VLOOKUP(C2223,Config_Carteiras!$A:$B,2,FALSE),1),"")</f>
        <v>1</v>
      </c>
      <c r="F2223" s="25">
        <v>1378</v>
      </c>
      <c r="G2223" s="28">
        <f>IF(LEFT(D2223,6)="CLIENT",IF(E2223=0,WORKDAY(A2223-1,1,Dias_Sem_Compensacao!$A$2:$A$500),WORKDAY(A2223,E2223,Dias_Sem_Compensacao!$A$2:$A$500)),"")</f>
        <v>46311</v>
      </c>
      <c r="H2223" s="25">
        <v>0</v>
      </c>
      <c r="I2223" s="28">
        <v>46310</v>
      </c>
      <c r="J2223" t="s">
        <v>2697</v>
      </c>
      <c r="K2223" t="s">
        <v>2698</v>
      </c>
    </row>
    <row r="2224" spans="1:11" hidden="1">
      <c r="A2224" s="28">
        <v>46310</v>
      </c>
      <c r="B2224" t="s">
        <v>186</v>
      </c>
      <c r="C2224" t="s">
        <v>203</v>
      </c>
      <c r="D2224" t="s">
        <v>217</v>
      </c>
      <c r="E2224">
        <f>IF(LEFT(D2224,6)="CLIENT",IFERROR(VLOOKUP(C2224,Config_Carteiras!$A:$B,2,FALSE),1),"")</f>
        <v>1</v>
      </c>
      <c r="F2224" s="25">
        <v>478.13</v>
      </c>
      <c r="G2224" s="28">
        <f>IF(LEFT(D2224,6)="CLIENT",IF(E2224=0,WORKDAY(A2224-1,1,Dias_Sem_Compensacao!$A$2:$A$500),WORKDAY(A2224,E2224,Dias_Sem_Compensacao!$A$2:$A$500)),"")</f>
        <v>46311</v>
      </c>
      <c r="H2224" s="25">
        <v>0</v>
      </c>
      <c r="I2224" s="28">
        <v>46310</v>
      </c>
      <c r="J2224" t="s">
        <v>1485</v>
      </c>
      <c r="K2224" t="s">
        <v>1486</v>
      </c>
    </row>
    <row r="2225" spans="1:11" hidden="1">
      <c r="A2225" s="28">
        <v>46310</v>
      </c>
      <c r="B2225" t="s">
        <v>186</v>
      </c>
      <c r="C2225" t="s">
        <v>203</v>
      </c>
      <c r="D2225" t="s">
        <v>217</v>
      </c>
      <c r="E2225">
        <f>IF(LEFT(D2225,6)="CLIENT",IFERROR(VLOOKUP(C2225,Config_Carteiras!$A:$B,2,FALSE),1),"")</f>
        <v>1</v>
      </c>
      <c r="F2225" s="25">
        <v>848.73</v>
      </c>
      <c r="G2225" s="28">
        <f>IF(LEFT(D2225,6)="CLIENT",IF(E2225=0,WORKDAY(A2225-1,1,Dias_Sem_Compensacao!$A$2:$A$500),WORKDAY(A2225,E2225,Dias_Sem_Compensacao!$A$2:$A$500)),"")</f>
        <v>46311</v>
      </c>
      <c r="H2225" s="25">
        <v>0</v>
      </c>
      <c r="I2225" s="28">
        <v>46310</v>
      </c>
      <c r="J2225" t="s">
        <v>2699</v>
      </c>
      <c r="K2225" t="s">
        <v>2700</v>
      </c>
    </row>
    <row r="2226" spans="1:11" hidden="1">
      <c r="A2226" s="28">
        <v>46310</v>
      </c>
      <c r="B2226" t="s">
        <v>186</v>
      </c>
      <c r="C2226" t="s">
        <v>203</v>
      </c>
      <c r="D2226" t="s">
        <v>217</v>
      </c>
      <c r="E2226">
        <f>IF(LEFT(D2226,6)="CLIENT",IFERROR(VLOOKUP(C2226,Config_Carteiras!$A:$B,2,FALSE),1),"")</f>
        <v>1</v>
      </c>
      <c r="F2226" s="25">
        <v>410</v>
      </c>
      <c r="G2226" s="28">
        <f>IF(LEFT(D2226,6)="CLIENT",IF(E2226=0,WORKDAY(A2226-1,1,Dias_Sem_Compensacao!$A$2:$A$500),WORKDAY(A2226,E2226,Dias_Sem_Compensacao!$A$2:$A$500)),"")</f>
        <v>46311</v>
      </c>
      <c r="H2226" s="25">
        <v>0</v>
      </c>
      <c r="I2226" s="28">
        <v>46310</v>
      </c>
      <c r="J2226" t="s">
        <v>2701</v>
      </c>
      <c r="K2226" t="s">
        <v>2702</v>
      </c>
    </row>
    <row r="2227" spans="1:11" hidden="1">
      <c r="A2227" s="28">
        <v>46310</v>
      </c>
      <c r="B2227" t="s">
        <v>186</v>
      </c>
      <c r="C2227" t="s">
        <v>203</v>
      </c>
      <c r="D2227" t="s">
        <v>217</v>
      </c>
      <c r="E2227">
        <f>IF(LEFT(D2227,6)="CLIENT",IFERROR(VLOOKUP(C2227,Config_Carteiras!$A:$B,2,FALSE),1),"")</f>
        <v>1</v>
      </c>
      <c r="F2227" s="25">
        <v>729.54</v>
      </c>
      <c r="G2227" s="28">
        <f>IF(LEFT(D2227,6)="CLIENT",IF(E2227=0,WORKDAY(A2227-1,1,Dias_Sem_Compensacao!$A$2:$A$500),WORKDAY(A2227,E2227,Dias_Sem_Compensacao!$A$2:$A$500)),"")</f>
        <v>46311</v>
      </c>
      <c r="H2227" s="25">
        <v>0</v>
      </c>
      <c r="I2227" s="28">
        <v>46310</v>
      </c>
      <c r="J2227" t="s">
        <v>1164</v>
      </c>
      <c r="K2227" t="s">
        <v>2167</v>
      </c>
    </row>
    <row r="2228" spans="1:11" hidden="1">
      <c r="A2228" s="28">
        <v>46310</v>
      </c>
      <c r="B2228" t="s">
        <v>186</v>
      </c>
      <c r="C2228" t="s">
        <v>203</v>
      </c>
      <c r="D2228" t="s">
        <v>217</v>
      </c>
      <c r="E2228">
        <f>IF(LEFT(D2228,6)="CLIENT",IFERROR(VLOOKUP(C2228,Config_Carteiras!$A:$B,2,FALSE),1),"")</f>
        <v>1</v>
      </c>
      <c r="F2228" s="25">
        <v>723.85</v>
      </c>
      <c r="G2228" s="28">
        <f>IF(LEFT(D2228,6)="CLIENT",IF(E2228=0,WORKDAY(A2228-1,1,Dias_Sem_Compensacao!$A$2:$A$500),WORKDAY(A2228,E2228,Dias_Sem_Compensacao!$A$2:$A$500)),"")</f>
        <v>46311</v>
      </c>
      <c r="H2228" s="25">
        <v>0</v>
      </c>
      <c r="I2228" s="28">
        <v>46310</v>
      </c>
      <c r="J2228" t="s">
        <v>2703</v>
      </c>
      <c r="K2228" t="s">
        <v>2704</v>
      </c>
    </row>
    <row r="2229" spans="1:11" hidden="1">
      <c r="A2229" s="28">
        <v>46310</v>
      </c>
      <c r="B2229" t="s">
        <v>186</v>
      </c>
      <c r="C2229" t="s">
        <v>203</v>
      </c>
      <c r="D2229" t="s">
        <v>217</v>
      </c>
      <c r="E2229">
        <f>IF(LEFT(D2229,6)="CLIENT",IFERROR(VLOOKUP(C2229,Config_Carteiras!$A:$B,2,FALSE),1),"")</f>
        <v>1</v>
      </c>
      <c r="F2229" s="25">
        <v>644</v>
      </c>
      <c r="G2229" s="28">
        <f>IF(LEFT(D2229,6)="CLIENT",IF(E2229=0,WORKDAY(A2229-1,1,Dias_Sem_Compensacao!$A$2:$A$500),WORKDAY(A2229,E2229,Dias_Sem_Compensacao!$A$2:$A$500)),"")</f>
        <v>46311</v>
      </c>
      <c r="H2229" s="25">
        <v>0</v>
      </c>
      <c r="I2229" s="28">
        <v>46310</v>
      </c>
      <c r="J2229" t="s">
        <v>1493</v>
      </c>
      <c r="K2229" t="s">
        <v>1494</v>
      </c>
    </row>
    <row r="2230" spans="1:11" hidden="1">
      <c r="A2230" s="28">
        <v>46310</v>
      </c>
      <c r="B2230" t="s">
        <v>186</v>
      </c>
      <c r="C2230" t="s">
        <v>203</v>
      </c>
      <c r="D2230" t="s">
        <v>217</v>
      </c>
      <c r="E2230">
        <f>IF(LEFT(D2230,6)="CLIENT",IFERROR(VLOOKUP(C2230,Config_Carteiras!$A:$B,2,FALSE),1),"")</f>
        <v>1</v>
      </c>
      <c r="F2230" s="25">
        <v>2732.98</v>
      </c>
      <c r="G2230" s="28">
        <f>IF(LEFT(D2230,6)="CLIENT",IF(E2230=0,WORKDAY(A2230-1,1,Dias_Sem_Compensacao!$A$2:$A$500),WORKDAY(A2230,E2230,Dias_Sem_Compensacao!$A$2:$A$500)),"")</f>
        <v>46311</v>
      </c>
      <c r="H2230" s="25">
        <v>0</v>
      </c>
      <c r="I2230" s="28">
        <v>46310</v>
      </c>
      <c r="J2230" t="s">
        <v>1495</v>
      </c>
      <c r="K2230" t="s">
        <v>1496</v>
      </c>
    </row>
    <row r="2231" spans="1:11" hidden="1">
      <c r="A2231" s="28">
        <v>46310</v>
      </c>
      <c r="B2231" t="s">
        <v>186</v>
      </c>
      <c r="C2231" t="s">
        <v>203</v>
      </c>
      <c r="D2231" t="s">
        <v>217</v>
      </c>
      <c r="E2231">
        <f>IF(LEFT(D2231,6)="CLIENT",IFERROR(VLOOKUP(C2231,Config_Carteiras!$A:$B,2,FALSE),1),"")</f>
        <v>1</v>
      </c>
      <c r="F2231" s="25">
        <v>598</v>
      </c>
      <c r="G2231" s="28">
        <f>IF(LEFT(D2231,6)="CLIENT",IF(E2231=0,WORKDAY(A2231-1,1,Dias_Sem_Compensacao!$A$2:$A$500),WORKDAY(A2231,E2231,Dias_Sem_Compensacao!$A$2:$A$500)),"")</f>
        <v>46311</v>
      </c>
      <c r="H2231" s="25">
        <v>0</v>
      </c>
      <c r="I2231" s="28">
        <v>46310</v>
      </c>
      <c r="J2231" t="s">
        <v>1497</v>
      </c>
      <c r="K2231" t="s">
        <v>1498</v>
      </c>
    </row>
    <row r="2232" spans="1:11" hidden="1">
      <c r="A2232" s="28">
        <v>46310</v>
      </c>
      <c r="B2232" t="s">
        <v>186</v>
      </c>
      <c r="C2232" t="s">
        <v>203</v>
      </c>
      <c r="D2232" t="s">
        <v>217</v>
      </c>
      <c r="E2232">
        <f>IF(LEFT(D2232,6)="CLIENT",IFERROR(VLOOKUP(C2232,Config_Carteiras!$A:$B,2,FALSE),1),"")</f>
        <v>1</v>
      </c>
      <c r="F2232" s="25">
        <v>713.62</v>
      </c>
      <c r="G2232" s="28">
        <f>IF(LEFT(D2232,6)="CLIENT",IF(E2232=0,WORKDAY(A2232-1,1,Dias_Sem_Compensacao!$A$2:$A$500),WORKDAY(A2232,E2232,Dias_Sem_Compensacao!$A$2:$A$500)),"")</f>
        <v>46311</v>
      </c>
      <c r="H2232" s="25">
        <v>0</v>
      </c>
      <c r="I2232" s="28">
        <v>46310</v>
      </c>
      <c r="J2232" t="s">
        <v>1499</v>
      </c>
      <c r="K2232" t="s">
        <v>1500</v>
      </c>
    </row>
    <row r="2233" spans="1:11" hidden="1">
      <c r="A2233" s="28">
        <v>46310</v>
      </c>
      <c r="B2233" t="s">
        <v>186</v>
      </c>
      <c r="C2233" t="s">
        <v>203</v>
      </c>
      <c r="D2233" t="s">
        <v>217</v>
      </c>
      <c r="E2233">
        <f>IF(LEFT(D2233,6)="CLIENT",IFERROR(VLOOKUP(C2233,Config_Carteiras!$A:$B,2,FALSE),1),"")</f>
        <v>1</v>
      </c>
      <c r="F2233" s="25">
        <v>76750</v>
      </c>
      <c r="G2233" s="28">
        <f>IF(LEFT(D2233,6)="CLIENT",IF(E2233=0,WORKDAY(A2233-1,1,Dias_Sem_Compensacao!$A$2:$A$500),WORKDAY(A2233,E2233,Dias_Sem_Compensacao!$A$2:$A$500)),"")</f>
        <v>46311</v>
      </c>
      <c r="H2233" s="25">
        <v>0</v>
      </c>
      <c r="I2233" s="28">
        <v>46310</v>
      </c>
      <c r="J2233" t="s">
        <v>1966</v>
      </c>
      <c r="K2233" t="s">
        <v>2705</v>
      </c>
    </row>
    <row r="2234" spans="1:11" hidden="1">
      <c r="A2234" s="28">
        <v>46310</v>
      </c>
      <c r="B2234" t="s">
        <v>186</v>
      </c>
      <c r="C2234" t="s">
        <v>203</v>
      </c>
      <c r="D2234" t="s">
        <v>217</v>
      </c>
      <c r="E2234">
        <f>IF(LEFT(D2234,6)="CLIENT",IFERROR(VLOOKUP(C2234,Config_Carteiras!$A:$B,2,FALSE),1),"")</f>
        <v>1</v>
      </c>
      <c r="F2234" s="25">
        <v>34521.599999999999</v>
      </c>
      <c r="G2234" s="28">
        <f>IF(LEFT(D2234,6)="CLIENT",IF(E2234=0,WORKDAY(A2234-1,1,Dias_Sem_Compensacao!$A$2:$A$500),WORKDAY(A2234,E2234,Dias_Sem_Compensacao!$A$2:$A$500)),"")</f>
        <v>46311</v>
      </c>
      <c r="H2234" s="25">
        <v>0</v>
      </c>
      <c r="I2234" s="28">
        <v>46310</v>
      </c>
      <c r="J2234" t="s">
        <v>1968</v>
      </c>
      <c r="K2234" t="s">
        <v>2706</v>
      </c>
    </row>
    <row r="2235" spans="1:11" hidden="1">
      <c r="A2235" s="28">
        <v>46310</v>
      </c>
      <c r="B2235" t="s">
        <v>186</v>
      </c>
      <c r="C2235" t="s">
        <v>203</v>
      </c>
      <c r="D2235" t="s">
        <v>217</v>
      </c>
      <c r="E2235">
        <f>IF(LEFT(D2235,6)="CLIENT",IFERROR(VLOOKUP(C2235,Config_Carteiras!$A:$B,2,FALSE),1),"")</f>
        <v>1</v>
      </c>
      <c r="F2235" s="25">
        <v>3675</v>
      </c>
      <c r="G2235" s="28">
        <f>IF(LEFT(D2235,6)="CLIENT",IF(E2235=0,WORKDAY(A2235-1,1,Dias_Sem_Compensacao!$A$2:$A$500),WORKDAY(A2235,E2235,Dias_Sem_Compensacao!$A$2:$A$500)),"")</f>
        <v>46311</v>
      </c>
      <c r="H2235" s="25">
        <v>0</v>
      </c>
      <c r="I2235" s="28">
        <v>46310</v>
      </c>
      <c r="J2235" t="s">
        <v>2707</v>
      </c>
      <c r="K2235" t="s">
        <v>2708</v>
      </c>
    </row>
    <row r="2236" spans="1:11" hidden="1">
      <c r="A2236" s="28">
        <v>46310</v>
      </c>
      <c r="B2236" t="s">
        <v>186</v>
      </c>
      <c r="C2236" t="s">
        <v>203</v>
      </c>
      <c r="D2236" t="s">
        <v>217</v>
      </c>
      <c r="E2236">
        <f>IF(LEFT(D2236,6)="CLIENT",IFERROR(VLOOKUP(C2236,Config_Carteiras!$A:$B,2,FALSE),1),"")</f>
        <v>1</v>
      </c>
      <c r="F2236" s="25">
        <v>1317.79</v>
      </c>
      <c r="G2236" s="28">
        <f>IF(LEFT(D2236,6)="CLIENT",IF(E2236=0,WORKDAY(A2236-1,1,Dias_Sem_Compensacao!$A$2:$A$500),WORKDAY(A2236,E2236,Dias_Sem_Compensacao!$A$2:$A$500)),"")</f>
        <v>46311</v>
      </c>
      <c r="H2236" s="25">
        <v>0</v>
      </c>
      <c r="I2236" s="28">
        <v>46310</v>
      </c>
      <c r="J2236" t="s">
        <v>2709</v>
      </c>
      <c r="K2236" t="s">
        <v>2710</v>
      </c>
    </row>
    <row r="2237" spans="1:11" hidden="1">
      <c r="A2237" s="28">
        <v>46310</v>
      </c>
      <c r="B2237" t="s">
        <v>186</v>
      </c>
      <c r="C2237" t="s">
        <v>203</v>
      </c>
      <c r="D2237" t="s">
        <v>217</v>
      </c>
      <c r="E2237">
        <f>IF(LEFT(D2237,6)="CLIENT",IFERROR(VLOOKUP(C2237,Config_Carteiras!$A:$B,2,FALSE),1),"")</f>
        <v>1</v>
      </c>
      <c r="F2237" s="25">
        <v>764</v>
      </c>
      <c r="G2237" s="28">
        <f>IF(LEFT(D2237,6)="CLIENT",IF(E2237=0,WORKDAY(A2237-1,1,Dias_Sem_Compensacao!$A$2:$A$500),WORKDAY(A2237,E2237,Dias_Sem_Compensacao!$A$2:$A$500)),"")</f>
        <v>46311</v>
      </c>
      <c r="H2237" s="25">
        <v>0</v>
      </c>
      <c r="I2237" s="28">
        <v>46310</v>
      </c>
      <c r="J2237" t="s">
        <v>1503</v>
      </c>
      <c r="K2237" t="s">
        <v>2170</v>
      </c>
    </row>
    <row r="2238" spans="1:11" hidden="1">
      <c r="A2238" s="28">
        <v>46310</v>
      </c>
      <c r="B2238" t="s">
        <v>186</v>
      </c>
      <c r="C2238" t="s">
        <v>203</v>
      </c>
      <c r="D2238" t="s">
        <v>217</v>
      </c>
      <c r="E2238">
        <f>IF(LEFT(D2238,6)="CLIENT",IFERROR(VLOOKUP(C2238,Config_Carteiras!$A:$B,2,FALSE),1),"")</f>
        <v>1</v>
      </c>
      <c r="F2238" s="25">
        <v>467.39</v>
      </c>
      <c r="G2238" s="28">
        <f>IF(LEFT(D2238,6)="CLIENT",IF(E2238=0,WORKDAY(A2238-1,1,Dias_Sem_Compensacao!$A$2:$A$500),WORKDAY(A2238,E2238,Dias_Sem_Compensacao!$A$2:$A$500)),"")</f>
        <v>46311</v>
      </c>
      <c r="H2238" s="25">
        <v>0</v>
      </c>
      <c r="I2238" s="28">
        <v>46310</v>
      </c>
      <c r="J2238" t="s">
        <v>1506</v>
      </c>
      <c r="K2238" t="s">
        <v>1507</v>
      </c>
    </row>
    <row r="2239" spans="1:11" hidden="1">
      <c r="A2239" s="28">
        <v>46310</v>
      </c>
      <c r="B2239" t="s">
        <v>186</v>
      </c>
      <c r="C2239" t="s">
        <v>203</v>
      </c>
      <c r="D2239" t="s">
        <v>217</v>
      </c>
      <c r="E2239">
        <f>IF(LEFT(D2239,6)="CLIENT",IFERROR(VLOOKUP(C2239,Config_Carteiras!$A:$B,2,FALSE),1),"")</f>
        <v>1</v>
      </c>
      <c r="F2239" s="25">
        <v>698</v>
      </c>
      <c r="G2239" s="28">
        <f>IF(LEFT(D2239,6)="CLIENT",IF(E2239=0,WORKDAY(A2239-1,1,Dias_Sem_Compensacao!$A$2:$A$500),WORKDAY(A2239,E2239,Dias_Sem_Compensacao!$A$2:$A$500)),"")</f>
        <v>46311</v>
      </c>
      <c r="H2239" s="25">
        <v>0</v>
      </c>
      <c r="I2239" s="28">
        <v>46310</v>
      </c>
      <c r="J2239" t="s">
        <v>2179</v>
      </c>
      <c r="K2239" t="s">
        <v>2180</v>
      </c>
    </row>
    <row r="2240" spans="1:11" hidden="1">
      <c r="A2240" s="28">
        <v>46310</v>
      </c>
      <c r="B2240" t="s">
        <v>186</v>
      </c>
      <c r="C2240" t="s">
        <v>203</v>
      </c>
      <c r="D2240" t="s">
        <v>217</v>
      </c>
      <c r="E2240">
        <f>IF(LEFT(D2240,6)="CLIENT",IFERROR(VLOOKUP(C2240,Config_Carteiras!$A:$B,2,FALSE),1),"")</f>
        <v>1</v>
      </c>
      <c r="F2240" s="25">
        <v>1143</v>
      </c>
      <c r="G2240" s="28">
        <f>IF(LEFT(D2240,6)="CLIENT",IF(E2240=0,WORKDAY(A2240-1,1,Dias_Sem_Compensacao!$A$2:$A$500),WORKDAY(A2240,E2240,Dias_Sem_Compensacao!$A$2:$A$500)),"")</f>
        <v>46311</v>
      </c>
      <c r="H2240" s="25">
        <v>0</v>
      </c>
      <c r="I2240" s="28">
        <v>46310</v>
      </c>
      <c r="J2240" t="s">
        <v>2184</v>
      </c>
      <c r="K2240" t="s">
        <v>2185</v>
      </c>
    </row>
    <row r="2241" spans="1:11" hidden="1">
      <c r="A2241" s="28">
        <v>46310</v>
      </c>
      <c r="B2241" t="s">
        <v>186</v>
      </c>
      <c r="C2241" t="s">
        <v>203</v>
      </c>
      <c r="D2241" t="s">
        <v>217</v>
      </c>
      <c r="E2241">
        <f>IF(LEFT(D2241,6)="CLIENT",IFERROR(VLOOKUP(C2241,Config_Carteiras!$A:$B,2,FALSE),1),"")</f>
        <v>1</v>
      </c>
      <c r="F2241" s="25">
        <v>1102</v>
      </c>
      <c r="G2241" s="28">
        <f>IF(LEFT(D2241,6)="CLIENT",IF(E2241=0,WORKDAY(A2241-1,1,Dias_Sem_Compensacao!$A$2:$A$500),WORKDAY(A2241,E2241,Dias_Sem_Compensacao!$A$2:$A$500)),"")</f>
        <v>46311</v>
      </c>
      <c r="H2241" s="25">
        <v>0</v>
      </c>
      <c r="I2241" s="28">
        <v>46310</v>
      </c>
      <c r="J2241" t="s">
        <v>224</v>
      </c>
      <c r="K2241" t="s">
        <v>1513</v>
      </c>
    </row>
    <row r="2242" spans="1:11" hidden="1">
      <c r="A2242" s="28">
        <v>46310</v>
      </c>
      <c r="B2242" t="s">
        <v>186</v>
      </c>
      <c r="C2242" t="s">
        <v>203</v>
      </c>
      <c r="D2242" t="s">
        <v>217</v>
      </c>
      <c r="E2242">
        <f>IF(LEFT(D2242,6)="CLIENT",IFERROR(VLOOKUP(C2242,Config_Carteiras!$A:$B,2,FALSE),1),"")</f>
        <v>1</v>
      </c>
      <c r="F2242" s="25">
        <v>1086.3</v>
      </c>
      <c r="G2242" s="28">
        <f>IF(LEFT(D2242,6)="CLIENT",IF(E2242=0,WORKDAY(A2242-1,1,Dias_Sem_Compensacao!$A$2:$A$500),WORKDAY(A2242,E2242,Dias_Sem_Compensacao!$A$2:$A$500)),"")</f>
        <v>46311</v>
      </c>
      <c r="H2242" s="25">
        <v>0</v>
      </c>
      <c r="I2242" s="28">
        <v>46310</v>
      </c>
      <c r="J2242" t="s">
        <v>1518</v>
      </c>
      <c r="K2242" t="s">
        <v>1519</v>
      </c>
    </row>
    <row r="2243" spans="1:11" hidden="1">
      <c r="A2243" s="28">
        <v>46310</v>
      </c>
      <c r="B2243" t="s">
        <v>186</v>
      </c>
      <c r="C2243" t="s">
        <v>203</v>
      </c>
      <c r="D2243" t="s">
        <v>217</v>
      </c>
      <c r="E2243">
        <f>IF(LEFT(D2243,6)="CLIENT",IFERROR(VLOOKUP(C2243,Config_Carteiras!$A:$B,2,FALSE),1),"")</f>
        <v>1</v>
      </c>
      <c r="F2243" s="25">
        <v>517</v>
      </c>
      <c r="G2243" s="28">
        <f>IF(LEFT(D2243,6)="CLIENT",IF(E2243=0,WORKDAY(A2243-1,1,Dias_Sem_Compensacao!$A$2:$A$500),WORKDAY(A2243,E2243,Dias_Sem_Compensacao!$A$2:$A$500)),"")</f>
        <v>46311</v>
      </c>
      <c r="H2243" s="25">
        <v>0</v>
      </c>
      <c r="I2243" s="28">
        <v>46310</v>
      </c>
      <c r="J2243" t="s">
        <v>2186</v>
      </c>
      <c r="K2243" t="s">
        <v>2187</v>
      </c>
    </row>
    <row r="2244" spans="1:11" hidden="1">
      <c r="A2244" s="28">
        <v>46310</v>
      </c>
      <c r="B2244" t="s">
        <v>186</v>
      </c>
      <c r="C2244" t="s">
        <v>203</v>
      </c>
      <c r="D2244" t="s">
        <v>217</v>
      </c>
      <c r="E2244">
        <f>IF(LEFT(D2244,6)="CLIENT",IFERROR(VLOOKUP(C2244,Config_Carteiras!$A:$B,2,FALSE),1),"")</f>
        <v>1</v>
      </c>
      <c r="F2244" s="25">
        <v>600</v>
      </c>
      <c r="G2244" s="28">
        <f>IF(LEFT(D2244,6)="CLIENT",IF(E2244=0,WORKDAY(A2244-1,1,Dias_Sem_Compensacao!$A$2:$A$500),WORKDAY(A2244,E2244,Dias_Sem_Compensacao!$A$2:$A$500)),"")</f>
        <v>46311</v>
      </c>
      <c r="H2244" s="25">
        <v>0</v>
      </c>
      <c r="I2244" s="28">
        <v>46310</v>
      </c>
      <c r="J2244" t="s">
        <v>2711</v>
      </c>
      <c r="K2244" t="s">
        <v>2712</v>
      </c>
    </row>
    <row r="2245" spans="1:11" hidden="1">
      <c r="A2245" s="28">
        <v>46310</v>
      </c>
      <c r="B2245" t="s">
        <v>186</v>
      </c>
      <c r="C2245" t="s">
        <v>203</v>
      </c>
      <c r="D2245" t="s">
        <v>217</v>
      </c>
      <c r="E2245">
        <f>IF(LEFT(D2245,6)="CLIENT",IFERROR(VLOOKUP(C2245,Config_Carteiras!$A:$B,2,FALSE),1),"")</f>
        <v>1</v>
      </c>
      <c r="F2245" s="25">
        <v>1626.92</v>
      </c>
      <c r="G2245" s="28">
        <f>IF(LEFT(D2245,6)="CLIENT",IF(E2245=0,WORKDAY(A2245-1,1,Dias_Sem_Compensacao!$A$2:$A$500),WORKDAY(A2245,E2245,Dias_Sem_Compensacao!$A$2:$A$500)),"")</f>
        <v>46311</v>
      </c>
      <c r="H2245" s="25">
        <v>0</v>
      </c>
      <c r="I2245" s="28">
        <v>46310</v>
      </c>
      <c r="J2245" t="s">
        <v>1520</v>
      </c>
      <c r="K2245" t="s">
        <v>1521</v>
      </c>
    </row>
    <row r="2246" spans="1:11" hidden="1">
      <c r="A2246" s="28">
        <v>46310</v>
      </c>
      <c r="B2246" t="s">
        <v>186</v>
      </c>
      <c r="C2246" t="s">
        <v>203</v>
      </c>
      <c r="D2246" t="s">
        <v>217</v>
      </c>
      <c r="E2246">
        <f>IF(LEFT(D2246,6)="CLIENT",IFERROR(VLOOKUP(C2246,Config_Carteiras!$A:$B,2,FALSE),1),"")</f>
        <v>1</v>
      </c>
      <c r="F2246" s="25">
        <v>356</v>
      </c>
      <c r="G2246" s="28">
        <f>IF(LEFT(D2246,6)="CLIENT",IF(E2246=0,WORKDAY(A2246-1,1,Dias_Sem_Compensacao!$A$2:$A$500),WORKDAY(A2246,E2246,Dias_Sem_Compensacao!$A$2:$A$500)),"")</f>
        <v>46311</v>
      </c>
      <c r="H2246" s="25">
        <v>0</v>
      </c>
      <c r="I2246" s="28">
        <v>46310</v>
      </c>
      <c r="J2246" t="s">
        <v>2713</v>
      </c>
      <c r="K2246" t="s">
        <v>2714</v>
      </c>
    </row>
    <row r="2247" spans="1:11" hidden="1">
      <c r="A2247" s="28">
        <v>46310</v>
      </c>
      <c r="B2247" t="s">
        <v>186</v>
      </c>
      <c r="C2247" t="s">
        <v>203</v>
      </c>
      <c r="D2247" t="s">
        <v>217</v>
      </c>
      <c r="E2247">
        <f>IF(LEFT(D2247,6)="CLIENT",IFERROR(VLOOKUP(C2247,Config_Carteiras!$A:$B,2,FALSE),1),"")</f>
        <v>1</v>
      </c>
      <c r="F2247" s="25">
        <v>2377</v>
      </c>
      <c r="G2247" s="28">
        <f>IF(LEFT(D2247,6)="CLIENT",IF(E2247=0,WORKDAY(A2247-1,1,Dias_Sem_Compensacao!$A$2:$A$500),WORKDAY(A2247,E2247,Dias_Sem_Compensacao!$A$2:$A$500)),"")</f>
        <v>46311</v>
      </c>
      <c r="H2247" s="25">
        <v>0</v>
      </c>
      <c r="I2247" s="28">
        <v>46310</v>
      </c>
      <c r="J2247" t="s">
        <v>2196</v>
      </c>
      <c r="K2247" t="s">
        <v>2197</v>
      </c>
    </row>
    <row r="2248" spans="1:11" hidden="1">
      <c r="A2248" s="28">
        <v>46310</v>
      </c>
      <c r="B2248" t="s">
        <v>186</v>
      </c>
      <c r="C2248" t="s">
        <v>203</v>
      </c>
      <c r="D2248" t="s">
        <v>217</v>
      </c>
      <c r="E2248">
        <f>IF(LEFT(D2248,6)="CLIENT",IFERROR(VLOOKUP(C2248,Config_Carteiras!$A:$B,2,FALSE),1),"")</f>
        <v>1</v>
      </c>
      <c r="F2248" s="25">
        <v>4841.84</v>
      </c>
      <c r="G2248" s="28">
        <f>IF(LEFT(D2248,6)="CLIENT",IF(E2248=0,WORKDAY(A2248-1,1,Dias_Sem_Compensacao!$A$2:$A$500),WORKDAY(A2248,E2248,Dias_Sem_Compensacao!$A$2:$A$500)),"")</f>
        <v>46311</v>
      </c>
      <c r="H2248" s="25">
        <v>0</v>
      </c>
      <c r="I2248" s="28">
        <v>46310</v>
      </c>
      <c r="J2248" t="s">
        <v>2715</v>
      </c>
      <c r="K2248" t="s">
        <v>2716</v>
      </c>
    </row>
    <row r="2249" spans="1:11" hidden="1">
      <c r="A2249" s="28">
        <v>46310</v>
      </c>
      <c r="B2249" t="s">
        <v>186</v>
      </c>
      <c r="C2249" t="s">
        <v>203</v>
      </c>
      <c r="D2249" t="s">
        <v>217</v>
      </c>
      <c r="E2249">
        <f>IF(LEFT(D2249,6)="CLIENT",IFERROR(VLOOKUP(C2249,Config_Carteiras!$A:$B,2,FALSE),1),"")</f>
        <v>1</v>
      </c>
      <c r="F2249" s="25">
        <v>3280.32</v>
      </c>
      <c r="G2249" s="28">
        <f>IF(LEFT(D2249,6)="CLIENT",IF(E2249=0,WORKDAY(A2249-1,1,Dias_Sem_Compensacao!$A$2:$A$500),WORKDAY(A2249,E2249,Dias_Sem_Compensacao!$A$2:$A$500)),"")</f>
        <v>46311</v>
      </c>
      <c r="H2249" s="25">
        <v>0</v>
      </c>
      <c r="I2249" s="28">
        <v>46310</v>
      </c>
      <c r="J2249" t="s">
        <v>1526</v>
      </c>
      <c r="K2249" t="s">
        <v>1527</v>
      </c>
    </row>
    <row r="2250" spans="1:11" hidden="1">
      <c r="A2250" s="28">
        <v>46310</v>
      </c>
      <c r="B2250" t="s">
        <v>186</v>
      </c>
      <c r="C2250" t="s">
        <v>203</v>
      </c>
      <c r="D2250" t="s">
        <v>217</v>
      </c>
      <c r="E2250">
        <f>IF(LEFT(D2250,6)="CLIENT",IFERROR(VLOOKUP(C2250,Config_Carteiras!$A:$B,2,FALSE),1),"")</f>
        <v>1</v>
      </c>
      <c r="F2250" s="25">
        <v>2218</v>
      </c>
      <c r="G2250" s="28">
        <f>IF(LEFT(D2250,6)="CLIENT",IF(E2250=0,WORKDAY(A2250-1,1,Dias_Sem_Compensacao!$A$2:$A$500),WORKDAY(A2250,E2250,Dias_Sem_Compensacao!$A$2:$A$500)),"")</f>
        <v>46311</v>
      </c>
      <c r="H2250" s="25">
        <v>0</v>
      </c>
      <c r="I2250" s="28">
        <v>46310</v>
      </c>
      <c r="J2250" t="s">
        <v>2717</v>
      </c>
      <c r="K2250" t="s">
        <v>2718</v>
      </c>
    </row>
    <row r="2251" spans="1:11" hidden="1">
      <c r="A2251" s="28">
        <v>46310</v>
      </c>
      <c r="B2251" t="s">
        <v>186</v>
      </c>
      <c r="C2251" t="s">
        <v>203</v>
      </c>
      <c r="D2251" t="s">
        <v>217</v>
      </c>
      <c r="E2251">
        <f>IF(LEFT(D2251,6)="CLIENT",IFERROR(VLOOKUP(C2251,Config_Carteiras!$A:$B,2,FALSE),1),"")</f>
        <v>1</v>
      </c>
      <c r="F2251" s="25">
        <v>4886</v>
      </c>
      <c r="G2251" s="28">
        <f>IF(LEFT(D2251,6)="CLIENT",IF(E2251=0,WORKDAY(A2251-1,1,Dias_Sem_Compensacao!$A$2:$A$500),WORKDAY(A2251,E2251,Dias_Sem_Compensacao!$A$2:$A$500)),"")</f>
        <v>46311</v>
      </c>
      <c r="H2251" s="25">
        <v>0</v>
      </c>
      <c r="I2251" s="28">
        <v>46310</v>
      </c>
      <c r="K2251" t="s">
        <v>2719</v>
      </c>
    </row>
    <row r="2252" spans="1:11" hidden="1">
      <c r="A2252" s="28">
        <v>46310</v>
      </c>
      <c r="B2252" t="s">
        <v>186</v>
      </c>
      <c r="C2252" t="s">
        <v>203</v>
      </c>
      <c r="D2252" t="s">
        <v>217</v>
      </c>
      <c r="E2252">
        <f>IF(LEFT(D2252,6)="CLIENT",IFERROR(VLOOKUP(C2252,Config_Carteiras!$A:$B,2,FALSE),1),"")</f>
        <v>1</v>
      </c>
      <c r="F2252" s="25">
        <v>4345</v>
      </c>
      <c r="G2252" s="28">
        <f>IF(LEFT(D2252,6)="CLIENT",IF(E2252=0,WORKDAY(A2252-1,1,Dias_Sem_Compensacao!$A$2:$A$500),WORKDAY(A2252,E2252,Dias_Sem_Compensacao!$A$2:$A$500)),"")</f>
        <v>46311</v>
      </c>
      <c r="H2252" s="25">
        <v>0</v>
      </c>
      <c r="I2252" s="28">
        <v>46310</v>
      </c>
      <c r="K2252" t="s">
        <v>2720</v>
      </c>
    </row>
    <row r="2253" spans="1:11" hidden="1">
      <c r="A2253" s="28">
        <v>46310</v>
      </c>
      <c r="B2253" t="s">
        <v>186</v>
      </c>
      <c r="C2253" t="s">
        <v>203</v>
      </c>
      <c r="D2253" t="s">
        <v>217</v>
      </c>
      <c r="E2253">
        <f>IF(LEFT(D2253,6)="CLIENT",IFERROR(VLOOKUP(C2253,Config_Carteiras!$A:$B,2,FALSE),1),"")</f>
        <v>1</v>
      </c>
      <c r="F2253" s="25">
        <v>1317</v>
      </c>
      <c r="G2253" s="28">
        <f>IF(LEFT(D2253,6)="CLIENT",IF(E2253=0,WORKDAY(A2253-1,1,Dias_Sem_Compensacao!$A$2:$A$500),WORKDAY(A2253,E2253,Dias_Sem_Compensacao!$A$2:$A$500)),"")</f>
        <v>46311</v>
      </c>
      <c r="H2253" s="25">
        <v>0</v>
      </c>
      <c r="I2253" s="28">
        <v>46310</v>
      </c>
      <c r="J2253" t="s">
        <v>2721</v>
      </c>
      <c r="K2253" t="s">
        <v>2722</v>
      </c>
    </row>
    <row r="2254" spans="1:11" hidden="1">
      <c r="A2254" s="28">
        <v>46310</v>
      </c>
      <c r="B2254" t="s">
        <v>186</v>
      </c>
      <c r="C2254" t="s">
        <v>203</v>
      </c>
      <c r="D2254" t="s">
        <v>217</v>
      </c>
      <c r="E2254">
        <f>IF(LEFT(D2254,6)="CLIENT",IFERROR(VLOOKUP(C2254,Config_Carteiras!$A:$B,2,FALSE),1),"")</f>
        <v>1</v>
      </c>
      <c r="F2254" s="25">
        <v>2285.17</v>
      </c>
      <c r="G2254" s="28">
        <f>IF(LEFT(D2254,6)="CLIENT",IF(E2254=0,WORKDAY(A2254-1,1,Dias_Sem_Compensacao!$A$2:$A$500),WORKDAY(A2254,E2254,Dias_Sem_Compensacao!$A$2:$A$500)),"")</f>
        <v>46311</v>
      </c>
      <c r="H2254" s="25">
        <v>0</v>
      </c>
      <c r="I2254" s="28">
        <v>46310</v>
      </c>
      <c r="J2254" t="s">
        <v>2198</v>
      </c>
      <c r="K2254" t="s">
        <v>2199</v>
      </c>
    </row>
    <row r="2255" spans="1:11" hidden="1">
      <c r="A2255" s="28">
        <v>46310</v>
      </c>
      <c r="B2255" t="s">
        <v>186</v>
      </c>
      <c r="C2255" t="s">
        <v>203</v>
      </c>
      <c r="D2255" t="s">
        <v>217</v>
      </c>
      <c r="E2255">
        <f>IF(LEFT(D2255,6)="CLIENT",IFERROR(VLOOKUP(C2255,Config_Carteiras!$A:$B,2,FALSE),1),"")</f>
        <v>1</v>
      </c>
      <c r="F2255" s="25">
        <v>1357.75</v>
      </c>
      <c r="G2255" s="28">
        <f>IF(LEFT(D2255,6)="CLIENT",IF(E2255=0,WORKDAY(A2255-1,1,Dias_Sem_Compensacao!$A$2:$A$500),WORKDAY(A2255,E2255,Dias_Sem_Compensacao!$A$2:$A$500)),"")</f>
        <v>46311</v>
      </c>
      <c r="H2255" s="25">
        <v>0</v>
      </c>
      <c r="I2255" s="28">
        <v>46310</v>
      </c>
      <c r="J2255" t="s">
        <v>2723</v>
      </c>
      <c r="K2255" t="s">
        <v>2724</v>
      </c>
    </row>
    <row r="2256" spans="1:11" hidden="1">
      <c r="A2256" s="28">
        <v>46310</v>
      </c>
      <c r="B2256" t="s">
        <v>186</v>
      </c>
      <c r="C2256" t="s">
        <v>203</v>
      </c>
      <c r="D2256" t="s">
        <v>217</v>
      </c>
      <c r="E2256">
        <f>IF(LEFT(D2256,6)="CLIENT",IFERROR(VLOOKUP(C2256,Config_Carteiras!$A:$B,2,FALSE),1),"")</f>
        <v>1</v>
      </c>
      <c r="F2256" s="25">
        <v>15925</v>
      </c>
      <c r="G2256" s="28">
        <f>IF(LEFT(D2256,6)="CLIENT",IF(E2256=0,WORKDAY(A2256-1,1,Dias_Sem_Compensacao!$A$2:$A$500),WORKDAY(A2256,E2256,Dias_Sem_Compensacao!$A$2:$A$500)),"")</f>
        <v>46311</v>
      </c>
      <c r="H2256" s="25">
        <v>0</v>
      </c>
      <c r="I2256" s="28">
        <v>46310</v>
      </c>
      <c r="J2256" t="s">
        <v>1201</v>
      </c>
      <c r="K2256" t="s">
        <v>2200</v>
      </c>
    </row>
    <row r="2257" spans="1:11" hidden="1">
      <c r="A2257" s="28">
        <v>46310</v>
      </c>
      <c r="B2257" t="s">
        <v>186</v>
      </c>
      <c r="C2257" t="s">
        <v>203</v>
      </c>
      <c r="D2257" t="s">
        <v>217</v>
      </c>
      <c r="E2257">
        <f>IF(LEFT(D2257,6)="CLIENT",IFERROR(VLOOKUP(C2257,Config_Carteiras!$A:$B,2,FALSE),1),"")</f>
        <v>1</v>
      </c>
      <c r="F2257" s="25">
        <v>8921.2999999999993</v>
      </c>
      <c r="G2257" s="28">
        <f>IF(LEFT(D2257,6)="CLIENT",IF(E2257=0,WORKDAY(A2257-1,1,Dias_Sem_Compensacao!$A$2:$A$500),WORKDAY(A2257,E2257,Dias_Sem_Compensacao!$A$2:$A$500)),"")</f>
        <v>46311</v>
      </c>
      <c r="H2257" s="25">
        <v>0</v>
      </c>
      <c r="I2257" s="28">
        <v>46310</v>
      </c>
      <c r="J2257" t="s">
        <v>2725</v>
      </c>
      <c r="K2257" t="s">
        <v>2726</v>
      </c>
    </row>
    <row r="2258" spans="1:11" hidden="1">
      <c r="A2258" s="28">
        <v>46310</v>
      </c>
      <c r="B2258" t="s">
        <v>186</v>
      </c>
      <c r="C2258" t="s">
        <v>203</v>
      </c>
      <c r="D2258" t="s">
        <v>217</v>
      </c>
      <c r="E2258">
        <f>IF(LEFT(D2258,6)="CLIENT",IFERROR(VLOOKUP(C2258,Config_Carteiras!$A:$B,2,FALSE),1),"")</f>
        <v>1</v>
      </c>
      <c r="F2258" s="25">
        <v>1396</v>
      </c>
      <c r="G2258" s="28">
        <f>IF(LEFT(D2258,6)="CLIENT",IF(E2258=0,WORKDAY(A2258-1,1,Dias_Sem_Compensacao!$A$2:$A$500),WORKDAY(A2258,E2258,Dias_Sem_Compensacao!$A$2:$A$500)),"")</f>
        <v>46311</v>
      </c>
      <c r="H2258" s="25">
        <v>0</v>
      </c>
      <c r="I2258" s="28">
        <v>46310</v>
      </c>
      <c r="J2258" t="s">
        <v>2282</v>
      </c>
      <c r="K2258" t="s">
        <v>2727</v>
      </c>
    </row>
    <row r="2259" spans="1:11" hidden="1">
      <c r="A2259" s="28">
        <v>46310</v>
      </c>
      <c r="B2259" t="s">
        <v>186</v>
      </c>
      <c r="C2259" t="s">
        <v>203</v>
      </c>
      <c r="D2259" t="s">
        <v>217</v>
      </c>
      <c r="E2259">
        <f>IF(LEFT(D2259,6)="CLIENT",IFERROR(VLOOKUP(C2259,Config_Carteiras!$A:$B,2,FALSE),1),"")</f>
        <v>1</v>
      </c>
      <c r="F2259" s="25">
        <v>4691.08</v>
      </c>
      <c r="G2259" s="28">
        <f>IF(LEFT(D2259,6)="CLIENT",IF(E2259=0,WORKDAY(A2259-1,1,Dias_Sem_Compensacao!$A$2:$A$500),WORKDAY(A2259,E2259,Dias_Sem_Compensacao!$A$2:$A$500)),"")</f>
        <v>46311</v>
      </c>
      <c r="H2259" s="25">
        <v>0</v>
      </c>
      <c r="I2259" s="28">
        <v>46310</v>
      </c>
      <c r="J2259" t="s">
        <v>2728</v>
      </c>
      <c r="K2259" t="s">
        <v>2729</v>
      </c>
    </row>
    <row r="2260" spans="1:11" hidden="1">
      <c r="A2260" s="28">
        <v>46310</v>
      </c>
      <c r="B2260" t="s">
        <v>186</v>
      </c>
      <c r="C2260" t="s">
        <v>203</v>
      </c>
      <c r="D2260" t="s">
        <v>217</v>
      </c>
      <c r="E2260">
        <f>IF(LEFT(D2260,6)="CLIENT",IFERROR(VLOOKUP(C2260,Config_Carteiras!$A:$B,2,FALSE),1),"")</f>
        <v>1</v>
      </c>
      <c r="F2260" s="25">
        <v>838</v>
      </c>
      <c r="G2260" s="28">
        <f>IF(LEFT(D2260,6)="CLIENT",IF(E2260=0,WORKDAY(A2260-1,1,Dias_Sem_Compensacao!$A$2:$A$500),WORKDAY(A2260,E2260,Dias_Sem_Compensacao!$A$2:$A$500)),"")</f>
        <v>46311</v>
      </c>
      <c r="H2260" s="25">
        <v>0</v>
      </c>
      <c r="I2260" s="28">
        <v>46310</v>
      </c>
      <c r="J2260" t="s">
        <v>2730</v>
      </c>
      <c r="K2260" t="s">
        <v>2731</v>
      </c>
    </row>
    <row r="2261" spans="1:11" hidden="1">
      <c r="A2261" s="28">
        <v>46310</v>
      </c>
      <c r="B2261" t="s">
        <v>186</v>
      </c>
      <c r="C2261" t="s">
        <v>203</v>
      </c>
      <c r="D2261" t="s">
        <v>217</v>
      </c>
      <c r="E2261">
        <f>IF(LEFT(D2261,6)="CLIENT",IFERROR(VLOOKUP(C2261,Config_Carteiras!$A:$B,2,FALSE),1),"")</f>
        <v>1</v>
      </c>
      <c r="F2261" s="25">
        <v>1209</v>
      </c>
      <c r="G2261" s="28">
        <f>IF(LEFT(D2261,6)="CLIENT",IF(E2261=0,WORKDAY(A2261-1,1,Dias_Sem_Compensacao!$A$2:$A$500),WORKDAY(A2261,E2261,Dias_Sem_Compensacao!$A$2:$A$500)),"")</f>
        <v>46311</v>
      </c>
      <c r="H2261" s="25">
        <v>0</v>
      </c>
      <c r="I2261" s="28">
        <v>46310</v>
      </c>
      <c r="J2261" t="s">
        <v>2732</v>
      </c>
      <c r="K2261" t="s">
        <v>2733</v>
      </c>
    </row>
    <row r="2262" spans="1:11" hidden="1">
      <c r="A2262" s="28">
        <v>46310</v>
      </c>
      <c r="B2262" t="s">
        <v>186</v>
      </c>
      <c r="C2262" t="s">
        <v>203</v>
      </c>
      <c r="D2262" t="s">
        <v>217</v>
      </c>
      <c r="E2262">
        <f>IF(LEFT(D2262,6)="CLIENT",IFERROR(VLOOKUP(C2262,Config_Carteiras!$A:$B,2,FALSE),1),"")</f>
        <v>1</v>
      </c>
      <c r="F2262" s="25">
        <v>816.19</v>
      </c>
      <c r="G2262" s="28">
        <f>IF(LEFT(D2262,6)="CLIENT",IF(E2262=0,WORKDAY(A2262-1,1,Dias_Sem_Compensacao!$A$2:$A$500),WORKDAY(A2262,E2262,Dias_Sem_Compensacao!$A$2:$A$500)),"")</f>
        <v>46311</v>
      </c>
      <c r="H2262" s="25">
        <v>0</v>
      </c>
      <c r="I2262" s="28">
        <v>46310</v>
      </c>
      <c r="J2262" t="s">
        <v>1365</v>
      </c>
      <c r="K2262" t="s">
        <v>2734</v>
      </c>
    </row>
    <row r="2263" spans="1:11" hidden="1">
      <c r="A2263" s="28">
        <v>46310</v>
      </c>
      <c r="B2263" t="s">
        <v>186</v>
      </c>
      <c r="C2263" t="s">
        <v>203</v>
      </c>
      <c r="D2263" t="s">
        <v>217</v>
      </c>
      <c r="E2263">
        <f>IF(LEFT(D2263,6)="CLIENT",IFERROR(VLOOKUP(C2263,Config_Carteiras!$A:$B,2,FALSE),1),"")</f>
        <v>1</v>
      </c>
      <c r="F2263" s="25">
        <v>605</v>
      </c>
      <c r="G2263" s="28">
        <f>IF(LEFT(D2263,6)="CLIENT",IF(E2263=0,WORKDAY(A2263-1,1,Dias_Sem_Compensacao!$A$2:$A$500),WORKDAY(A2263,E2263,Dias_Sem_Compensacao!$A$2:$A$500)),"")</f>
        <v>46311</v>
      </c>
      <c r="H2263" s="25">
        <v>0</v>
      </c>
      <c r="I2263" s="28">
        <v>46310</v>
      </c>
      <c r="J2263" t="s">
        <v>1543</v>
      </c>
      <c r="K2263" t="s">
        <v>1544</v>
      </c>
    </row>
    <row r="2264" spans="1:11" hidden="1">
      <c r="A2264" s="28">
        <v>46310</v>
      </c>
      <c r="B2264" t="s">
        <v>186</v>
      </c>
      <c r="C2264" t="s">
        <v>203</v>
      </c>
      <c r="D2264" t="s">
        <v>217</v>
      </c>
      <c r="E2264">
        <f>IF(LEFT(D2264,6)="CLIENT",IFERROR(VLOOKUP(C2264,Config_Carteiras!$A:$B,2,FALSE),1),"")</f>
        <v>1</v>
      </c>
      <c r="F2264" s="25">
        <v>455</v>
      </c>
      <c r="G2264" s="28">
        <f>IF(LEFT(D2264,6)="CLIENT",IF(E2264=0,WORKDAY(A2264-1,1,Dias_Sem_Compensacao!$A$2:$A$500),WORKDAY(A2264,E2264,Dias_Sem_Compensacao!$A$2:$A$500)),"")</f>
        <v>46311</v>
      </c>
      <c r="H2264" s="25">
        <v>0</v>
      </c>
      <c r="I2264" s="28">
        <v>46310</v>
      </c>
      <c r="J2264" t="s">
        <v>2201</v>
      </c>
      <c r="K2264" t="s">
        <v>2202</v>
      </c>
    </row>
    <row r="2265" spans="1:11" hidden="1">
      <c r="A2265" s="28">
        <v>46310</v>
      </c>
      <c r="B2265" t="s">
        <v>186</v>
      </c>
      <c r="C2265" t="s">
        <v>203</v>
      </c>
      <c r="D2265" t="s">
        <v>217</v>
      </c>
      <c r="E2265">
        <f>IF(LEFT(D2265,6)="CLIENT",IFERROR(VLOOKUP(C2265,Config_Carteiras!$A:$B,2,FALSE),1),"")</f>
        <v>1</v>
      </c>
      <c r="F2265" s="25">
        <v>409</v>
      </c>
      <c r="G2265" s="28">
        <f>IF(LEFT(D2265,6)="CLIENT",IF(E2265=0,WORKDAY(A2265-1,1,Dias_Sem_Compensacao!$A$2:$A$500),WORKDAY(A2265,E2265,Dias_Sem_Compensacao!$A$2:$A$500)),"")</f>
        <v>46311</v>
      </c>
      <c r="H2265" s="25">
        <v>0</v>
      </c>
      <c r="I2265" s="28">
        <v>46310</v>
      </c>
      <c r="J2265" t="s">
        <v>2735</v>
      </c>
      <c r="K2265" t="s">
        <v>2736</v>
      </c>
    </row>
    <row r="2266" spans="1:11" hidden="1">
      <c r="A2266" s="28">
        <v>46310</v>
      </c>
      <c r="B2266" t="s">
        <v>186</v>
      </c>
      <c r="C2266" t="s">
        <v>203</v>
      </c>
      <c r="D2266" t="s">
        <v>217</v>
      </c>
      <c r="E2266">
        <f>IF(LEFT(D2266,6)="CLIENT",IFERROR(VLOOKUP(C2266,Config_Carteiras!$A:$B,2,FALSE),1),"")</f>
        <v>1</v>
      </c>
      <c r="F2266" s="25">
        <v>566</v>
      </c>
      <c r="G2266" s="28">
        <f>IF(LEFT(D2266,6)="CLIENT",IF(E2266=0,WORKDAY(A2266-1,1,Dias_Sem_Compensacao!$A$2:$A$500),WORKDAY(A2266,E2266,Dias_Sem_Compensacao!$A$2:$A$500)),"")</f>
        <v>46311</v>
      </c>
      <c r="H2266" s="25">
        <v>0</v>
      </c>
      <c r="I2266" s="28">
        <v>46310</v>
      </c>
      <c r="J2266" t="s">
        <v>2737</v>
      </c>
      <c r="K2266" t="s">
        <v>2738</v>
      </c>
    </row>
    <row r="2267" spans="1:11" hidden="1">
      <c r="A2267" s="28">
        <v>46310</v>
      </c>
      <c r="B2267" t="s">
        <v>186</v>
      </c>
      <c r="C2267" t="s">
        <v>203</v>
      </c>
      <c r="D2267" t="s">
        <v>217</v>
      </c>
      <c r="E2267">
        <f>IF(LEFT(D2267,6)="CLIENT",IFERROR(VLOOKUP(C2267,Config_Carteiras!$A:$B,2,FALSE),1),"")</f>
        <v>1</v>
      </c>
      <c r="F2267" s="25">
        <v>4790</v>
      </c>
      <c r="G2267" s="28">
        <f>IF(LEFT(D2267,6)="CLIENT",IF(E2267=0,WORKDAY(A2267-1,1,Dias_Sem_Compensacao!$A$2:$A$500),WORKDAY(A2267,E2267,Dias_Sem_Compensacao!$A$2:$A$500)),"")</f>
        <v>46311</v>
      </c>
      <c r="H2267" s="25">
        <v>0</v>
      </c>
      <c r="I2267" s="28">
        <v>46310</v>
      </c>
      <c r="J2267" t="s">
        <v>1016</v>
      </c>
      <c r="K2267" t="s">
        <v>1017</v>
      </c>
    </row>
    <row r="2268" spans="1:11" hidden="1">
      <c r="A2268" s="28">
        <v>46310</v>
      </c>
      <c r="B2268" t="s">
        <v>186</v>
      </c>
      <c r="C2268" t="s">
        <v>203</v>
      </c>
      <c r="D2268" t="s">
        <v>217</v>
      </c>
      <c r="E2268">
        <f>IF(LEFT(D2268,6)="CLIENT",IFERROR(VLOOKUP(C2268,Config_Carteiras!$A:$B,2,FALSE),1),"")</f>
        <v>1</v>
      </c>
      <c r="F2268" s="25">
        <v>2251</v>
      </c>
      <c r="G2268" s="28">
        <f>IF(LEFT(D2268,6)="CLIENT",IF(E2268=0,WORKDAY(A2268-1,1,Dias_Sem_Compensacao!$A$2:$A$500),WORKDAY(A2268,E2268,Dias_Sem_Compensacao!$A$2:$A$500)),"")</f>
        <v>46311</v>
      </c>
      <c r="H2268" s="25">
        <v>0</v>
      </c>
      <c r="I2268" s="28">
        <v>46310</v>
      </c>
      <c r="J2268" t="s">
        <v>2739</v>
      </c>
      <c r="K2268" t="s">
        <v>2740</v>
      </c>
    </row>
    <row r="2269" spans="1:11" hidden="1">
      <c r="A2269" s="28">
        <v>46310</v>
      </c>
      <c r="B2269" t="s">
        <v>186</v>
      </c>
      <c r="C2269" t="s">
        <v>203</v>
      </c>
      <c r="D2269" t="s">
        <v>217</v>
      </c>
      <c r="E2269">
        <f>IF(LEFT(D2269,6)="CLIENT",IFERROR(VLOOKUP(C2269,Config_Carteiras!$A:$B,2,FALSE),1),"")</f>
        <v>1</v>
      </c>
      <c r="F2269" s="25">
        <v>1261</v>
      </c>
      <c r="G2269" s="28">
        <f>IF(LEFT(D2269,6)="CLIENT",IF(E2269=0,WORKDAY(A2269-1,1,Dias_Sem_Compensacao!$A$2:$A$500),WORKDAY(A2269,E2269,Dias_Sem_Compensacao!$A$2:$A$500)),"")</f>
        <v>46311</v>
      </c>
      <c r="H2269" s="25">
        <v>0</v>
      </c>
      <c r="I2269" s="28">
        <v>46310</v>
      </c>
      <c r="J2269" t="s">
        <v>1550</v>
      </c>
      <c r="K2269" t="s">
        <v>1551</v>
      </c>
    </row>
    <row r="2270" spans="1:11" hidden="1">
      <c r="A2270" s="28">
        <v>46310</v>
      </c>
      <c r="B2270" t="s">
        <v>186</v>
      </c>
      <c r="C2270" t="s">
        <v>203</v>
      </c>
      <c r="D2270" t="s">
        <v>217</v>
      </c>
      <c r="E2270">
        <f>IF(LEFT(D2270,6)="CLIENT",IFERROR(VLOOKUP(C2270,Config_Carteiras!$A:$B,2,FALSE),1),"")</f>
        <v>1</v>
      </c>
      <c r="F2270" s="25">
        <v>1296</v>
      </c>
      <c r="G2270" s="28">
        <f>IF(LEFT(D2270,6)="CLIENT",IF(E2270=0,WORKDAY(A2270-1,1,Dias_Sem_Compensacao!$A$2:$A$500),WORKDAY(A2270,E2270,Dias_Sem_Compensacao!$A$2:$A$500)),"")</f>
        <v>46311</v>
      </c>
      <c r="H2270" s="25">
        <v>0</v>
      </c>
      <c r="I2270" s="28">
        <v>46310</v>
      </c>
      <c r="J2270" t="s">
        <v>2741</v>
      </c>
      <c r="K2270" t="s">
        <v>2742</v>
      </c>
    </row>
    <row r="2271" spans="1:11" hidden="1">
      <c r="A2271" s="28">
        <v>46310</v>
      </c>
      <c r="B2271" t="s">
        <v>186</v>
      </c>
      <c r="C2271" t="s">
        <v>203</v>
      </c>
      <c r="D2271" t="s">
        <v>217</v>
      </c>
      <c r="E2271">
        <f>IF(LEFT(D2271,6)="CLIENT",IFERROR(VLOOKUP(C2271,Config_Carteiras!$A:$B,2,FALSE),1),"")</f>
        <v>1</v>
      </c>
      <c r="F2271" s="25">
        <v>2575</v>
      </c>
      <c r="G2271" s="28">
        <f>IF(LEFT(D2271,6)="CLIENT",IF(E2271=0,WORKDAY(A2271-1,1,Dias_Sem_Compensacao!$A$2:$A$500),WORKDAY(A2271,E2271,Dias_Sem_Compensacao!$A$2:$A$500)),"")</f>
        <v>46311</v>
      </c>
      <c r="H2271" s="25">
        <v>0</v>
      </c>
      <c r="I2271" s="28">
        <v>46310</v>
      </c>
      <c r="J2271" t="s">
        <v>2743</v>
      </c>
      <c r="K2271" t="s">
        <v>2744</v>
      </c>
    </row>
    <row r="2272" spans="1:11" hidden="1">
      <c r="A2272" s="28">
        <v>46310</v>
      </c>
      <c r="B2272" t="s">
        <v>186</v>
      </c>
      <c r="C2272" t="s">
        <v>203</v>
      </c>
      <c r="D2272" t="s">
        <v>217</v>
      </c>
      <c r="E2272">
        <f>IF(LEFT(D2272,6)="CLIENT",IFERROR(VLOOKUP(C2272,Config_Carteiras!$A:$B,2,FALSE),1),"")</f>
        <v>1</v>
      </c>
      <c r="F2272" s="25">
        <v>1274</v>
      </c>
      <c r="G2272" s="28">
        <f>IF(LEFT(D2272,6)="CLIENT",IF(E2272=0,WORKDAY(A2272-1,1,Dias_Sem_Compensacao!$A$2:$A$500),WORKDAY(A2272,E2272,Dias_Sem_Compensacao!$A$2:$A$500)),"")</f>
        <v>46311</v>
      </c>
      <c r="H2272" s="25">
        <v>0</v>
      </c>
      <c r="I2272" s="28">
        <v>46310</v>
      </c>
      <c r="J2272" t="s">
        <v>1560</v>
      </c>
      <c r="K2272" t="s">
        <v>1561</v>
      </c>
    </row>
    <row r="2273" spans="1:11" hidden="1">
      <c r="A2273" s="28">
        <v>46310</v>
      </c>
      <c r="B2273" t="s">
        <v>186</v>
      </c>
      <c r="C2273" t="s">
        <v>203</v>
      </c>
      <c r="D2273" t="s">
        <v>217</v>
      </c>
      <c r="E2273">
        <f>IF(LEFT(D2273,6)="CLIENT",IFERROR(VLOOKUP(C2273,Config_Carteiras!$A:$B,2,FALSE),1),"")</f>
        <v>1</v>
      </c>
      <c r="F2273" s="25">
        <v>358</v>
      </c>
      <c r="G2273" s="28">
        <f>IF(LEFT(D2273,6)="CLIENT",IF(E2273=0,WORKDAY(A2273-1,1,Dias_Sem_Compensacao!$A$2:$A$500),WORKDAY(A2273,E2273,Dias_Sem_Compensacao!$A$2:$A$500)),"")</f>
        <v>46311</v>
      </c>
      <c r="H2273" s="25">
        <v>0</v>
      </c>
      <c r="I2273" s="28">
        <v>46310</v>
      </c>
      <c r="J2273" t="s">
        <v>1562</v>
      </c>
      <c r="K2273" t="s">
        <v>1563</v>
      </c>
    </row>
    <row r="2274" spans="1:11" hidden="1">
      <c r="A2274" s="28">
        <v>46310</v>
      </c>
      <c r="B2274" t="s">
        <v>186</v>
      </c>
      <c r="C2274" t="s">
        <v>203</v>
      </c>
      <c r="D2274" t="s">
        <v>217</v>
      </c>
      <c r="E2274">
        <f>IF(LEFT(D2274,6)="CLIENT",IFERROR(VLOOKUP(C2274,Config_Carteiras!$A:$B,2,FALSE),1),"")</f>
        <v>1</v>
      </c>
      <c r="F2274" s="25">
        <v>1228</v>
      </c>
      <c r="G2274" s="28">
        <f>IF(LEFT(D2274,6)="CLIENT",IF(E2274=0,WORKDAY(A2274-1,1,Dias_Sem_Compensacao!$A$2:$A$500),WORKDAY(A2274,E2274,Dias_Sem_Compensacao!$A$2:$A$500)),"")</f>
        <v>46311</v>
      </c>
      <c r="H2274" s="25">
        <v>0</v>
      </c>
      <c r="I2274" s="28">
        <v>46310</v>
      </c>
      <c r="J2274" t="s">
        <v>2745</v>
      </c>
      <c r="K2274" t="s">
        <v>2746</v>
      </c>
    </row>
    <row r="2275" spans="1:11" hidden="1">
      <c r="A2275" s="28">
        <v>46310</v>
      </c>
      <c r="B2275" t="s">
        <v>186</v>
      </c>
      <c r="C2275" t="s">
        <v>203</v>
      </c>
      <c r="D2275" t="s">
        <v>217</v>
      </c>
      <c r="E2275">
        <f>IF(LEFT(D2275,6)="CLIENT",IFERROR(VLOOKUP(C2275,Config_Carteiras!$A:$B,2,FALSE),1),"")</f>
        <v>1</v>
      </c>
      <c r="F2275" s="25">
        <v>586.98</v>
      </c>
      <c r="G2275" s="28">
        <f>IF(LEFT(D2275,6)="CLIENT",IF(E2275=0,WORKDAY(A2275-1,1,Dias_Sem_Compensacao!$A$2:$A$500),WORKDAY(A2275,E2275,Dias_Sem_Compensacao!$A$2:$A$500)),"")</f>
        <v>46311</v>
      </c>
      <c r="H2275" s="25">
        <v>0</v>
      </c>
      <c r="I2275" s="28">
        <v>46310</v>
      </c>
      <c r="J2275" t="s">
        <v>2747</v>
      </c>
      <c r="K2275" t="s">
        <v>2748</v>
      </c>
    </row>
    <row r="2276" spans="1:11" hidden="1">
      <c r="A2276" s="28">
        <v>46310</v>
      </c>
      <c r="B2276" t="s">
        <v>186</v>
      </c>
      <c r="C2276" t="s">
        <v>203</v>
      </c>
      <c r="D2276" t="s">
        <v>217</v>
      </c>
      <c r="E2276">
        <f>IF(LEFT(D2276,6)="CLIENT",IFERROR(VLOOKUP(C2276,Config_Carteiras!$A:$B,2,FALSE),1),"")</f>
        <v>1</v>
      </c>
      <c r="F2276" s="25">
        <v>5560</v>
      </c>
      <c r="G2276" s="28">
        <f>IF(LEFT(D2276,6)="CLIENT",IF(E2276=0,WORKDAY(A2276-1,1,Dias_Sem_Compensacao!$A$2:$A$500),WORKDAY(A2276,E2276,Dias_Sem_Compensacao!$A$2:$A$500)),"")</f>
        <v>46311</v>
      </c>
      <c r="H2276" s="25">
        <v>0</v>
      </c>
      <c r="I2276" s="28">
        <v>46310</v>
      </c>
      <c r="J2276" t="s">
        <v>2749</v>
      </c>
      <c r="K2276" t="s">
        <v>2750</v>
      </c>
    </row>
    <row r="2277" spans="1:11" hidden="1">
      <c r="A2277" s="28">
        <v>46310</v>
      </c>
      <c r="B2277" t="s">
        <v>186</v>
      </c>
      <c r="C2277" t="s">
        <v>203</v>
      </c>
      <c r="D2277" t="s">
        <v>217</v>
      </c>
      <c r="E2277">
        <f>IF(LEFT(D2277,6)="CLIENT",IFERROR(VLOOKUP(C2277,Config_Carteiras!$A:$B,2,FALSE),1),"")</f>
        <v>1</v>
      </c>
      <c r="F2277" s="25">
        <v>1403.6</v>
      </c>
      <c r="G2277" s="28">
        <f>IF(LEFT(D2277,6)="CLIENT",IF(E2277=0,WORKDAY(A2277-1,1,Dias_Sem_Compensacao!$A$2:$A$500),WORKDAY(A2277,E2277,Dias_Sem_Compensacao!$A$2:$A$500)),"")</f>
        <v>46311</v>
      </c>
      <c r="H2277" s="25">
        <v>0</v>
      </c>
      <c r="I2277" s="28">
        <v>46310</v>
      </c>
      <c r="J2277" t="s">
        <v>1568</v>
      </c>
      <c r="K2277" t="s">
        <v>1569</v>
      </c>
    </row>
    <row r="2278" spans="1:11" hidden="1">
      <c r="A2278" s="28">
        <v>46310</v>
      </c>
      <c r="B2278" t="s">
        <v>186</v>
      </c>
      <c r="C2278" t="s">
        <v>203</v>
      </c>
      <c r="D2278" t="s">
        <v>217</v>
      </c>
      <c r="E2278">
        <f>IF(LEFT(D2278,6)="CLIENT",IFERROR(VLOOKUP(C2278,Config_Carteiras!$A:$B,2,FALSE),1),"")</f>
        <v>1</v>
      </c>
      <c r="F2278" s="25">
        <v>630</v>
      </c>
      <c r="G2278" s="28">
        <f>IF(LEFT(D2278,6)="CLIENT",IF(E2278=0,WORKDAY(A2278-1,1,Dias_Sem_Compensacao!$A$2:$A$500),WORKDAY(A2278,E2278,Dias_Sem_Compensacao!$A$2:$A$500)),"")</f>
        <v>46311</v>
      </c>
      <c r="H2278" s="25">
        <v>0</v>
      </c>
      <c r="I2278" s="28">
        <v>46310</v>
      </c>
      <c r="J2278" t="s">
        <v>2751</v>
      </c>
      <c r="K2278" t="s">
        <v>2752</v>
      </c>
    </row>
    <row r="2279" spans="1:11" hidden="1">
      <c r="A2279" s="28">
        <v>46310</v>
      </c>
      <c r="B2279" t="s">
        <v>186</v>
      </c>
      <c r="C2279" t="s">
        <v>203</v>
      </c>
      <c r="D2279" t="s">
        <v>217</v>
      </c>
      <c r="E2279">
        <f>IF(LEFT(D2279,6)="CLIENT",IFERROR(VLOOKUP(C2279,Config_Carteiras!$A:$B,2,FALSE),1),"")</f>
        <v>1</v>
      </c>
      <c r="F2279" s="25">
        <v>1159</v>
      </c>
      <c r="G2279" s="28">
        <f>IF(LEFT(D2279,6)="CLIENT",IF(E2279=0,WORKDAY(A2279-1,1,Dias_Sem_Compensacao!$A$2:$A$500),WORKDAY(A2279,E2279,Dias_Sem_Compensacao!$A$2:$A$500)),"")</f>
        <v>46311</v>
      </c>
      <c r="H2279" s="25">
        <v>0</v>
      </c>
      <c r="I2279" s="28">
        <v>46310</v>
      </c>
      <c r="J2279" t="s">
        <v>2753</v>
      </c>
      <c r="K2279" t="s">
        <v>2754</v>
      </c>
    </row>
    <row r="2280" spans="1:11" hidden="1">
      <c r="A2280" s="28">
        <v>46310</v>
      </c>
      <c r="B2280" t="s">
        <v>186</v>
      </c>
      <c r="C2280" t="s">
        <v>203</v>
      </c>
      <c r="D2280" t="s">
        <v>217</v>
      </c>
      <c r="E2280">
        <f>IF(LEFT(D2280,6)="CLIENT",IFERROR(VLOOKUP(C2280,Config_Carteiras!$A:$B,2,FALSE),1),"")</f>
        <v>1</v>
      </c>
      <c r="F2280" s="25">
        <v>992</v>
      </c>
      <c r="G2280" s="28">
        <f>IF(LEFT(D2280,6)="CLIENT",IF(E2280=0,WORKDAY(A2280-1,1,Dias_Sem_Compensacao!$A$2:$A$500),WORKDAY(A2280,E2280,Dias_Sem_Compensacao!$A$2:$A$500)),"")</f>
        <v>46311</v>
      </c>
      <c r="H2280" s="25">
        <v>0</v>
      </c>
      <c r="I2280" s="28">
        <v>46310</v>
      </c>
      <c r="J2280" t="s">
        <v>2208</v>
      </c>
      <c r="K2280" t="s">
        <v>2209</v>
      </c>
    </row>
    <row r="2281" spans="1:11" hidden="1">
      <c r="A2281" s="28">
        <v>46310</v>
      </c>
      <c r="B2281" t="s">
        <v>186</v>
      </c>
      <c r="C2281" t="s">
        <v>203</v>
      </c>
      <c r="D2281" t="s">
        <v>217</v>
      </c>
      <c r="E2281">
        <f>IF(LEFT(D2281,6)="CLIENT",IFERROR(VLOOKUP(C2281,Config_Carteiras!$A:$B,2,FALSE),1),"")</f>
        <v>1</v>
      </c>
      <c r="F2281" s="25">
        <v>902</v>
      </c>
      <c r="G2281" s="28">
        <f>IF(LEFT(D2281,6)="CLIENT",IF(E2281=0,WORKDAY(A2281-1,1,Dias_Sem_Compensacao!$A$2:$A$500),WORKDAY(A2281,E2281,Dias_Sem_Compensacao!$A$2:$A$500)),"")</f>
        <v>46311</v>
      </c>
      <c r="H2281" s="25">
        <v>0</v>
      </c>
      <c r="I2281" s="28">
        <v>46310</v>
      </c>
      <c r="J2281" t="s">
        <v>2755</v>
      </c>
      <c r="K2281" t="s">
        <v>2756</v>
      </c>
    </row>
    <row r="2282" spans="1:11" hidden="1">
      <c r="A2282" s="28">
        <v>46310</v>
      </c>
      <c r="B2282" t="s">
        <v>186</v>
      </c>
      <c r="C2282" t="s">
        <v>203</v>
      </c>
      <c r="D2282" t="s">
        <v>217</v>
      </c>
      <c r="E2282">
        <f>IF(LEFT(D2282,6)="CLIENT",IFERROR(VLOOKUP(C2282,Config_Carteiras!$A:$B,2,FALSE),1),"")</f>
        <v>1</v>
      </c>
      <c r="F2282" s="25">
        <v>563</v>
      </c>
      <c r="G2282" s="28">
        <f>IF(LEFT(D2282,6)="CLIENT",IF(E2282=0,WORKDAY(A2282-1,1,Dias_Sem_Compensacao!$A$2:$A$500),WORKDAY(A2282,E2282,Dias_Sem_Compensacao!$A$2:$A$500)),"")</f>
        <v>46311</v>
      </c>
      <c r="H2282" s="25">
        <v>0</v>
      </c>
      <c r="I2282" s="28">
        <v>46310</v>
      </c>
      <c r="J2282" t="s">
        <v>2757</v>
      </c>
      <c r="K2282" t="s">
        <v>2758</v>
      </c>
    </row>
    <row r="2283" spans="1:11" hidden="1">
      <c r="A2283" s="28">
        <v>46310</v>
      </c>
      <c r="B2283" t="s">
        <v>186</v>
      </c>
      <c r="C2283" t="s">
        <v>203</v>
      </c>
      <c r="D2283" t="s">
        <v>217</v>
      </c>
      <c r="E2283">
        <f>IF(LEFT(D2283,6)="CLIENT",IFERROR(VLOOKUP(C2283,Config_Carteiras!$A:$B,2,FALSE),1),"")</f>
        <v>1</v>
      </c>
      <c r="F2283" s="25">
        <v>816</v>
      </c>
      <c r="G2283" s="28">
        <f>IF(LEFT(D2283,6)="CLIENT",IF(E2283=0,WORKDAY(A2283-1,1,Dias_Sem_Compensacao!$A$2:$A$500),WORKDAY(A2283,E2283,Dias_Sem_Compensacao!$A$2:$A$500)),"")</f>
        <v>46311</v>
      </c>
      <c r="H2283" s="25">
        <v>0</v>
      </c>
      <c r="I2283" s="28">
        <v>46310</v>
      </c>
      <c r="J2283" t="s">
        <v>1578</v>
      </c>
      <c r="K2283" t="s">
        <v>1579</v>
      </c>
    </row>
    <row r="2284" spans="1:11" hidden="1">
      <c r="A2284" s="28">
        <v>46310</v>
      </c>
      <c r="B2284" t="s">
        <v>186</v>
      </c>
      <c r="C2284" t="s">
        <v>203</v>
      </c>
      <c r="D2284" t="s">
        <v>217</v>
      </c>
      <c r="E2284">
        <f>IF(LEFT(D2284,6)="CLIENT",IFERROR(VLOOKUP(C2284,Config_Carteiras!$A:$B,2,FALSE),1),"")</f>
        <v>1</v>
      </c>
      <c r="F2284" s="25">
        <v>935.56</v>
      </c>
      <c r="G2284" s="28">
        <f>IF(LEFT(D2284,6)="CLIENT",IF(E2284=0,WORKDAY(A2284-1,1,Dias_Sem_Compensacao!$A$2:$A$500),WORKDAY(A2284,E2284,Dias_Sem_Compensacao!$A$2:$A$500)),"")</f>
        <v>46311</v>
      </c>
      <c r="H2284" s="25">
        <v>0</v>
      </c>
      <c r="I2284" s="28">
        <v>46310</v>
      </c>
      <c r="J2284" t="s">
        <v>2759</v>
      </c>
      <c r="K2284" t="s">
        <v>2760</v>
      </c>
    </row>
    <row r="2285" spans="1:11" hidden="1">
      <c r="A2285" s="28">
        <v>46310</v>
      </c>
      <c r="B2285" t="s">
        <v>186</v>
      </c>
      <c r="C2285" t="s">
        <v>203</v>
      </c>
      <c r="D2285" t="s">
        <v>217</v>
      </c>
      <c r="E2285">
        <f>IF(LEFT(D2285,6)="CLIENT",IFERROR(VLOOKUP(C2285,Config_Carteiras!$A:$B,2,FALSE),1),"")</f>
        <v>1</v>
      </c>
      <c r="F2285" s="25">
        <v>1381</v>
      </c>
      <c r="G2285" s="28">
        <f>IF(LEFT(D2285,6)="CLIENT",IF(E2285=0,WORKDAY(A2285-1,1,Dias_Sem_Compensacao!$A$2:$A$500),WORKDAY(A2285,E2285,Dias_Sem_Compensacao!$A$2:$A$500)),"")</f>
        <v>46311</v>
      </c>
      <c r="H2285" s="25">
        <v>0</v>
      </c>
      <c r="I2285" s="28">
        <v>46310</v>
      </c>
      <c r="J2285" t="s">
        <v>1580</v>
      </c>
      <c r="K2285" t="s">
        <v>1581</v>
      </c>
    </row>
    <row r="2286" spans="1:11" hidden="1">
      <c r="A2286" s="28">
        <v>46310</v>
      </c>
      <c r="B2286" t="s">
        <v>186</v>
      </c>
      <c r="C2286" t="s">
        <v>203</v>
      </c>
      <c r="D2286" t="s">
        <v>217</v>
      </c>
      <c r="E2286">
        <f>IF(LEFT(D2286,6)="CLIENT",IFERROR(VLOOKUP(C2286,Config_Carteiras!$A:$B,2,FALSE),1),"")</f>
        <v>1</v>
      </c>
      <c r="F2286" s="25">
        <v>703</v>
      </c>
      <c r="G2286" s="28">
        <f>IF(LEFT(D2286,6)="CLIENT",IF(E2286=0,WORKDAY(A2286-1,1,Dias_Sem_Compensacao!$A$2:$A$500),WORKDAY(A2286,E2286,Dias_Sem_Compensacao!$A$2:$A$500)),"")</f>
        <v>46311</v>
      </c>
      <c r="H2286" s="25">
        <v>0</v>
      </c>
      <c r="I2286" s="28">
        <v>46310</v>
      </c>
      <c r="J2286" t="s">
        <v>2761</v>
      </c>
      <c r="K2286" t="s">
        <v>2762</v>
      </c>
    </row>
    <row r="2287" spans="1:11" hidden="1">
      <c r="A2287" s="28">
        <v>46310</v>
      </c>
      <c r="B2287" t="s">
        <v>186</v>
      </c>
      <c r="C2287" t="s">
        <v>203</v>
      </c>
      <c r="D2287" t="s">
        <v>217</v>
      </c>
      <c r="E2287">
        <f>IF(LEFT(D2287,6)="CLIENT",IFERROR(VLOOKUP(C2287,Config_Carteiras!$A:$B,2,FALSE),1),"")</f>
        <v>1</v>
      </c>
      <c r="F2287" s="25">
        <v>667</v>
      </c>
      <c r="G2287" s="28">
        <f>IF(LEFT(D2287,6)="CLIENT",IF(E2287=0,WORKDAY(A2287-1,1,Dias_Sem_Compensacao!$A$2:$A$500),WORKDAY(A2287,E2287,Dias_Sem_Compensacao!$A$2:$A$500)),"")</f>
        <v>46311</v>
      </c>
      <c r="H2287" s="25">
        <v>0</v>
      </c>
      <c r="I2287" s="28">
        <v>46310</v>
      </c>
      <c r="J2287" t="s">
        <v>2211</v>
      </c>
      <c r="K2287" t="s">
        <v>2212</v>
      </c>
    </row>
    <row r="2288" spans="1:11" hidden="1">
      <c r="A2288" s="28">
        <v>46310</v>
      </c>
      <c r="B2288" t="s">
        <v>186</v>
      </c>
      <c r="C2288" t="s">
        <v>203</v>
      </c>
      <c r="D2288" t="s">
        <v>217</v>
      </c>
      <c r="E2288">
        <f>IF(LEFT(D2288,6)="CLIENT",IFERROR(VLOOKUP(C2288,Config_Carteiras!$A:$B,2,FALSE),1),"")</f>
        <v>1</v>
      </c>
      <c r="F2288" s="25">
        <v>3109.51</v>
      </c>
      <c r="G2288" s="28">
        <f>IF(LEFT(D2288,6)="CLIENT",IF(E2288=0,WORKDAY(A2288-1,1,Dias_Sem_Compensacao!$A$2:$A$500),WORKDAY(A2288,E2288,Dias_Sem_Compensacao!$A$2:$A$500)),"")</f>
        <v>46311</v>
      </c>
      <c r="H2288" s="25">
        <v>0</v>
      </c>
      <c r="I2288" s="28">
        <v>46310</v>
      </c>
      <c r="J2288" t="s">
        <v>1584</v>
      </c>
      <c r="K2288" t="s">
        <v>1585</v>
      </c>
    </row>
    <row r="2289" spans="1:11" hidden="1">
      <c r="A2289" s="28">
        <v>46310</v>
      </c>
      <c r="B2289" t="s">
        <v>186</v>
      </c>
      <c r="C2289" t="s">
        <v>203</v>
      </c>
      <c r="D2289" t="s">
        <v>217</v>
      </c>
      <c r="E2289">
        <f>IF(LEFT(D2289,6)="CLIENT",IFERROR(VLOOKUP(C2289,Config_Carteiras!$A:$B,2,FALSE),1),"")</f>
        <v>1</v>
      </c>
      <c r="F2289" s="25">
        <v>344</v>
      </c>
      <c r="G2289" s="28">
        <f>IF(LEFT(D2289,6)="CLIENT",IF(E2289=0,WORKDAY(A2289-1,1,Dias_Sem_Compensacao!$A$2:$A$500),WORKDAY(A2289,E2289,Dias_Sem_Compensacao!$A$2:$A$500)),"")</f>
        <v>46311</v>
      </c>
      <c r="H2289" s="25">
        <v>0</v>
      </c>
      <c r="I2289" s="28">
        <v>46310</v>
      </c>
      <c r="J2289" t="s">
        <v>2763</v>
      </c>
      <c r="K2289" t="s">
        <v>2764</v>
      </c>
    </row>
    <row r="2290" spans="1:11" hidden="1">
      <c r="A2290" s="28">
        <v>46310</v>
      </c>
      <c r="B2290" t="s">
        <v>186</v>
      </c>
      <c r="C2290" t="s">
        <v>203</v>
      </c>
      <c r="D2290" t="s">
        <v>217</v>
      </c>
      <c r="E2290">
        <f>IF(LEFT(D2290,6)="CLIENT",IFERROR(VLOOKUP(C2290,Config_Carteiras!$A:$B,2,FALSE),1),"")</f>
        <v>1</v>
      </c>
      <c r="F2290" s="25">
        <v>967</v>
      </c>
      <c r="G2290" s="28">
        <f>IF(LEFT(D2290,6)="CLIENT",IF(E2290=0,WORKDAY(A2290-1,1,Dias_Sem_Compensacao!$A$2:$A$500),WORKDAY(A2290,E2290,Dias_Sem_Compensacao!$A$2:$A$500)),"")</f>
        <v>46311</v>
      </c>
      <c r="H2290" s="25">
        <v>0</v>
      </c>
      <c r="I2290" s="28">
        <v>46310</v>
      </c>
      <c r="J2290" t="s">
        <v>2214</v>
      </c>
      <c r="K2290" t="s">
        <v>2215</v>
      </c>
    </row>
    <row r="2291" spans="1:11" hidden="1">
      <c r="A2291" s="28">
        <v>46310</v>
      </c>
      <c r="B2291" t="s">
        <v>186</v>
      </c>
      <c r="C2291" t="s">
        <v>203</v>
      </c>
      <c r="D2291" t="s">
        <v>217</v>
      </c>
      <c r="E2291">
        <f>IF(LEFT(D2291,6)="CLIENT",IFERROR(VLOOKUP(C2291,Config_Carteiras!$A:$B,2,FALSE),1),"")</f>
        <v>1</v>
      </c>
      <c r="F2291" s="25">
        <v>675.82</v>
      </c>
      <c r="G2291" s="28">
        <f>IF(LEFT(D2291,6)="CLIENT",IF(E2291=0,WORKDAY(A2291-1,1,Dias_Sem_Compensacao!$A$2:$A$500),WORKDAY(A2291,E2291,Dias_Sem_Compensacao!$A$2:$A$500)),"")</f>
        <v>46311</v>
      </c>
      <c r="H2291" s="25">
        <v>0</v>
      </c>
      <c r="I2291" s="28">
        <v>46310</v>
      </c>
      <c r="J2291" t="s">
        <v>1592</v>
      </c>
      <c r="K2291" t="s">
        <v>1593</v>
      </c>
    </row>
    <row r="2292" spans="1:11" hidden="1">
      <c r="A2292" s="28">
        <v>46310</v>
      </c>
      <c r="B2292" t="s">
        <v>186</v>
      </c>
      <c r="C2292" t="s">
        <v>203</v>
      </c>
      <c r="D2292" t="s">
        <v>217</v>
      </c>
      <c r="E2292">
        <f>IF(LEFT(D2292,6)="CLIENT",IFERROR(VLOOKUP(C2292,Config_Carteiras!$A:$B,2,FALSE),1),"")</f>
        <v>1</v>
      </c>
      <c r="F2292" s="25">
        <v>2858.86</v>
      </c>
      <c r="G2292" s="28">
        <f>IF(LEFT(D2292,6)="CLIENT",IF(E2292=0,WORKDAY(A2292-1,1,Dias_Sem_Compensacao!$A$2:$A$500),WORKDAY(A2292,E2292,Dias_Sem_Compensacao!$A$2:$A$500)),"")</f>
        <v>46311</v>
      </c>
      <c r="H2292" s="25">
        <v>0</v>
      </c>
      <c r="I2292" s="28">
        <v>46310</v>
      </c>
      <c r="J2292" t="s">
        <v>2220</v>
      </c>
      <c r="K2292" t="s">
        <v>2221</v>
      </c>
    </row>
    <row r="2293" spans="1:11" hidden="1">
      <c r="A2293" s="28">
        <v>46310</v>
      </c>
      <c r="B2293" t="s">
        <v>186</v>
      </c>
      <c r="C2293" t="s">
        <v>203</v>
      </c>
      <c r="D2293" t="s">
        <v>217</v>
      </c>
      <c r="E2293">
        <f>IF(LEFT(D2293,6)="CLIENT",IFERROR(VLOOKUP(C2293,Config_Carteiras!$A:$B,2,FALSE),1),"")</f>
        <v>1</v>
      </c>
      <c r="F2293" s="25">
        <v>507</v>
      </c>
      <c r="G2293" s="28">
        <f>IF(LEFT(D2293,6)="CLIENT",IF(E2293=0,WORKDAY(A2293-1,1,Dias_Sem_Compensacao!$A$2:$A$500),WORKDAY(A2293,E2293,Dias_Sem_Compensacao!$A$2:$A$500)),"")</f>
        <v>46311</v>
      </c>
      <c r="H2293" s="25">
        <v>0</v>
      </c>
      <c r="I2293" s="28">
        <v>46310</v>
      </c>
      <c r="J2293" t="s">
        <v>1594</v>
      </c>
      <c r="K2293" t="s">
        <v>1595</v>
      </c>
    </row>
    <row r="2294" spans="1:11" hidden="1">
      <c r="A2294" s="28">
        <v>46310</v>
      </c>
      <c r="B2294" t="s">
        <v>186</v>
      </c>
      <c r="C2294" t="s">
        <v>203</v>
      </c>
      <c r="D2294" t="s">
        <v>217</v>
      </c>
      <c r="E2294">
        <f>IF(LEFT(D2294,6)="CLIENT",IFERROR(VLOOKUP(C2294,Config_Carteiras!$A:$B,2,FALSE),1),"")</f>
        <v>1</v>
      </c>
      <c r="F2294" s="25">
        <v>1095.5</v>
      </c>
      <c r="G2294" s="28">
        <f>IF(LEFT(D2294,6)="CLIENT",IF(E2294=0,WORKDAY(A2294-1,1,Dias_Sem_Compensacao!$A$2:$A$500),WORKDAY(A2294,E2294,Dias_Sem_Compensacao!$A$2:$A$500)),"")</f>
        <v>46311</v>
      </c>
      <c r="H2294" s="25">
        <v>0</v>
      </c>
      <c r="I2294" s="28">
        <v>46310</v>
      </c>
      <c r="J2294" t="s">
        <v>1596</v>
      </c>
      <c r="K2294" t="s">
        <v>1597</v>
      </c>
    </row>
    <row r="2295" spans="1:11" hidden="1">
      <c r="A2295" s="28">
        <v>46310</v>
      </c>
      <c r="B2295" t="s">
        <v>186</v>
      </c>
      <c r="C2295" t="s">
        <v>203</v>
      </c>
      <c r="D2295" t="s">
        <v>217</v>
      </c>
      <c r="E2295">
        <f>IF(LEFT(D2295,6)="CLIENT",IFERROR(VLOOKUP(C2295,Config_Carteiras!$A:$B,2,FALSE),1),"")</f>
        <v>1</v>
      </c>
      <c r="F2295" s="25">
        <v>1028</v>
      </c>
      <c r="G2295" s="28">
        <f>IF(LEFT(D2295,6)="CLIENT",IF(E2295=0,WORKDAY(A2295-1,1,Dias_Sem_Compensacao!$A$2:$A$500),WORKDAY(A2295,E2295,Dias_Sem_Compensacao!$A$2:$A$500)),"")</f>
        <v>46311</v>
      </c>
      <c r="H2295" s="25">
        <v>0</v>
      </c>
      <c r="I2295" s="28">
        <v>46310</v>
      </c>
      <c r="J2295" t="s">
        <v>2222</v>
      </c>
      <c r="K2295" t="s">
        <v>2223</v>
      </c>
    </row>
    <row r="2296" spans="1:11" hidden="1">
      <c r="A2296" s="28">
        <v>46310</v>
      </c>
      <c r="B2296" t="s">
        <v>186</v>
      </c>
      <c r="C2296" t="s">
        <v>203</v>
      </c>
      <c r="D2296" t="s">
        <v>217</v>
      </c>
      <c r="E2296">
        <f>IF(LEFT(D2296,6)="CLIENT",IFERROR(VLOOKUP(C2296,Config_Carteiras!$A:$B,2,FALSE),1),"")</f>
        <v>1</v>
      </c>
      <c r="F2296" s="25">
        <v>945</v>
      </c>
      <c r="G2296" s="28">
        <f>IF(LEFT(D2296,6)="CLIENT",IF(E2296=0,WORKDAY(A2296-1,1,Dias_Sem_Compensacao!$A$2:$A$500),WORKDAY(A2296,E2296,Dias_Sem_Compensacao!$A$2:$A$500)),"")</f>
        <v>46311</v>
      </c>
      <c r="H2296" s="25">
        <v>0</v>
      </c>
      <c r="I2296" s="28">
        <v>46310</v>
      </c>
      <c r="J2296" t="s">
        <v>2224</v>
      </c>
      <c r="K2296" t="s">
        <v>2225</v>
      </c>
    </row>
    <row r="2297" spans="1:11" hidden="1">
      <c r="A2297" s="28">
        <v>46310</v>
      </c>
      <c r="B2297" t="s">
        <v>186</v>
      </c>
      <c r="C2297" t="s">
        <v>203</v>
      </c>
      <c r="D2297" t="s">
        <v>217</v>
      </c>
      <c r="E2297">
        <f>IF(LEFT(D2297,6)="CLIENT",IFERROR(VLOOKUP(C2297,Config_Carteiras!$A:$B,2,FALSE),1),"")</f>
        <v>1</v>
      </c>
      <c r="F2297" s="25">
        <v>704</v>
      </c>
      <c r="G2297" s="28">
        <f>IF(LEFT(D2297,6)="CLIENT",IF(E2297=0,WORKDAY(A2297-1,1,Dias_Sem_Compensacao!$A$2:$A$500),WORKDAY(A2297,E2297,Dias_Sem_Compensacao!$A$2:$A$500)),"")</f>
        <v>46311</v>
      </c>
      <c r="H2297" s="25">
        <v>0</v>
      </c>
      <c r="I2297" s="28">
        <v>46310</v>
      </c>
      <c r="J2297" t="s">
        <v>2765</v>
      </c>
      <c r="K2297" t="s">
        <v>2766</v>
      </c>
    </row>
    <row r="2298" spans="1:11" hidden="1">
      <c r="A2298" s="28">
        <v>46310</v>
      </c>
      <c r="B2298" t="s">
        <v>186</v>
      </c>
      <c r="C2298" t="s">
        <v>203</v>
      </c>
      <c r="D2298" t="s">
        <v>217</v>
      </c>
      <c r="E2298">
        <f>IF(LEFT(D2298,6)="CLIENT",IFERROR(VLOOKUP(C2298,Config_Carteiras!$A:$B,2,FALSE),1),"")</f>
        <v>1</v>
      </c>
      <c r="F2298" s="25">
        <v>766</v>
      </c>
      <c r="G2298" s="28">
        <f>IF(LEFT(D2298,6)="CLIENT",IF(E2298=0,WORKDAY(A2298-1,1,Dias_Sem_Compensacao!$A$2:$A$500),WORKDAY(A2298,E2298,Dias_Sem_Compensacao!$A$2:$A$500)),"")</f>
        <v>46311</v>
      </c>
      <c r="H2298" s="25">
        <v>0</v>
      </c>
      <c r="I2298" s="28">
        <v>46310</v>
      </c>
      <c r="J2298" t="s">
        <v>2767</v>
      </c>
      <c r="K2298" t="s">
        <v>2768</v>
      </c>
    </row>
    <row r="2299" spans="1:11" hidden="1">
      <c r="A2299" s="28">
        <v>46310</v>
      </c>
      <c r="B2299" t="s">
        <v>186</v>
      </c>
      <c r="C2299" t="s">
        <v>203</v>
      </c>
      <c r="D2299" t="s">
        <v>217</v>
      </c>
      <c r="E2299">
        <f>IF(LEFT(D2299,6)="CLIENT",IFERROR(VLOOKUP(C2299,Config_Carteiras!$A:$B,2,FALSE),1),"")</f>
        <v>1</v>
      </c>
      <c r="F2299" s="25">
        <v>1394.76</v>
      </c>
      <c r="G2299" s="28">
        <f>IF(LEFT(D2299,6)="CLIENT",IF(E2299=0,WORKDAY(A2299-1,1,Dias_Sem_Compensacao!$A$2:$A$500),WORKDAY(A2299,E2299,Dias_Sem_Compensacao!$A$2:$A$500)),"")</f>
        <v>46311</v>
      </c>
      <c r="H2299" s="25">
        <v>0</v>
      </c>
      <c r="I2299" s="28">
        <v>46310</v>
      </c>
      <c r="J2299" t="s">
        <v>1022</v>
      </c>
      <c r="K2299" t="s">
        <v>1023</v>
      </c>
    </row>
    <row r="2300" spans="1:11" hidden="1">
      <c r="A2300" s="28">
        <v>46310</v>
      </c>
      <c r="B2300" t="s">
        <v>186</v>
      </c>
      <c r="C2300" t="s">
        <v>203</v>
      </c>
      <c r="D2300" t="s">
        <v>217</v>
      </c>
      <c r="E2300">
        <f>IF(LEFT(D2300,6)="CLIENT",IFERROR(VLOOKUP(C2300,Config_Carteiras!$A:$B,2,FALSE),1),"")</f>
        <v>1</v>
      </c>
      <c r="F2300" s="25">
        <v>6627.41</v>
      </c>
      <c r="G2300" s="28">
        <f>IF(LEFT(D2300,6)="CLIENT",IF(E2300=0,WORKDAY(A2300-1,1,Dias_Sem_Compensacao!$A$2:$A$500),WORKDAY(A2300,E2300,Dias_Sem_Compensacao!$A$2:$A$500)),"")</f>
        <v>46311</v>
      </c>
      <c r="H2300" s="25">
        <v>0</v>
      </c>
      <c r="I2300" s="28">
        <v>46310</v>
      </c>
      <c r="J2300" t="s">
        <v>2769</v>
      </c>
      <c r="K2300" t="s">
        <v>2770</v>
      </c>
    </row>
    <row r="2301" spans="1:11" hidden="1">
      <c r="A2301" s="28">
        <v>46310</v>
      </c>
      <c r="B2301" t="s">
        <v>186</v>
      </c>
      <c r="C2301" t="s">
        <v>203</v>
      </c>
      <c r="D2301" t="s">
        <v>217</v>
      </c>
      <c r="E2301">
        <f>IF(LEFT(D2301,6)="CLIENT",IFERROR(VLOOKUP(C2301,Config_Carteiras!$A:$B,2,FALSE),1),"")</f>
        <v>1</v>
      </c>
      <c r="F2301" s="25">
        <v>1746.93</v>
      </c>
      <c r="G2301" s="28">
        <f>IF(LEFT(D2301,6)="CLIENT",IF(E2301=0,WORKDAY(A2301-1,1,Dias_Sem_Compensacao!$A$2:$A$500),WORKDAY(A2301,E2301,Dias_Sem_Compensacao!$A$2:$A$500)),"")</f>
        <v>46311</v>
      </c>
      <c r="H2301" s="25">
        <v>0</v>
      </c>
      <c r="I2301" s="28">
        <v>46310</v>
      </c>
      <c r="J2301" t="s">
        <v>1602</v>
      </c>
      <c r="K2301" t="s">
        <v>1603</v>
      </c>
    </row>
    <row r="2302" spans="1:11" hidden="1">
      <c r="A2302" s="28">
        <v>46310</v>
      </c>
      <c r="B2302" t="s">
        <v>186</v>
      </c>
      <c r="C2302" t="s">
        <v>203</v>
      </c>
      <c r="D2302" t="s">
        <v>217</v>
      </c>
      <c r="E2302">
        <f>IF(LEFT(D2302,6)="CLIENT",IFERROR(VLOOKUP(C2302,Config_Carteiras!$A:$B,2,FALSE),1),"")</f>
        <v>1</v>
      </c>
      <c r="F2302" s="25">
        <v>570.6</v>
      </c>
      <c r="G2302" s="28">
        <f>IF(LEFT(D2302,6)="CLIENT",IF(E2302=0,WORKDAY(A2302-1,1,Dias_Sem_Compensacao!$A$2:$A$500),WORKDAY(A2302,E2302,Dias_Sem_Compensacao!$A$2:$A$500)),"")</f>
        <v>46311</v>
      </c>
      <c r="H2302" s="25">
        <v>0</v>
      </c>
      <c r="I2302" s="28">
        <v>46310</v>
      </c>
      <c r="J2302" t="s">
        <v>1606</v>
      </c>
      <c r="K2302" t="s">
        <v>1607</v>
      </c>
    </row>
    <row r="2303" spans="1:11" hidden="1">
      <c r="A2303" s="28">
        <v>46310</v>
      </c>
      <c r="B2303" t="s">
        <v>186</v>
      </c>
      <c r="C2303" t="s">
        <v>203</v>
      </c>
      <c r="D2303" t="s">
        <v>217</v>
      </c>
      <c r="E2303">
        <f>IF(LEFT(D2303,6)="CLIENT",IFERROR(VLOOKUP(C2303,Config_Carteiras!$A:$B,2,FALSE),1),"")</f>
        <v>1</v>
      </c>
      <c r="F2303" s="25">
        <v>969.22</v>
      </c>
      <c r="G2303" s="28">
        <f>IF(LEFT(D2303,6)="CLIENT",IF(E2303=0,WORKDAY(A2303-1,1,Dias_Sem_Compensacao!$A$2:$A$500),WORKDAY(A2303,E2303,Dias_Sem_Compensacao!$A$2:$A$500)),"")</f>
        <v>46311</v>
      </c>
      <c r="H2303" s="25">
        <v>0</v>
      </c>
      <c r="I2303" s="28">
        <v>46310</v>
      </c>
      <c r="J2303" t="s">
        <v>2771</v>
      </c>
      <c r="K2303" t="s">
        <v>2772</v>
      </c>
    </row>
    <row r="2304" spans="1:11" hidden="1">
      <c r="A2304" s="28">
        <v>46310</v>
      </c>
      <c r="B2304" t="s">
        <v>186</v>
      </c>
      <c r="C2304" t="s">
        <v>203</v>
      </c>
      <c r="D2304" t="s">
        <v>217</v>
      </c>
      <c r="E2304">
        <f>IF(LEFT(D2304,6)="CLIENT",IFERROR(VLOOKUP(C2304,Config_Carteiras!$A:$B,2,FALSE),1),"")</f>
        <v>1</v>
      </c>
      <c r="F2304" s="25">
        <v>914</v>
      </c>
      <c r="G2304" s="28">
        <f>IF(LEFT(D2304,6)="CLIENT",IF(E2304=0,WORKDAY(A2304-1,1,Dias_Sem_Compensacao!$A$2:$A$500),WORKDAY(A2304,E2304,Dias_Sem_Compensacao!$A$2:$A$500)),"")</f>
        <v>46311</v>
      </c>
      <c r="H2304" s="25">
        <v>0</v>
      </c>
      <c r="I2304" s="28">
        <v>46310</v>
      </c>
      <c r="J2304" t="s">
        <v>1608</v>
      </c>
      <c r="K2304" t="s">
        <v>2230</v>
      </c>
    </row>
    <row r="2305" spans="1:11" hidden="1">
      <c r="A2305" s="28">
        <v>46310</v>
      </c>
      <c r="B2305" t="s">
        <v>186</v>
      </c>
      <c r="C2305" t="s">
        <v>203</v>
      </c>
      <c r="D2305" t="s">
        <v>217</v>
      </c>
      <c r="E2305">
        <f>IF(LEFT(D2305,6)="CLIENT",IFERROR(VLOOKUP(C2305,Config_Carteiras!$A:$B,2,FALSE),1),"")</f>
        <v>1</v>
      </c>
      <c r="F2305" s="25">
        <v>585.64</v>
      </c>
      <c r="G2305" s="28">
        <f>IF(LEFT(D2305,6)="CLIENT",IF(E2305=0,WORKDAY(A2305-1,1,Dias_Sem_Compensacao!$A$2:$A$500),WORKDAY(A2305,E2305,Dias_Sem_Compensacao!$A$2:$A$500)),"")</f>
        <v>46311</v>
      </c>
      <c r="H2305" s="25">
        <v>0</v>
      </c>
      <c r="I2305" s="28">
        <v>46310</v>
      </c>
      <c r="J2305" t="s">
        <v>2773</v>
      </c>
      <c r="K2305" t="s">
        <v>2774</v>
      </c>
    </row>
    <row r="2306" spans="1:11" hidden="1">
      <c r="A2306" s="28">
        <v>46310</v>
      </c>
      <c r="B2306" t="s">
        <v>186</v>
      </c>
      <c r="C2306" t="s">
        <v>203</v>
      </c>
      <c r="D2306" t="s">
        <v>217</v>
      </c>
      <c r="E2306">
        <f>IF(LEFT(D2306,6)="CLIENT",IFERROR(VLOOKUP(C2306,Config_Carteiras!$A:$B,2,FALSE),1),"")</f>
        <v>1</v>
      </c>
      <c r="F2306" s="25">
        <v>1264</v>
      </c>
      <c r="G2306" s="28">
        <f>IF(LEFT(D2306,6)="CLIENT",IF(E2306=0,WORKDAY(A2306-1,1,Dias_Sem_Compensacao!$A$2:$A$500),WORKDAY(A2306,E2306,Dias_Sem_Compensacao!$A$2:$A$500)),"")</f>
        <v>46311</v>
      </c>
      <c r="H2306" s="25">
        <v>0</v>
      </c>
      <c r="I2306" s="28">
        <v>46310</v>
      </c>
      <c r="J2306" t="s">
        <v>356</v>
      </c>
      <c r="K2306" t="s">
        <v>2231</v>
      </c>
    </row>
    <row r="2307" spans="1:11" hidden="1">
      <c r="A2307" s="28">
        <v>46310</v>
      </c>
      <c r="B2307" t="s">
        <v>186</v>
      </c>
      <c r="C2307" t="s">
        <v>203</v>
      </c>
      <c r="D2307" t="s">
        <v>217</v>
      </c>
      <c r="E2307">
        <f>IF(LEFT(D2307,6)="CLIENT",IFERROR(VLOOKUP(C2307,Config_Carteiras!$A:$B,2,FALSE),1),"")</f>
        <v>1</v>
      </c>
      <c r="F2307" s="25">
        <v>1470.23</v>
      </c>
      <c r="G2307" s="28">
        <f>IF(LEFT(D2307,6)="CLIENT",IF(E2307=0,WORKDAY(A2307-1,1,Dias_Sem_Compensacao!$A$2:$A$500),WORKDAY(A2307,E2307,Dias_Sem_Compensacao!$A$2:$A$500)),"")</f>
        <v>46311</v>
      </c>
      <c r="H2307" s="25">
        <v>0</v>
      </c>
      <c r="I2307" s="28">
        <v>46310</v>
      </c>
      <c r="J2307" t="s">
        <v>1616</v>
      </c>
      <c r="K2307" t="s">
        <v>1617</v>
      </c>
    </row>
    <row r="2308" spans="1:11" hidden="1">
      <c r="A2308" s="28">
        <v>46310</v>
      </c>
      <c r="B2308" t="s">
        <v>186</v>
      </c>
      <c r="C2308" t="s">
        <v>203</v>
      </c>
      <c r="D2308" t="s">
        <v>217</v>
      </c>
      <c r="E2308">
        <f>IF(LEFT(D2308,6)="CLIENT",IFERROR(VLOOKUP(C2308,Config_Carteiras!$A:$B,2,FALSE),1),"")</f>
        <v>1</v>
      </c>
      <c r="F2308" s="25">
        <v>1778.94</v>
      </c>
      <c r="G2308" s="28">
        <f>IF(LEFT(D2308,6)="CLIENT",IF(E2308=0,WORKDAY(A2308-1,1,Dias_Sem_Compensacao!$A$2:$A$500),WORKDAY(A2308,E2308,Dias_Sem_Compensacao!$A$2:$A$500)),"")</f>
        <v>46311</v>
      </c>
      <c r="H2308" s="25">
        <v>0</v>
      </c>
      <c r="I2308" s="28">
        <v>46310</v>
      </c>
      <c r="J2308" t="s">
        <v>2775</v>
      </c>
      <c r="K2308" t="s">
        <v>2776</v>
      </c>
    </row>
    <row r="2309" spans="1:11" hidden="1">
      <c r="A2309" s="28">
        <v>46310</v>
      </c>
      <c r="B2309" t="s">
        <v>186</v>
      </c>
      <c r="C2309" t="s">
        <v>203</v>
      </c>
      <c r="D2309" t="s">
        <v>217</v>
      </c>
      <c r="E2309">
        <f>IF(LEFT(D2309,6)="CLIENT",IFERROR(VLOOKUP(C2309,Config_Carteiras!$A:$B,2,FALSE),1),"")</f>
        <v>1</v>
      </c>
      <c r="F2309" s="25">
        <v>666</v>
      </c>
      <c r="G2309" s="28">
        <f>IF(LEFT(D2309,6)="CLIENT",IF(E2309=0,WORKDAY(A2309-1,1,Dias_Sem_Compensacao!$A$2:$A$500),WORKDAY(A2309,E2309,Dias_Sem_Compensacao!$A$2:$A$500)),"")</f>
        <v>46311</v>
      </c>
      <c r="H2309" s="25">
        <v>0</v>
      </c>
      <c r="I2309" s="28">
        <v>46310</v>
      </c>
      <c r="J2309" t="s">
        <v>2777</v>
      </c>
      <c r="K2309" t="s">
        <v>2778</v>
      </c>
    </row>
    <row r="2310" spans="1:11" hidden="1">
      <c r="A2310" s="28">
        <v>46310</v>
      </c>
      <c r="B2310" t="s">
        <v>186</v>
      </c>
      <c r="C2310" t="s">
        <v>203</v>
      </c>
      <c r="D2310" t="s">
        <v>217</v>
      </c>
      <c r="E2310">
        <f>IF(LEFT(D2310,6)="CLIENT",IFERROR(VLOOKUP(C2310,Config_Carteiras!$A:$B,2,FALSE),1),"")</f>
        <v>1</v>
      </c>
      <c r="F2310" s="25">
        <v>1040</v>
      </c>
      <c r="G2310" s="28">
        <f>IF(LEFT(D2310,6)="CLIENT",IF(E2310=0,WORKDAY(A2310-1,1,Dias_Sem_Compensacao!$A$2:$A$500),WORKDAY(A2310,E2310,Dias_Sem_Compensacao!$A$2:$A$500)),"")</f>
        <v>46311</v>
      </c>
      <c r="H2310" s="25">
        <v>0</v>
      </c>
      <c r="I2310" s="28">
        <v>46310</v>
      </c>
      <c r="J2310" t="s">
        <v>2779</v>
      </c>
      <c r="K2310" t="s">
        <v>2780</v>
      </c>
    </row>
    <row r="2311" spans="1:11" hidden="1">
      <c r="A2311" s="28">
        <v>46310</v>
      </c>
      <c r="B2311" t="s">
        <v>186</v>
      </c>
      <c r="C2311" t="s">
        <v>203</v>
      </c>
      <c r="D2311" t="s">
        <v>217</v>
      </c>
      <c r="E2311">
        <f>IF(LEFT(D2311,6)="CLIENT",IFERROR(VLOOKUP(C2311,Config_Carteiras!$A:$B,2,FALSE),1),"")</f>
        <v>1</v>
      </c>
      <c r="F2311" s="25">
        <v>410</v>
      </c>
      <c r="G2311" s="28">
        <f>IF(LEFT(D2311,6)="CLIENT",IF(E2311=0,WORKDAY(A2311-1,1,Dias_Sem_Compensacao!$A$2:$A$500),WORKDAY(A2311,E2311,Dias_Sem_Compensacao!$A$2:$A$500)),"")</f>
        <v>46311</v>
      </c>
      <c r="H2311" s="25">
        <v>0</v>
      </c>
      <c r="I2311" s="28">
        <v>46310</v>
      </c>
      <c r="J2311" t="s">
        <v>1072</v>
      </c>
      <c r="K2311" t="s">
        <v>2781</v>
      </c>
    </row>
    <row r="2312" spans="1:11" hidden="1">
      <c r="A2312" s="28">
        <v>46310</v>
      </c>
      <c r="B2312" t="s">
        <v>186</v>
      </c>
      <c r="C2312" t="s">
        <v>203</v>
      </c>
      <c r="D2312" t="s">
        <v>217</v>
      </c>
      <c r="E2312">
        <f>IF(LEFT(D2312,6)="CLIENT",IFERROR(VLOOKUP(C2312,Config_Carteiras!$A:$B,2,FALSE),1),"")</f>
        <v>1</v>
      </c>
      <c r="F2312" s="25">
        <v>381</v>
      </c>
      <c r="G2312" s="28">
        <f>IF(LEFT(D2312,6)="CLIENT",IF(E2312=0,WORKDAY(A2312-1,1,Dias_Sem_Compensacao!$A$2:$A$500),WORKDAY(A2312,E2312,Dias_Sem_Compensacao!$A$2:$A$500)),"")</f>
        <v>46311</v>
      </c>
      <c r="H2312" s="25">
        <v>0</v>
      </c>
      <c r="I2312" s="28">
        <v>46310</v>
      </c>
      <c r="J2312" t="s">
        <v>2236</v>
      </c>
      <c r="K2312" t="s">
        <v>2237</v>
      </c>
    </row>
    <row r="2313" spans="1:11" hidden="1">
      <c r="A2313" s="28">
        <v>46310</v>
      </c>
      <c r="B2313" t="s">
        <v>186</v>
      </c>
      <c r="C2313" t="s">
        <v>203</v>
      </c>
      <c r="D2313" t="s">
        <v>217</v>
      </c>
      <c r="E2313">
        <f>IF(LEFT(D2313,6)="CLIENT",IFERROR(VLOOKUP(C2313,Config_Carteiras!$A:$B,2,FALSE),1),"")</f>
        <v>1</v>
      </c>
      <c r="F2313" s="25">
        <v>713</v>
      </c>
      <c r="G2313" s="28">
        <f>IF(LEFT(D2313,6)="CLIENT",IF(E2313=0,WORKDAY(A2313-1,1,Dias_Sem_Compensacao!$A$2:$A$500),WORKDAY(A2313,E2313,Dias_Sem_Compensacao!$A$2:$A$500)),"")</f>
        <v>46311</v>
      </c>
      <c r="H2313" s="25">
        <v>0</v>
      </c>
      <c r="I2313" s="28">
        <v>46310</v>
      </c>
      <c r="J2313" t="s">
        <v>1622</v>
      </c>
      <c r="K2313" t="s">
        <v>1623</v>
      </c>
    </row>
    <row r="2314" spans="1:11" hidden="1">
      <c r="A2314" s="28">
        <v>46310</v>
      </c>
      <c r="B2314" t="s">
        <v>186</v>
      </c>
      <c r="C2314" t="s">
        <v>203</v>
      </c>
      <c r="D2314" t="s">
        <v>217</v>
      </c>
      <c r="E2314">
        <f>IF(LEFT(D2314,6)="CLIENT",IFERROR(VLOOKUP(C2314,Config_Carteiras!$A:$B,2,FALSE),1),"")</f>
        <v>1</v>
      </c>
      <c r="F2314" s="25">
        <v>855.9</v>
      </c>
      <c r="G2314" s="28">
        <f>IF(LEFT(D2314,6)="CLIENT",IF(E2314=0,WORKDAY(A2314-1,1,Dias_Sem_Compensacao!$A$2:$A$500),WORKDAY(A2314,E2314,Dias_Sem_Compensacao!$A$2:$A$500)),"")</f>
        <v>46311</v>
      </c>
      <c r="H2314" s="25">
        <v>0</v>
      </c>
      <c r="I2314" s="28">
        <v>46310</v>
      </c>
      <c r="J2314" t="s">
        <v>1624</v>
      </c>
      <c r="K2314" t="s">
        <v>1625</v>
      </c>
    </row>
    <row r="2315" spans="1:11" hidden="1">
      <c r="A2315" s="28">
        <v>46310</v>
      </c>
      <c r="B2315" t="s">
        <v>186</v>
      </c>
      <c r="C2315" t="s">
        <v>203</v>
      </c>
      <c r="D2315" t="s">
        <v>217</v>
      </c>
      <c r="E2315">
        <f>IF(LEFT(D2315,6)="CLIENT",IFERROR(VLOOKUP(C2315,Config_Carteiras!$A:$B,2,FALSE),1),"")</f>
        <v>1</v>
      </c>
      <c r="F2315" s="25">
        <v>5645.2</v>
      </c>
      <c r="G2315" s="28">
        <f>IF(LEFT(D2315,6)="CLIENT",IF(E2315=0,WORKDAY(A2315-1,1,Dias_Sem_Compensacao!$A$2:$A$500),WORKDAY(A2315,E2315,Dias_Sem_Compensacao!$A$2:$A$500)),"")</f>
        <v>46311</v>
      </c>
      <c r="H2315" s="25">
        <v>0</v>
      </c>
      <c r="I2315" s="28">
        <v>46310</v>
      </c>
      <c r="J2315" t="s">
        <v>2782</v>
      </c>
      <c r="K2315" t="s">
        <v>2783</v>
      </c>
    </row>
    <row r="2316" spans="1:11" hidden="1">
      <c r="A2316" s="28">
        <v>46310</v>
      </c>
      <c r="B2316" t="s">
        <v>186</v>
      </c>
      <c r="C2316" t="s">
        <v>203</v>
      </c>
      <c r="D2316" t="s">
        <v>217</v>
      </c>
      <c r="E2316">
        <f>IF(LEFT(D2316,6)="CLIENT",IFERROR(VLOOKUP(C2316,Config_Carteiras!$A:$B,2,FALSE),1),"")</f>
        <v>1</v>
      </c>
      <c r="F2316" s="25">
        <v>2231.35</v>
      </c>
      <c r="G2316" s="28">
        <f>IF(LEFT(D2316,6)="CLIENT",IF(E2316=0,WORKDAY(A2316-1,1,Dias_Sem_Compensacao!$A$2:$A$500),WORKDAY(A2316,E2316,Dias_Sem_Compensacao!$A$2:$A$500)),"")</f>
        <v>46311</v>
      </c>
      <c r="H2316" s="25">
        <v>0</v>
      </c>
      <c r="I2316" s="28">
        <v>46310</v>
      </c>
      <c r="J2316" t="s">
        <v>1416</v>
      </c>
      <c r="K2316" t="s">
        <v>1628</v>
      </c>
    </row>
    <row r="2317" spans="1:11" hidden="1">
      <c r="A2317" s="28">
        <v>46310</v>
      </c>
      <c r="B2317" t="s">
        <v>186</v>
      </c>
      <c r="C2317" t="s">
        <v>203</v>
      </c>
      <c r="D2317" t="s">
        <v>217</v>
      </c>
      <c r="E2317">
        <f>IF(LEFT(D2317,6)="CLIENT",IFERROR(VLOOKUP(C2317,Config_Carteiras!$A:$B,2,FALSE),1),"")</f>
        <v>1</v>
      </c>
      <c r="F2317" s="25">
        <v>6611</v>
      </c>
      <c r="G2317" s="28">
        <f>IF(LEFT(D2317,6)="CLIENT",IF(E2317=0,WORKDAY(A2317-1,1,Dias_Sem_Compensacao!$A$2:$A$500),WORKDAY(A2317,E2317,Dias_Sem_Compensacao!$A$2:$A$500)),"")</f>
        <v>46311</v>
      </c>
      <c r="H2317" s="25">
        <v>0</v>
      </c>
      <c r="I2317" s="28">
        <v>46310</v>
      </c>
      <c r="J2317" t="s">
        <v>169</v>
      </c>
      <c r="K2317" t="s">
        <v>2784</v>
      </c>
    </row>
    <row r="2318" spans="1:11" hidden="1">
      <c r="A2318" s="28">
        <v>46310</v>
      </c>
      <c r="B2318" t="s">
        <v>186</v>
      </c>
      <c r="C2318" t="s">
        <v>203</v>
      </c>
      <c r="D2318" t="s">
        <v>217</v>
      </c>
      <c r="E2318">
        <f>IF(LEFT(D2318,6)="CLIENT",IFERROR(VLOOKUP(C2318,Config_Carteiras!$A:$B,2,FALSE),1),"")</f>
        <v>1</v>
      </c>
      <c r="F2318" s="25">
        <v>1802</v>
      </c>
      <c r="G2318" s="28">
        <f>IF(LEFT(D2318,6)="CLIENT",IF(E2318=0,WORKDAY(A2318-1,1,Dias_Sem_Compensacao!$A$2:$A$500),WORKDAY(A2318,E2318,Dias_Sem_Compensacao!$A$2:$A$500)),"")</f>
        <v>46311</v>
      </c>
      <c r="H2318" s="25">
        <v>0</v>
      </c>
      <c r="I2318" s="28">
        <v>46310</v>
      </c>
      <c r="J2318" t="s">
        <v>2785</v>
      </c>
      <c r="K2318" t="s">
        <v>2786</v>
      </c>
    </row>
    <row r="2319" spans="1:11" hidden="1">
      <c r="A2319" s="28">
        <v>46310</v>
      </c>
      <c r="B2319" t="s">
        <v>186</v>
      </c>
      <c r="C2319" t="s">
        <v>203</v>
      </c>
      <c r="D2319" t="s">
        <v>217</v>
      </c>
      <c r="E2319">
        <f>IF(LEFT(D2319,6)="CLIENT",IFERROR(VLOOKUP(C2319,Config_Carteiras!$A:$B,2,FALSE),1),"")</f>
        <v>1</v>
      </c>
      <c r="F2319" s="25">
        <v>781.71</v>
      </c>
      <c r="G2319" s="28">
        <f>IF(LEFT(D2319,6)="CLIENT",IF(E2319=0,WORKDAY(A2319-1,1,Dias_Sem_Compensacao!$A$2:$A$500),WORKDAY(A2319,E2319,Dias_Sem_Compensacao!$A$2:$A$500)),"")</f>
        <v>46311</v>
      </c>
      <c r="H2319" s="25">
        <v>0</v>
      </c>
      <c r="I2319" s="28">
        <v>46310</v>
      </c>
      <c r="J2319" t="s">
        <v>1633</v>
      </c>
      <c r="K2319" t="s">
        <v>1634</v>
      </c>
    </row>
    <row r="2320" spans="1:11" hidden="1">
      <c r="A2320" s="28">
        <v>46310</v>
      </c>
      <c r="B2320" t="s">
        <v>186</v>
      </c>
      <c r="C2320" t="s">
        <v>203</v>
      </c>
      <c r="D2320" t="s">
        <v>217</v>
      </c>
      <c r="E2320">
        <f>IF(LEFT(D2320,6)="CLIENT",IFERROR(VLOOKUP(C2320,Config_Carteiras!$A:$B,2,FALSE),1),"")</f>
        <v>1</v>
      </c>
      <c r="F2320" s="25">
        <v>829</v>
      </c>
      <c r="G2320" s="28">
        <f>IF(LEFT(D2320,6)="CLIENT",IF(E2320=0,WORKDAY(A2320-1,1,Dias_Sem_Compensacao!$A$2:$A$500),WORKDAY(A2320,E2320,Dias_Sem_Compensacao!$A$2:$A$500)),"")</f>
        <v>46311</v>
      </c>
      <c r="H2320" s="25">
        <v>0</v>
      </c>
      <c r="I2320" s="28">
        <v>46310</v>
      </c>
      <c r="J2320" t="s">
        <v>2787</v>
      </c>
      <c r="K2320" t="s">
        <v>2788</v>
      </c>
    </row>
    <row r="2321" spans="1:11" hidden="1">
      <c r="A2321" s="28">
        <v>46310</v>
      </c>
      <c r="B2321" t="s">
        <v>186</v>
      </c>
      <c r="C2321" t="s">
        <v>203</v>
      </c>
      <c r="D2321" t="s">
        <v>217</v>
      </c>
      <c r="E2321">
        <f>IF(LEFT(D2321,6)="CLIENT",IFERROR(VLOOKUP(C2321,Config_Carteiras!$A:$B,2,FALSE),1),"")</f>
        <v>1</v>
      </c>
      <c r="F2321" s="25">
        <v>1634</v>
      </c>
      <c r="G2321" s="28">
        <f>IF(LEFT(D2321,6)="CLIENT",IF(E2321=0,WORKDAY(A2321-1,1,Dias_Sem_Compensacao!$A$2:$A$500),WORKDAY(A2321,E2321,Dias_Sem_Compensacao!$A$2:$A$500)),"")</f>
        <v>46311</v>
      </c>
      <c r="H2321" s="25">
        <v>0</v>
      </c>
      <c r="I2321" s="28">
        <v>46310</v>
      </c>
      <c r="J2321" t="s">
        <v>2248</v>
      </c>
      <c r="K2321" t="s">
        <v>2249</v>
      </c>
    </row>
    <row r="2322" spans="1:11" hidden="1">
      <c r="A2322" s="28">
        <v>46310</v>
      </c>
      <c r="B2322" t="s">
        <v>186</v>
      </c>
      <c r="C2322" t="s">
        <v>203</v>
      </c>
      <c r="D2322" t="s">
        <v>217</v>
      </c>
      <c r="E2322">
        <f>IF(LEFT(D2322,6)="CLIENT",IFERROR(VLOOKUP(C2322,Config_Carteiras!$A:$B,2,FALSE),1),"")</f>
        <v>1</v>
      </c>
      <c r="F2322" s="25">
        <v>496</v>
      </c>
      <c r="G2322" s="28">
        <f>IF(LEFT(D2322,6)="CLIENT",IF(E2322=0,WORKDAY(A2322-1,1,Dias_Sem_Compensacao!$A$2:$A$500),WORKDAY(A2322,E2322,Dias_Sem_Compensacao!$A$2:$A$500)),"")</f>
        <v>46311</v>
      </c>
      <c r="H2322" s="25">
        <v>0</v>
      </c>
      <c r="I2322" s="28">
        <v>46310</v>
      </c>
      <c r="J2322" t="s">
        <v>2250</v>
      </c>
      <c r="K2322" t="s">
        <v>2251</v>
      </c>
    </row>
    <row r="2323" spans="1:11" hidden="1">
      <c r="A2323" s="28">
        <v>46310</v>
      </c>
      <c r="B2323" t="s">
        <v>186</v>
      </c>
      <c r="C2323" t="s">
        <v>203</v>
      </c>
      <c r="D2323" t="s">
        <v>217</v>
      </c>
      <c r="E2323">
        <f>IF(LEFT(D2323,6)="CLIENT",IFERROR(VLOOKUP(C2323,Config_Carteiras!$A:$B,2,FALSE),1),"")</f>
        <v>1</v>
      </c>
      <c r="F2323" s="25">
        <v>478</v>
      </c>
      <c r="G2323" s="28">
        <f>IF(LEFT(D2323,6)="CLIENT",IF(E2323=0,WORKDAY(A2323-1,1,Dias_Sem_Compensacao!$A$2:$A$500),WORKDAY(A2323,E2323,Dias_Sem_Compensacao!$A$2:$A$500)),"")</f>
        <v>46311</v>
      </c>
      <c r="H2323" s="25">
        <v>0</v>
      </c>
      <c r="I2323" s="28">
        <v>46310</v>
      </c>
      <c r="J2323" t="s">
        <v>1289</v>
      </c>
      <c r="K2323" t="s">
        <v>2252</v>
      </c>
    </row>
    <row r="2324" spans="1:11" hidden="1">
      <c r="A2324" s="28">
        <v>46310</v>
      </c>
      <c r="B2324" t="s">
        <v>186</v>
      </c>
      <c r="C2324" t="s">
        <v>203</v>
      </c>
      <c r="D2324" t="s">
        <v>217</v>
      </c>
      <c r="E2324">
        <f>IF(LEFT(D2324,6)="CLIENT",IFERROR(VLOOKUP(C2324,Config_Carteiras!$A:$B,2,FALSE),1),"")</f>
        <v>1</v>
      </c>
      <c r="F2324" s="25">
        <v>570</v>
      </c>
      <c r="G2324" s="28">
        <f>IF(LEFT(D2324,6)="CLIENT",IF(E2324=0,WORKDAY(A2324-1,1,Dias_Sem_Compensacao!$A$2:$A$500),WORKDAY(A2324,E2324,Dias_Sem_Compensacao!$A$2:$A$500)),"")</f>
        <v>46311</v>
      </c>
      <c r="H2324" s="25">
        <v>0</v>
      </c>
      <c r="I2324" s="28">
        <v>46310</v>
      </c>
      <c r="J2324" t="s">
        <v>2789</v>
      </c>
      <c r="K2324" t="s">
        <v>2790</v>
      </c>
    </row>
    <row r="2325" spans="1:11" hidden="1">
      <c r="A2325" s="28">
        <v>46311</v>
      </c>
      <c r="B2325" t="s">
        <v>186</v>
      </c>
      <c r="C2325" t="s">
        <v>203</v>
      </c>
      <c r="D2325" t="s">
        <v>217</v>
      </c>
      <c r="E2325">
        <f>IF(LEFT(D2325,6)="CLIENT",IFERROR(VLOOKUP(C2325,Config_Carteiras!$A:$B,2,FALSE),1),"")</f>
        <v>1</v>
      </c>
      <c r="F2325" s="25">
        <v>1641.21</v>
      </c>
      <c r="G2325" s="28">
        <f>IF(LEFT(D2325,6)="CLIENT",IF(E2325=0,WORKDAY(A2325-1,1,Dias_Sem_Compensacao!$A$2:$A$500),WORKDAY(A2325,E2325,Dias_Sem_Compensacao!$A$2:$A$500)),"")</f>
        <v>46314</v>
      </c>
      <c r="H2325" s="25">
        <v>0</v>
      </c>
      <c r="I2325" s="28">
        <v>46311</v>
      </c>
      <c r="J2325" t="s">
        <v>1430</v>
      </c>
      <c r="K2325" t="s">
        <v>1651</v>
      </c>
    </row>
    <row r="2326" spans="1:11" hidden="1">
      <c r="A2326" s="28">
        <v>46311</v>
      </c>
      <c r="B2326" t="s">
        <v>186</v>
      </c>
      <c r="C2326" t="s">
        <v>203</v>
      </c>
      <c r="D2326" t="s">
        <v>217</v>
      </c>
      <c r="E2326">
        <f>IF(LEFT(D2326,6)="CLIENT",IFERROR(VLOOKUP(C2326,Config_Carteiras!$A:$B,2,FALSE),1),"")</f>
        <v>1</v>
      </c>
      <c r="F2326" s="25">
        <v>1352</v>
      </c>
      <c r="G2326" s="28">
        <f>IF(LEFT(D2326,6)="CLIENT",IF(E2326=0,WORKDAY(A2326-1,1,Dias_Sem_Compensacao!$A$2:$A$500),WORKDAY(A2326,E2326,Dias_Sem_Compensacao!$A$2:$A$500)),"")</f>
        <v>46314</v>
      </c>
      <c r="H2326" s="25">
        <v>0</v>
      </c>
      <c r="I2326" s="28">
        <v>46311</v>
      </c>
      <c r="J2326" t="s">
        <v>1654</v>
      </c>
      <c r="K2326" t="s">
        <v>1655</v>
      </c>
    </row>
    <row r="2327" spans="1:11" hidden="1">
      <c r="A2327" s="28">
        <v>46311</v>
      </c>
      <c r="B2327" t="s">
        <v>186</v>
      </c>
      <c r="C2327" t="s">
        <v>203</v>
      </c>
      <c r="D2327" t="s">
        <v>217</v>
      </c>
      <c r="E2327">
        <f>IF(LEFT(D2327,6)="CLIENT",IFERROR(VLOOKUP(C2327,Config_Carteiras!$A:$B,2,FALSE),1),"")</f>
        <v>1</v>
      </c>
      <c r="F2327" s="25">
        <v>2052.61</v>
      </c>
      <c r="G2327" s="28">
        <f>IF(LEFT(D2327,6)="CLIENT",IF(E2327=0,WORKDAY(A2327-1,1,Dias_Sem_Compensacao!$A$2:$A$500),WORKDAY(A2327,E2327,Dias_Sem_Compensacao!$A$2:$A$500)),"")</f>
        <v>46314</v>
      </c>
      <c r="H2327" s="25">
        <v>0</v>
      </c>
      <c r="I2327" s="28">
        <v>46311</v>
      </c>
      <c r="J2327" t="s">
        <v>2791</v>
      </c>
      <c r="K2327" t="s">
        <v>2792</v>
      </c>
    </row>
    <row r="2328" spans="1:11" hidden="1">
      <c r="A2328" s="28">
        <v>46311</v>
      </c>
      <c r="B2328" t="s">
        <v>186</v>
      </c>
      <c r="C2328" t="s">
        <v>203</v>
      </c>
      <c r="D2328" t="s">
        <v>217</v>
      </c>
      <c r="E2328">
        <f>IF(LEFT(D2328,6)="CLIENT",IFERROR(VLOOKUP(C2328,Config_Carteiras!$A:$B,2,FALSE),1),"")</f>
        <v>1</v>
      </c>
      <c r="F2328" s="25">
        <v>5852.5</v>
      </c>
      <c r="G2328" s="28">
        <f>IF(LEFT(D2328,6)="CLIENT",IF(E2328=0,WORKDAY(A2328-1,1,Dias_Sem_Compensacao!$A$2:$A$500),WORKDAY(A2328,E2328,Dias_Sem_Compensacao!$A$2:$A$500)),"")</f>
        <v>46314</v>
      </c>
      <c r="H2328" s="25">
        <v>0</v>
      </c>
      <c r="I2328" s="28">
        <v>46311</v>
      </c>
      <c r="J2328" t="s">
        <v>2793</v>
      </c>
      <c r="K2328" t="s">
        <v>2794</v>
      </c>
    </row>
    <row r="2329" spans="1:11" hidden="1">
      <c r="A2329" s="28">
        <v>46311</v>
      </c>
      <c r="B2329" t="s">
        <v>186</v>
      </c>
      <c r="C2329" t="s">
        <v>203</v>
      </c>
      <c r="D2329" t="s">
        <v>217</v>
      </c>
      <c r="E2329">
        <f>IF(LEFT(D2329,6)="CLIENT",IFERROR(VLOOKUP(C2329,Config_Carteiras!$A:$B,2,FALSE),1),"")</f>
        <v>1</v>
      </c>
      <c r="F2329" s="25">
        <v>664.68</v>
      </c>
      <c r="G2329" s="28">
        <f>IF(LEFT(D2329,6)="CLIENT",IF(E2329=0,WORKDAY(A2329-1,1,Dias_Sem_Compensacao!$A$2:$A$500),WORKDAY(A2329,E2329,Dias_Sem_Compensacao!$A$2:$A$500)),"")</f>
        <v>46314</v>
      </c>
      <c r="H2329" s="25">
        <v>0</v>
      </c>
      <c r="I2329" s="28">
        <v>46311</v>
      </c>
      <c r="J2329" t="s">
        <v>1658</v>
      </c>
      <c r="K2329" t="s">
        <v>1659</v>
      </c>
    </row>
    <row r="2330" spans="1:11" hidden="1">
      <c r="A2330" s="28">
        <v>46311</v>
      </c>
      <c r="B2330" t="s">
        <v>186</v>
      </c>
      <c r="C2330" t="s">
        <v>203</v>
      </c>
      <c r="D2330" t="s">
        <v>217</v>
      </c>
      <c r="E2330">
        <f>IF(LEFT(D2330,6)="CLIENT",IFERROR(VLOOKUP(C2330,Config_Carteiras!$A:$B,2,FALSE),1),"")</f>
        <v>1</v>
      </c>
      <c r="F2330" s="25">
        <v>771</v>
      </c>
      <c r="G2330" s="28">
        <f>IF(LEFT(D2330,6)="CLIENT",IF(E2330=0,WORKDAY(A2330-1,1,Dias_Sem_Compensacao!$A$2:$A$500),WORKDAY(A2330,E2330,Dias_Sem_Compensacao!$A$2:$A$500)),"")</f>
        <v>46314</v>
      </c>
      <c r="H2330" s="25">
        <v>0</v>
      </c>
      <c r="I2330" s="28">
        <v>46311</v>
      </c>
      <c r="J2330" t="s">
        <v>2795</v>
      </c>
      <c r="K2330" t="s">
        <v>2796</v>
      </c>
    </row>
    <row r="2331" spans="1:11" hidden="1">
      <c r="A2331" s="28">
        <v>46311</v>
      </c>
      <c r="B2331" t="s">
        <v>186</v>
      </c>
      <c r="C2331" t="s">
        <v>203</v>
      </c>
      <c r="D2331" t="s">
        <v>217</v>
      </c>
      <c r="E2331">
        <f>IF(LEFT(D2331,6)="CLIENT",IFERROR(VLOOKUP(C2331,Config_Carteiras!$A:$B,2,FALSE),1),"")</f>
        <v>1</v>
      </c>
      <c r="F2331" s="25">
        <v>8215</v>
      </c>
      <c r="G2331" s="28">
        <f>IF(LEFT(D2331,6)="CLIENT",IF(E2331=0,WORKDAY(A2331-1,1,Dias_Sem_Compensacao!$A$2:$A$500),WORKDAY(A2331,E2331,Dias_Sem_Compensacao!$A$2:$A$500)),"")</f>
        <v>46314</v>
      </c>
      <c r="H2331" s="25">
        <v>0</v>
      </c>
      <c r="I2331" s="28">
        <v>46311</v>
      </c>
      <c r="J2331" t="s">
        <v>1666</v>
      </c>
      <c r="K2331" t="s">
        <v>2797</v>
      </c>
    </row>
    <row r="2332" spans="1:11" hidden="1">
      <c r="A2332" s="28">
        <v>46311</v>
      </c>
      <c r="B2332" t="s">
        <v>186</v>
      </c>
      <c r="C2332" t="s">
        <v>203</v>
      </c>
      <c r="D2332" t="s">
        <v>217</v>
      </c>
      <c r="E2332">
        <f>IF(LEFT(D2332,6)="CLIENT",IFERROR(VLOOKUP(C2332,Config_Carteiras!$A:$B,2,FALSE),1),"")</f>
        <v>1</v>
      </c>
      <c r="F2332" s="25">
        <v>1472</v>
      </c>
      <c r="G2332" s="28">
        <f>IF(LEFT(D2332,6)="CLIENT",IF(E2332=0,WORKDAY(A2332-1,1,Dias_Sem_Compensacao!$A$2:$A$500),WORKDAY(A2332,E2332,Dias_Sem_Compensacao!$A$2:$A$500)),"")</f>
        <v>46314</v>
      </c>
      <c r="H2332" s="25">
        <v>0</v>
      </c>
      <c r="I2332" s="28">
        <v>46311</v>
      </c>
      <c r="J2332" t="s">
        <v>2798</v>
      </c>
      <c r="K2332" t="s">
        <v>2799</v>
      </c>
    </row>
    <row r="2333" spans="1:11" hidden="1">
      <c r="A2333" s="28">
        <v>46311</v>
      </c>
      <c r="B2333" t="s">
        <v>186</v>
      </c>
      <c r="C2333" t="s">
        <v>203</v>
      </c>
      <c r="D2333" t="s">
        <v>217</v>
      </c>
      <c r="E2333">
        <f>IF(LEFT(D2333,6)="CLIENT",IFERROR(VLOOKUP(C2333,Config_Carteiras!$A:$B,2,FALSE),1),"")</f>
        <v>1</v>
      </c>
      <c r="F2333" s="25">
        <v>1722.29</v>
      </c>
      <c r="G2333" s="28">
        <f>IF(LEFT(D2333,6)="CLIENT",IF(E2333=0,WORKDAY(A2333-1,1,Dias_Sem_Compensacao!$A$2:$A$500),WORKDAY(A2333,E2333,Dias_Sem_Compensacao!$A$2:$A$500)),"")</f>
        <v>46314</v>
      </c>
      <c r="H2333" s="25">
        <v>0</v>
      </c>
      <c r="I2333" s="28">
        <v>46311</v>
      </c>
      <c r="J2333" t="s">
        <v>1670</v>
      </c>
      <c r="K2333" t="s">
        <v>1671</v>
      </c>
    </row>
    <row r="2334" spans="1:11" hidden="1">
      <c r="A2334" s="28">
        <v>46311</v>
      </c>
      <c r="B2334" t="s">
        <v>186</v>
      </c>
      <c r="C2334" t="s">
        <v>203</v>
      </c>
      <c r="D2334" t="s">
        <v>217</v>
      </c>
      <c r="E2334">
        <f>IF(LEFT(D2334,6)="CLIENT",IFERROR(VLOOKUP(C2334,Config_Carteiras!$A:$B,2,FALSE),1),"")</f>
        <v>1</v>
      </c>
      <c r="F2334" s="25">
        <v>733.33</v>
      </c>
      <c r="G2334" s="28">
        <f>IF(LEFT(D2334,6)="CLIENT",IF(E2334=0,WORKDAY(A2334-1,1,Dias_Sem_Compensacao!$A$2:$A$500),WORKDAY(A2334,E2334,Dias_Sem_Compensacao!$A$2:$A$500)),"")</f>
        <v>46314</v>
      </c>
      <c r="H2334" s="25">
        <v>0</v>
      </c>
      <c r="I2334" s="28">
        <v>46311</v>
      </c>
      <c r="J2334" t="s">
        <v>2255</v>
      </c>
      <c r="K2334" t="s">
        <v>2256</v>
      </c>
    </row>
    <row r="2335" spans="1:11" hidden="1">
      <c r="A2335" s="28">
        <v>46311</v>
      </c>
      <c r="B2335" t="s">
        <v>186</v>
      </c>
      <c r="C2335" t="s">
        <v>203</v>
      </c>
      <c r="D2335" t="s">
        <v>217</v>
      </c>
      <c r="E2335">
        <f>IF(LEFT(D2335,6)="CLIENT",IFERROR(VLOOKUP(C2335,Config_Carteiras!$A:$B,2,FALSE),1),"")</f>
        <v>1</v>
      </c>
      <c r="F2335" s="25">
        <v>3400.46</v>
      </c>
      <c r="G2335" s="28">
        <f>IF(LEFT(D2335,6)="CLIENT",IF(E2335=0,WORKDAY(A2335-1,1,Dias_Sem_Compensacao!$A$2:$A$500),WORKDAY(A2335,E2335,Dias_Sem_Compensacao!$A$2:$A$500)),"")</f>
        <v>46314</v>
      </c>
      <c r="H2335" s="25">
        <v>0</v>
      </c>
      <c r="I2335" s="28">
        <v>46311</v>
      </c>
      <c r="J2335" t="s">
        <v>2257</v>
      </c>
      <c r="K2335" t="s">
        <v>2258</v>
      </c>
    </row>
    <row r="2336" spans="1:11" hidden="1">
      <c r="A2336" s="28">
        <v>46311</v>
      </c>
      <c r="B2336" t="s">
        <v>186</v>
      </c>
      <c r="C2336" t="s">
        <v>203</v>
      </c>
      <c r="D2336" t="s">
        <v>217</v>
      </c>
      <c r="E2336">
        <f>IF(LEFT(D2336,6)="CLIENT",IFERROR(VLOOKUP(C2336,Config_Carteiras!$A:$B,2,FALSE),1),"")</f>
        <v>1</v>
      </c>
      <c r="F2336" s="25">
        <v>661</v>
      </c>
      <c r="G2336" s="28">
        <f>IF(LEFT(D2336,6)="CLIENT",IF(E2336=0,WORKDAY(A2336-1,1,Dias_Sem_Compensacao!$A$2:$A$500),WORKDAY(A2336,E2336,Dias_Sem_Compensacao!$A$2:$A$500)),"")</f>
        <v>46314</v>
      </c>
      <c r="H2336" s="25">
        <v>0</v>
      </c>
      <c r="I2336" s="28">
        <v>46311</v>
      </c>
      <c r="J2336" t="s">
        <v>2800</v>
      </c>
      <c r="K2336" t="s">
        <v>2801</v>
      </c>
    </row>
    <row r="2337" spans="1:11" hidden="1">
      <c r="A2337" s="28">
        <v>46311</v>
      </c>
      <c r="B2337" t="s">
        <v>186</v>
      </c>
      <c r="C2337" t="s">
        <v>203</v>
      </c>
      <c r="D2337" t="s">
        <v>217</v>
      </c>
      <c r="E2337">
        <f>IF(LEFT(D2337,6)="CLIENT",IFERROR(VLOOKUP(C2337,Config_Carteiras!$A:$B,2,FALSE),1),"")</f>
        <v>1</v>
      </c>
      <c r="F2337" s="25">
        <v>756</v>
      </c>
      <c r="G2337" s="28">
        <f>IF(LEFT(D2337,6)="CLIENT",IF(E2337=0,WORKDAY(A2337-1,1,Dias_Sem_Compensacao!$A$2:$A$500),WORKDAY(A2337,E2337,Dias_Sem_Compensacao!$A$2:$A$500)),"")</f>
        <v>46314</v>
      </c>
      <c r="H2337" s="25">
        <v>0</v>
      </c>
      <c r="I2337" s="28">
        <v>46311</v>
      </c>
      <c r="K2337" t="s">
        <v>2802</v>
      </c>
    </row>
    <row r="2338" spans="1:11" hidden="1">
      <c r="A2338" s="28">
        <v>46311</v>
      </c>
      <c r="B2338" t="s">
        <v>186</v>
      </c>
      <c r="C2338" t="s">
        <v>203</v>
      </c>
      <c r="D2338" t="s">
        <v>217</v>
      </c>
      <c r="E2338">
        <f>IF(LEFT(D2338,6)="CLIENT",IFERROR(VLOOKUP(C2338,Config_Carteiras!$A:$B,2,FALSE),1),"")</f>
        <v>1</v>
      </c>
      <c r="F2338" s="25">
        <v>839</v>
      </c>
      <c r="G2338" s="28">
        <f>IF(LEFT(D2338,6)="CLIENT",IF(E2338=0,WORKDAY(A2338-1,1,Dias_Sem_Compensacao!$A$2:$A$500),WORKDAY(A2338,E2338,Dias_Sem_Compensacao!$A$2:$A$500)),"")</f>
        <v>46314</v>
      </c>
      <c r="H2338" s="25">
        <v>0</v>
      </c>
      <c r="I2338" s="28">
        <v>46311</v>
      </c>
      <c r="K2338" t="s">
        <v>2803</v>
      </c>
    </row>
    <row r="2339" spans="1:11" hidden="1">
      <c r="A2339" s="28">
        <v>46311</v>
      </c>
      <c r="B2339" t="s">
        <v>186</v>
      </c>
      <c r="C2339" t="s">
        <v>203</v>
      </c>
      <c r="D2339" t="s">
        <v>217</v>
      </c>
      <c r="E2339">
        <f>IF(LEFT(D2339,6)="CLIENT",IFERROR(VLOOKUP(C2339,Config_Carteiras!$A:$B,2,FALSE),1),"")</f>
        <v>1</v>
      </c>
      <c r="F2339" s="25">
        <v>839</v>
      </c>
      <c r="G2339" s="28">
        <f>IF(LEFT(D2339,6)="CLIENT",IF(E2339=0,WORKDAY(A2339-1,1,Dias_Sem_Compensacao!$A$2:$A$500),WORKDAY(A2339,E2339,Dias_Sem_Compensacao!$A$2:$A$500)),"")</f>
        <v>46314</v>
      </c>
      <c r="H2339" s="25">
        <v>0</v>
      </c>
      <c r="I2339" s="28">
        <v>46311</v>
      </c>
      <c r="K2339" t="s">
        <v>2804</v>
      </c>
    </row>
    <row r="2340" spans="1:11" hidden="1">
      <c r="A2340" s="28">
        <v>46311</v>
      </c>
      <c r="B2340" t="s">
        <v>186</v>
      </c>
      <c r="C2340" t="s">
        <v>203</v>
      </c>
      <c r="D2340" t="s">
        <v>217</v>
      </c>
      <c r="E2340">
        <f>IF(LEFT(D2340,6)="CLIENT",IFERROR(VLOOKUP(C2340,Config_Carteiras!$A:$B,2,FALSE),1),"")</f>
        <v>1</v>
      </c>
      <c r="F2340" s="25">
        <v>1856</v>
      </c>
      <c r="G2340" s="28">
        <f>IF(LEFT(D2340,6)="CLIENT",IF(E2340=0,WORKDAY(A2340-1,1,Dias_Sem_Compensacao!$A$2:$A$500),WORKDAY(A2340,E2340,Dias_Sem_Compensacao!$A$2:$A$500)),"")</f>
        <v>46314</v>
      </c>
      <c r="H2340" s="25">
        <v>0</v>
      </c>
      <c r="I2340" s="28">
        <v>46311</v>
      </c>
      <c r="J2340" t="s">
        <v>2259</v>
      </c>
      <c r="K2340" t="s">
        <v>2260</v>
      </c>
    </row>
    <row r="2341" spans="1:11" hidden="1">
      <c r="A2341" s="28">
        <v>46311</v>
      </c>
      <c r="B2341" t="s">
        <v>186</v>
      </c>
      <c r="C2341" t="s">
        <v>203</v>
      </c>
      <c r="D2341" t="s">
        <v>217</v>
      </c>
      <c r="E2341">
        <f>IF(LEFT(D2341,6)="CLIENT",IFERROR(VLOOKUP(C2341,Config_Carteiras!$A:$B,2,FALSE),1),"")</f>
        <v>1</v>
      </c>
      <c r="F2341" s="25">
        <v>1738</v>
      </c>
      <c r="G2341" s="28">
        <f>IF(LEFT(D2341,6)="CLIENT",IF(E2341=0,WORKDAY(A2341-1,1,Dias_Sem_Compensacao!$A$2:$A$500),WORKDAY(A2341,E2341,Dias_Sem_Compensacao!$A$2:$A$500)),"")</f>
        <v>46314</v>
      </c>
      <c r="H2341" s="25">
        <v>0</v>
      </c>
      <c r="I2341" s="28">
        <v>46311</v>
      </c>
      <c r="J2341" t="s">
        <v>1796</v>
      </c>
      <c r="K2341" t="s">
        <v>2805</v>
      </c>
    </row>
    <row r="2342" spans="1:11" hidden="1">
      <c r="A2342" s="28">
        <v>46311</v>
      </c>
      <c r="B2342" t="s">
        <v>186</v>
      </c>
      <c r="C2342" t="s">
        <v>203</v>
      </c>
      <c r="D2342" t="s">
        <v>217</v>
      </c>
      <c r="E2342">
        <f>IF(LEFT(D2342,6)="CLIENT",IFERROR(VLOOKUP(C2342,Config_Carteiras!$A:$B,2,FALSE),1),"")</f>
        <v>1</v>
      </c>
      <c r="F2342" s="25">
        <v>5639</v>
      </c>
      <c r="G2342" s="28">
        <f>IF(LEFT(D2342,6)="CLIENT",IF(E2342=0,WORKDAY(A2342-1,1,Dias_Sem_Compensacao!$A$2:$A$500),WORKDAY(A2342,E2342,Dias_Sem_Compensacao!$A$2:$A$500)),"")</f>
        <v>46314</v>
      </c>
      <c r="H2342" s="25">
        <v>0</v>
      </c>
      <c r="I2342" s="28">
        <v>46311</v>
      </c>
      <c r="J2342" t="s">
        <v>2806</v>
      </c>
      <c r="K2342" t="s">
        <v>2807</v>
      </c>
    </row>
    <row r="2343" spans="1:11" hidden="1">
      <c r="A2343" s="28">
        <v>46311</v>
      </c>
      <c r="B2343" t="s">
        <v>186</v>
      </c>
      <c r="C2343" t="s">
        <v>203</v>
      </c>
      <c r="D2343" t="s">
        <v>217</v>
      </c>
      <c r="E2343">
        <f>IF(LEFT(D2343,6)="CLIENT",IFERROR(VLOOKUP(C2343,Config_Carteiras!$A:$B,2,FALSE),1),"")</f>
        <v>1</v>
      </c>
      <c r="F2343" s="25">
        <v>2902</v>
      </c>
      <c r="G2343" s="28">
        <f>IF(LEFT(D2343,6)="CLIENT",IF(E2343=0,WORKDAY(A2343-1,1,Dias_Sem_Compensacao!$A$2:$A$500),WORKDAY(A2343,E2343,Dias_Sem_Compensacao!$A$2:$A$500)),"")</f>
        <v>46314</v>
      </c>
      <c r="H2343" s="25">
        <v>0</v>
      </c>
      <c r="I2343" s="28">
        <v>46311</v>
      </c>
      <c r="J2343" t="s">
        <v>2808</v>
      </c>
      <c r="K2343" t="s">
        <v>2809</v>
      </c>
    </row>
    <row r="2344" spans="1:11" hidden="1">
      <c r="A2344" s="28">
        <v>46311</v>
      </c>
      <c r="B2344" t="s">
        <v>186</v>
      </c>
      <c r="C2344" t="s">
        <v>203</v>
      </c>
      <c r="D2344" t="s">
        <v>217</v>
      </c>
      <c r="E2344">
        <f>IF(LEFT(D2344,6)="CLIENT",IFERROR(VLOOKUP(C2344,Config_Carteiras!$A:$B,2,FALSE),1),"")</f>
        <v>1</v>
      </c>
      <c r="F2344" s="25">
        <v>524</v>
      </c>
      <c r="G2344" s="28">
        <f>IF(LEFT(D2344,6)="CLIENT",IF(E2344=0,WORKDAY(A2344-1,1,Dias_Sem_Compensacao!$A$2:$A$500),WORKDAY(A2344,E2344,Dias_Sem_Compensacao!$A$2:$A$500)),"")</f>
        <v>46314</v>
      </c>
      <c r="H2344" s="25">
        <v>0</v>
      </c>
      <c r="I2344" s="28">
        <v>46311</v>
      </c>
      <c r="J2344" t="s">
        <v>2810</v>
      </c>
      <c r="K2344" t="s">
        <v>2811</v>
      </c>
    </row>
    <row r="2345" spans="1:11" hidden="1">
      <c r="A2345" s="28">
        <v>46311</v>
      </c>
      <c r="B2345" t="s">
        <v>186</v>
      </c>
      <c r="C2345" t="s">
        <v>203</v>
      </c>
      <c r="D2345" t="s">
        <v>217</v>
      </c>
      <c r="E2345">
        <f>IF(LEFT(D2345,6)="CLIENT",IFERROR(VLOOKUP(C2345,Config_Carteiras!$A:$B,2,FALSE),1),"")</f>
        <v>1</v>
      </c>
      <c r="F2345" s="25">
        <v>803</v>
      </c>
      <c r="G2345" s="28">
        <f>IF(LEFT(D2345,6)="CLIENT",IF(E2345=0,WORKDAY(A2345-1,1,Dias_Sem_Compensacao!$A$2:$A$500),WORKDAY(A2345,E2345,Dias_Sem_Compensacao!$A$2:$A$500)),"")</f>
        <v>46314</v>
      </c>
      <c r="H2345" s="25">
        <v>0</v>
      </c>
      <c r="I2345" s="28">
        <v>46311</v>
      </c>
      <c r="J2345" t="s">
        <v>2812</v>
      </c>
      <c r="K2345" t="s">
        <v>2813</v>
      </c>
    </row>
    <row r="2346" spans="1:11" hidden="1">
      <c r="A2346" s="28">
        <v>46311</v>
      </c>
      <c r="B2346" t="s">
        <v>186</v>
      </c>
      <c r="C2346" t="s">
        <v>203</v>
      </c>
      <c r="D2346" t="s">
        <v>217</v>
      </c>
      <c r="E2346">
        <f>IF(LEFT(D2346,6)="CLIENT",IFERROR(VLOOKUP(C2346,Config_Carteiras!$A:$B,2,FALSE),1),"")</f>
        <v>1</v>
      </c>
      <c r="F2346" s="25">
        <v>420</v>
      </c>
      <c r="G2346" s="28">
        <f>IF(LEFT(D2346,6)="CLIENT",IF(E2346=0,WORKDAY(A2346-1,1,Dias_Sem_Compensacao!$A$2:$A$500),WORKDAY(A2346,E2346,Dias_Sem_Compensacao!$A$2:$A$500)),"")</f>
        <v>46314</v>
      </c>
      <c r="H2346" s="25">
        <v>0</v>
      </c>
      <c r="I2346" s="28">
        <v>46311</v>
      </c>
      <c r="J2346" t="s">
        <v>2814</v>
      </c>
      <c r="K2346" t="s">
        <v>2815</v>
      </c>
    </row>
    <row r="2347" spans="1:11" hidden="1">
      <c r="A2347" s="28">
        <v>46311</v>
      </c>
      <c r="B2347" t="s">
        <v>186</v>
      </c>
      <c r="C2347" t="s">
        <v>203</v>
      </c>
      <c r="D2347" t="s">
        <v>217</v>
      </c>
      <c r="E2347">
        <f>IF(LEFT(D2347,6)="CLIENT",IFERROR(VLOOKUP(C2347,Config_Carteiras!$A:$B,2,FALSE),1),"")</f>
        <v>1</v>
      </c>
      <c r="F2347" s="25">
        <v>611</v>
      </c>
      <c r="G2347" s="28">
        <f>IF(LEFT(D2347,6)="CLIENT",IF(E2347=0,WORKDAY(A2347-1,1,Dias_Sem_Compensacao!$A$2:$A$500),WORKDAY(A2347,E2347,Dias_Sem_Compensacao!$A$2:$A$500)),"")</f>
        <v>46314</v>
      </c>
      <c r="H2347" s="25">
        <v>0</v>
      </c>
      <c r="I2347" s="28">
        <v>46311</v>
      </c>
      <c r="J2347" t="s">
        <v>2816</v>
      </c>
      <c r="K2347" t="s">
        <v>2817</v>
      </c>
    </row>
    <row r="2348" spans="1:11" hidden="1">
      <c r="A2348" s="28">
        <v>46311</v>
      </c>
      <c r="B2348" t="s">
        <v>186</v>
      </c>
      <c r="C2348" t="s">
        <v>203</v>
      </c>
      <c r="D2348" t="s">
        <v>217</v>
      </c>
      <c r="E2348">
        <f>IF(LEFT(D2348,6)="CLIENT",IFERROR(VLOOKUP(C2348,Config_Carteiras!$A:$B,2,FALSE),1),"")</f>
        <v>1</v>
      </c>
      <c r="F2348" s="25">
        <v>2851.58</v>
      </c>
      <c r="G2348" s="28">
        <f>IF(LEFT(D2348,6)="CLIENT",IF(E2348=0,WORKDAY(A2348-1,1,Dias_Sem_Compensacao!$A$2:$A$500),WORKDAY(A2348,E2348,Dias_Sem_Compensacao!$A$2:$A$500)),"")</f>
        <v>46314</v>
      </c>
      <c r="H2348" s="25">
        <v>0</v>
      </c>
      <c r="I2348" s="28">
        <v>46311</v>
      </c>
      <c r="J2348" t="s">
        <v>2818</v>
      </c>
      <c r="K2348" t="s">
        <v>2819</v>
      </c>
    </row>
    <row r="2349" spans="1:11" hidden="1">
      <c r="A2349" s="28">
        <v>46311</v>
      </c>
      <c r="B2349" t="s">
        <v>186</v>
      </c>
      <c r="C2349" t="s">
        <v>203</v>
      </c>
      <c r="D2349" t="s">
        <v>217</v>
      </c>
      <c r="E2349">
        <f>IF(LEFT(D2349,6)="CLIENT",IFERROR(VLOOKUP(C2349,Config_Carteiras!$A:$B,2,FALSE),1),"")</f>
        <v>1</v>
      </c>
      <c r="F2349" s="25">
        <v>364</v>
      </c>
      <c r="G2349" s="28">
        <f>IF(LEFT(D2349,6)="CLIENT",IF(E2349=0,WORKDAY(A2349-1,1,Dias_Sem_Compensacao!$A$2:$A$500),WORKDAY(A2349,E2349,Dias_Sem_Compensacao!$A$2:$A$500)),"")</f>
        <v>46314</v>
      </c>
      <c r="H2349" s="25">
        <v>0</v>
      </c>
      <c r="I2349" s="28">
        <v>46311</v>
      </c>
      <c r="J2349" t="s">
        <v>2820</v>
      </c>
      <c r="K2349" t="s">
        <v>2821</v>
      </c>
    </row>
    <row r="2350" spans="1:11" hidden="1">
      <c r="A2350" s="28">
        <v>46311</v>
      </c>
      <c r="B2350" t="s">
        <v>186</v>
      </c>
      <c r="C2350" t="s">
        <v>203</v>
      </c>
      <c r="D2350" t="s">
        <v>217</v>
      </c>
      <c r="E2350">
        <f>IF(LEFT(D2350,6)="CLIENT",IFERROR(VLOOKUP(C2350,Config_Carteiras!$A:$B,2,FALSE),1),"")</f>
        <v>1</v>
      </c>
      <c r="F2350" s="25">
        <v>3938.11</v>
      </c>
      <c r="G2350" s="28">
        <f>IF(LEFT(D2350,6)="CLIENT",IF(E2350=0,WORKDAY(A2350-1,1,Dias_Sem_Compensacao!$A$2:$A$500),WORKDAY(A2350,E2350,Dias_Sem_Compensacao!$A$2:$A$500)),"")</f>
        <v>46314</v>
      </c>
      <c r="H2350" s="25">
        <v>0</v>
      </c>
      <c r="I2350" s="28">
        <v>46311</v>
      </c>
      <c r="J2350" t="s">
        <v>1685</v>
      </c>
      <c r="K2350" t="s">
        <v>1686</v>
      </c>
    </row>
    <row r="2351" spans="1:11" hidden="1">
      <c r="A2351" s="28">
        <v>46311</v>
      </c>
      <c r="B2351" t="s">
        <v>186</v>
      </c>
      <c r="C2351" t="s">
        <v>203</v>
      </c>
      <c r="D2351" t="s">
        <v>217</v>
      </c>
      <c r="E2351">
        <f>IF(LEFT(D2351,6)="CLIENT",IFERROR(VLOOKUP(C2351,Config_Carteiras!$A:$B,2,FALSE),1),"")</f>
        <v>1</v>
      </c>
      <c r="F2351" s="25">
        <v>1852</v>
      </c>
      <c r="G2351" s="28">
        <f>IF(LEFT(D2351,6)="CLIENT",IF(E2351=0,WORKDAY(A2351-1,1,Dias_Sem_Compensacao!$A$2:$A$500),WORKDAY(A2351,E2351,Dias_Sem_Compensacao!$A$2:$A$500)),"")</f>
        <v>46314</v>
      </c>
      <c r="H2351" s="25">
        <v>0</v>
      </c>
      <c r="I2351" s="28">
        <v>46311</v>
      </c>
      <c r="J2351" t="s">
        <v>2261</v>
      </c>
      <c r="K2351" t="s">
        <v>2262</v>
      </c>
    </row>
    <row r="2352" spans="1:11" hidden="1">
      <c r="A2352" s="28">
        <v>46311</v>
      </c>
      <c r="B2352" t="s">
        <v>186</v>
      </c>
      <c r="C2352" t="s">
        <v>203</v>
      </c>
      <c r="D2352" t="s">
        <v>217</v>
      </c>
      <c r="E2352">
        <f>IF(LEFT(D2352,6)="CLIENT",IFERROR(VLOOKUP(C2352,Config_Carteiras!$A:$B,2,FALSE),1),"")</f>
        <v>1</v>
      </c>
      <c r="F2352" s="25">
        <v>830</v>
      </c>
      <c r="G2352" s="28">
        <f>IF(LEFT(D2352,6)="CLIENT",IF(E2352=0,WORKDAY(A2352-1,1,Dias_Sem_Compensacao!$A$2:$A$500),WORKDAY(A2352,E2352,Dias_Sem_Compensacao!$A$2:$A$500)),"")</f>
        <v>46314</v>
      </c>
      <c r="H2352" s="25">
        <v>0</v>
      </c>
      <c r="I2352" s="28">
        <v>46311</v>
      </c>
      <c r="J2352" t="s">
        <v>2822</v>
      </c>
      <c r="K2352" t="s">
        <v>2823</v>
      </c>
    </row>
    <row r="2353" spans="1:11" hidden="1">
      <c r="A2353" s="28">
        <v>46311</v>
      </c>
      <c r="B2353" t="s">
        <v>186</v>
      </c>
      <c r="C2353" t="s">
        <v>203</v>
      </c>
      <c r="D2353" t="s">
        <v>217</v>
      </c>
      <c r="E2353">
        <f>IF(LEFT(D2353,6)="CLIENT",IFERROR(VLOOKUP(C2353,Config_Carteiras!$A:$B,2,FALSE),1),"")</f>
        <v>1</v>
      </c>
      <c r="F2353" s="25">
        <v>14560</v>
      </c>
      <c r="G2353" s="28">
        <f>IF(LEFT(D2353,6)="CLIENT",IF(E2353=0,WORKDAY(A2353-1,1,Dias_Sem_Compensacao!$A$2:$A$500),WORKDAY(A2353,E2353,Dias_Sem_Compensacao!$A$2:$A$500)),"")</f>
        <v>46314</v>
      </c>
      <c r="H2353" s="25">
        <v>0</v>
      </c>
      <c r="I2353" s="28">
        <v>46311</v>
      </c>
      <c r="J2353" t="s">
        <v>939</v>
      </c>
      <c r="K2353" t="s">
        <v>2263</v>
      </c>
    </row>
    <row r="2354" spans="1:11" hidden="1">
      <c r="A2354" s="28">
        <v>46311</v>
      </c>
      <c r="B2354" t="s">
        <v>186</v>
      </c>
      <c r="C2354" t="s">
        <v>203</v>
      </c>
      <c r="D2354" t="s">
        <v>217</v>
      </c>
      <c r="E2354">
        <f>IF(LEFT(D2354,6)="CLIENT",IFERROR(VLOOKUP(C2354,Config_Carteiras!$A:$B,2,FALSE),1),"")</f>
        <v>1</v>
      </c>
      <c r="F2354" s="25">
        <v>6858.7</v>
      </c>
      <c r="G2354" s="28">
        <f>IF(LEFT(D2354,6)="CLIENT",IF(E2354=0,WORKDAY(A2354-1,1,Dias_Sem_Compensacao!$A$2:$A$500),WORKDAY(A2354,E2354,Dias_Sem_Compensacao!$A$2:$A$500)),"")</f>
        <v>46314</v>
      </c>
      <c r="H2354" s="25">
        <v>0</v>
      </c>
      <c r="I2354" s="28">
        <v>46311</v>
      </c>
      <c r="J2354" t="s">
        <v>2824</v>
      </c>
      <c r="K2354" t="s">
        <v>2825</v>
      </c>
    </row>
    <row r="2355" spans="1:11" hidden="1">
      <c r="A2355" s="28">
        <v>46311</v>
      </c>
      <c r="B2355" t="s">
        <v>186</v>
      </c>
      <c r="C2355" t="s">
        <v>203</v>
      </c>
      <c r="D2355" t="s">
        <v>217</v>
      </c>
      <c r="E2355">
        <f>IF(LEFT(D2355,6)="CLIENT",IFERROR(VLOOKUP(C2355,Config_Carteiras!$A:$B,2,FALSE),1),"")</f>
        <v>1</v>
      </c>
      <c r="F2355" s="25">
        <v>17253</v>
      </c>
      <c r="G2355" s="28">
        <f>IF(LEFT(D2355,6)="CLIENT",IF(E2355=0,WORKDAY(A2355-1,1,Dias_Sem_Compensacao!$A$2:$A$500),WORKDAY(A2355,E2355,Dias_Sem_Compensacao!$A$2:$A$500)),"")</f>
        <v>46314</v>
      </c>
      <c r="H2355" s="25">
        <v>0</v>
      </c>
      <c r="I2355" s="28">
        <v>46311</v>
      </c>
      <c r="J2355" t="s">
        <v>1162</v>
      </c>
      <c r="K2355" t="s">
        <v>2826</v>
      </c>
    </row>
    <row r="2356" spans="1:11" hidden="1">
      <c r="A2356" s="28">
        <v>46311</v>
      </c>
      <c r="B2356" t="s">
        <v>186</v>
      </c>
      <c r="C2356" t="s">
        <v>203</v>
      </c>
      <c r="D2356" t="s">
        <v>217</v>
      </c>
      <c r="E2356">
        <f>IF(LEFT(D2356,6)="CLIENT",IFERROR(VLOOKUP(C2356,Config_Carteiras!$A:$B,2,FALSE),1),"")</f>
        <v>1</v>
      </c>
      <c r="F2356" s="25">
        <v>39690</v>
      </c>
      <c r="G2356" s="28">
        <f>IF(LEFT(D2356,6)="CLIENT",IF(E2356=0,WORKDAY(A2356-1,1,Dias_Sem_Compensacao!$A$2:$A$500),WORKDAY(A2356,E2356,Dias_Sem_Compensacao!$A$2:$A$500)),"")</f>
        <v>46314</v>
      </c>
      <c r="H2356" s="25">
        <v>0</v>
      </c>
      <c r="I2356" s="28">
        <v>46311</v>
      </c>
      <c r="J2356" t="s">
        <v>2827</v>
      </c>
      <c r="K2356" t="s">
        <v>2828</v>
      </c>
    </row>
    <row r="2357" spans="1:11" hidden="1">
      <c r="A2357" s="28">
        <v>46311</v>
      </c>
      <c r="B2357" t="s">
        <v>186</v>
      </c>
      <c r="C2357" t="s">
        <v>203</v>
      </c>
      <c r="D2357" t="s">
        <v>217</v>
      </c>
      <c r="E2357">
        <f>IF(LEFT(D2357,6)="CLIENT",IFERROR(VLOOKUP(C2357,Config_Carteiras!$A:$B,2,FALSE),1),"")</f>
        <v>1</v>
      </c>
      <c r="F2357" s="25">
        <v>864.37</v>
      </c>
      <c r="G2357" s="28">
        <f>IF(LEFT(D2357,6)="CLIENT",IF(E2357=0,WORKDAY(A2357-1,1,Dias_Sem_Compensacao!$A$2:$A$500),WORKDAY(A2357,E2357,Dias_Sem_Compensacao!$A$2:$A$500)),"")</f>
        <v>46314</v>
      </c>
      <c r="H2357" s="25">
        <v>0</v>
      </c>
      <c r="I2357" s="28">
        <v>46311</v>
      </c>
      <c r="J2357" t="s">
        <v>1692</v>
      </c>
      <c r="K2357" t="s">
        <v>1693</v>
      </c>
    </row>
    <row r="2358" spans="1:11" hidden="1">
      <c r="A2358" s="28">
        <v>46311</v>
      </c>
      <c r="B2358" t="s">
        <v>186</v>
      </c>
      <c r="C2358" t="s">
        <v>203</v>
      </c>
      <c r="D2358" t="s">
        <v>217</v>
      </c>
      <c r="E2358">
        <f>IF(LEFT(D2358,6)="CLIENT",IFERROR(VLOOKUP(C2358,Config_Carteiras!$A:$B,2,FALSE),1),"")</f>
        <v>1</v>
      </c>
      <c r="F2358" s="25">
        <v>1527.62</v>
      </c>
      <c r="G2358" s="28">
        <f>IF(LEFT(D2358,6)="CLIENT",IF(E2358=0,WORKDAY(A2358-1,1,Dias_Sem_Compensacao!$A$2:$A$500),WORKDAY(A2358,E2358,Dias_Sem_Compensacao!$A$2:$A$500)),"")</f>
        <v>46314</v>
      </c>
      <c r="H2358" s="25">
        <v>0</v>
      </c>
      <c r="I2358" s="28">
        <v>46311</v>
      </c>
      <c r="J2358" t="s">
        <v>1694</v>
      </c>
      <c r="K2358" t="s">
        <v>1695</v>
      </c>
    </row>
    <row r="2359" spans="1:11" hidden="1">
      <c r="A2359" s="28">
        <v>46311</v>
      </c>
      <c r="B2359" t="s">
        <v>186</v>
      </c>
      <c r="C2359" t="s">
        <v>203</v>
      </c>
      <c r="D2359" t="s">
        <v>217</v>
      </c>
      <c r="E2359">
        <f>IF(LEFT(D2359,6)="CLIENT",IFERROR(VLOOKUP(C2359,Config_Carteiras!$A:$B,2,FALSE),1),"")</f>
        <v>1</v>
      </c>
      <c r="F2359" s="25">
        <v>739</v>
      </c>
      <c r="G2359" s="28">
        <f>IF(LEFT(D2359,6)="CLIENT",IF(E2359=0,WORKDAY(A2359-1,1,Dias_Sem_Compensacao!$A$2:$A$500),WORKDAY(A2359,E2359,Dias_Sem_Compensacao!$A$2:$A$500)),"")</f>
        <v>46314</v>
      </c>
      <c r="H2359" s="25">
        <v>0</v>
      </c>
      <c r="I2359" s="28">
        <v>46311</v>
      </c>
      <c r="J2359" t="s">
        <v>2829</v>
      </c>
      <c r="K2359" t="s">
        <v>2830</v>
      </c>
    </row>
    <row r="2360" spans="1:11" hidden="1">
      <c r="A2360" s="28">
        <v>46311</v>
      </c>
      <c r="B2360" t="s">
        <v>186</v>
      </c>
      <c r="C2360" t="s">
        <v>203</v>
      </c>
      <c r="D2360" t="s">
        <v>217</v>
      </c>
      <c r="E2360">
        <f>IF(LEFT(D2360,6)="CLIENT",IFERROR(VLOOKUP(C2360,Config_Carteiras!$A:$B,2,FALSE),1),"")</f>
        <v>1</v>
      </c>
      <c r="F2360" s="25">
        <v>919</v>
      </c>
      <c r="G2360" s="28">
        <f>IF(LEFT(D2360,6)="CLIENT",IF(E2360=0,WORKDAY(A2360-1,1,Dias_Sem_Compensacao!$A$2:$A$500),WORKDAY(A2360,E2360,Dias_Sem_Compensacao!$A$2:$A$500)),"")</f>
        <v>46314</v>
      </c>
      <c r="H2360" s="25">
        <v>0</v>
      </c>
      <c r="I2360" s="28">
        <v>46311</v>
      </c>
      <c r="J2360" t="s">
        <v>2270</v>
      </c>
      <c r="K2360" t="s">
        <v>2271</v>
      </c>
    </row>
    <row r="2361" spans="1:11" hidden="1">
      <c r="A2361" s="28">
        <v>46311</v>
      </c>
      <c r="B2361" t="s">
        <v>186</v>
      </c>
      <c r="C2361" t="s">
        <v>203</v>
      </c>
      <c r="D2361" t="s">
        <v>217</v>
      </c>
      <c r="E2361">
        <f>IF(LEFT(D2361,6)="CLIENT",IFERROR(VLOOKUP(C2361,Config_Carteiras!$A:$B,2,FALSE),1),"")</f>
        <v>1</v>
      </c>
      <c r="F2361" s="25">
        <v>1127</v>
      </c>
      <c r="G2361" s="28">
        <f>IF(LEFT(D2361,6)="CLIENT",IF(E2361=0,WORKDAY(A2361-1,1,Dias_Sem_Compensacao!$A$2:$A$500),WORKDAY(A2361,E2361,Dias_Sem_Compensacao!$A$2:$A$500)),"")</f>
        <v>46314</v>
      </c>
      <c r="H2361" s="25">
        <v>0</v>
      </c>
      <c r="I2361" s="28">
        <v>46311</v>
      </c>
      <c r="J2361" t="s">
        <v>2272</v>
      </c>
      <c r="K2361" t="s">
        <v>2273</v>
      </c>
    </row>
    <row r="2362" spans="1:11" hidden="1">
      <c r="A2362" s="28">
        <v>46311</v>
      </c>
      <c r="B2362" t="s">
        <v>186</v>
      </c>
      <c r="C2362" t="s">
        <v>203</v>
      </c>
      <c r="D2362" t="s">
        <v>217</v>
      </c>
      <c r="E2362">
        <f>IF(LEFT(D2362,6)="CLIENT",IFERROR(VLOOKUP(C2362,Config_Carteiras!$A:$B,2,FALSE),1),"")</f>
        <v>1</v>
      </c>
      <c r="F2362" s="25">
        <v>1300</v>
      </c>
      <c r="G2362" s="28">
        <f>IF(LEFT(D2362,6)="CLIENT",IF(E2362=0,WORKDAY(A2362-1,1,Dias_Sem_Compensacao!$A$2:$A$500),WORKDAY(A2362,E2362,Dias_Sem_Compensacao!$A$2:$A$500)),"")</f>
        <v>46314</v>
      </c>
      <c r="H2362" s="25">
        <v>0</v>
      </c>
      <c r="I2362" s="28">
        <v>46311</v>
      </c>
      <c r="J2362" t="s">
        <v>1822</v>
      </c>
      <c r="K2362" t="s">
        <v>2831</v>
      </c>
    </row>
    <row r="2363" spans="1:11" hidden="1">
      <c r="A2363" s="28">
        <v>46311</v>
      </c>
      <c r="B2363" t="s">
        <v>186</v>
      </c>
      <c r="C2363" t="s">
        <v>203</v>
      </c>
      <c r="D2363" t="s">
        <v>217</v>
      </c>
      <c r="E2363">
        <f>IF(LEFT(D2363,6)="CLIENT",IFERROR(VLOOKUP(C2363,Config_Carteiras!$A:$B,2,FALSE),1),"")</f>
        <v>1</v>
      </c>
      <c r="F2363" s="25">
        <v>5594</v>
      </c>
      <c r="G2363" s="28">
        <f>IF(LEFT(D2363,6)="CLIENT",IF(E2363=0,WORKDAY(A2363-1,1,Dias_Sem_Compensacao!$A$2:$A$500),WORKDAY(A2363,E2363,Dias_Sem_Compensacao!$A$2:$A$500)),"")</f>
        <v>46314</v>
      </c>
      <c r="H2363" s="25">
        <v>0</v>
      </c>
      <c r="I2363" s="28">
        <v>46311</v>
      </c>
      <c r="J2363" t="s">
        <v>1701</v>
      </c>
      <c r="K2363" t="s">
        <v>1702</v>
      </c>
    </row>
    <row r="2364" spans="1:11" hidden="1">
      <c r="A2364" s="28">
        <v>46311</v>
      </c>
      <c r="B2364" t="s">
        <v>186</v>
      </c>
      <c r="C2364" t="s">
        <v>203</v>
      </c>
      <c r="D2364" t="s">
        <v>217</v>
      </c>
      <c r="E2364">
        <f>IF(LEFT(D2364,6)="CLIENT",IFERROR(VLOOKUP(C2364,Config_Carteiras!$A:$B,2,FALSE),1),"")</f>
        <v>1</v>
      </c>
      <c r="F2364" s="25">
        <v>338</v>
      </c>
      <c r="G2364" s="28">
        <f>IF(LEFT(D2364,6)="CLIENT",IF(E2364=0,WORKDAY(A2364-1,1,Dias_Sem_Compensacao!$A$2:$A$500),WORKDAY(A2364,E2364,Dias_Sem_Compensacao!$A$2:$A$500)),"")</f>
        <v>46314</v>
      </c>
      <c r="H2364" s="25">
        <v>0</v>
      </c>
      <c r="I2364" s="28">
        <v>46311</v>
      </c>
      <c r="J2364" t="s">
        <v>2274</v>
      </c>
      <c r="K2364" t="s">
        <v>2275</v>
      </c>
    </row>
    <row r="2365" spans="1:11" hidden="1">
      <c r="A2365" s="28">
        <v>46311</v>
      </c>
      <c r="B2365" t="s">
        <v>186</v>
      </c>
      <c r="C2365" t="s">
        <v>203</v>
      </c>
      <c r="D2365" t="s">
        <v>217</v>
      </c>
      <c r="E2365">
        <f>IF(LEFT(D2365,6)="CLIENT",IFERROR(VLOOKUP(C2365,Config_Carteiras!$A:$B,2,FALSE),1),"")</f>
        <v>1</v>
      </c>
      <c r="F2365" s="25">
        <v>1202.05</v>
      </c>
      <c r="G2365" s="28">
        <f>IF(LEFT(D2365,6)="CLIENT",IF(E2365=0,WORKDAY(A2365-1,1,Dias_Sem_Compensacao!$A$2:$A$500),WORKDAY(A2365,E2365,Dias_Sem_Compensacao!$A$2:$A$500)),"")</f>
        <v>46314</v>
      </c>
      <c r="H2365" s="25">
        <v>0</v>
      </c>
      <c r="I2365" s="28">
        <v>46311</v>
      </c>
      <c r="J2365" t="s">
        <v>1703</v>
      </c>
      <c r="K2365" t="s">
        <v>1704</v>
      </c>
    </row>
    <row r="2366" spans="1:11" hidden="1">
      <c r="A2366" s="28">
        <v>46311</v>
      </c>
      <c r="B2366" t="s">
        <v>186</v>
      </c>
      <c r="C2366" t="s">
        <v>203</v>
      </c>
      <c r="D2366" t="s">
        <v>217</v>
      </c>
      <c r="E2366">
        <f>IF(LEFT(D2366,6)="CLIENT",IFERROR(VLOOKUP(C2366,Config_Carteiras!$A:$B,2,FALSE),1),"")</f>
        <v>1</v>
      </c>
      <c r="F2366" s="25">
        <v>643</v>
      </c>
      <c r="G2366" s="28">
        <f>IF(LEFT(D2366,6)="CLIENT",IF(E2366=0,WORKDAY(A2366-1,1,Dias_Sem_Compensacao!$A$2:$A$500),WORKDAY(A2366,E2366,Dias_Sem_Compensacao!$A$2:$A$500)),"")</f>
        <v>46314</v>
      </c>
      <c r="H2366" s="25">
        <v>0</v>
      </c>
      <c r="I2366" s="28">
        <v>46311</v>
      </c>
      <c r="J2366" t="s">
        <v>1184</v>
      </c>
      <c r="K2366" t="s">
        <v>2276</v>
      </c>
    </row>
    <row r="2367" spans="1:11" hidden="1">
      <c r="A2367" s="28">
        <v>46311</v>
      </c>
      <c r="B2367" t="s">
        <v>186</v>
      </c>
      <c r="C2367" t="s">
        <v>203</v>
      </c>
      <c r="D2367" t="s">
        <v>217</v>
      </c>
      <c r="E2367">
        <f>IF(LEFT(D2367,6)="CLIENT",IFERROR(VLOOKUP(C2367,Config_Carteiras!$A:$B,2,FALSE),1),"")</f>
        <v>1</v>
      </c>
      <c r="F2367" s="25">
        <v>1629</v>
      </c>
      <c r="G2367" s="28">
        <f>IF(LEFT(D2367,6)="CLIENT",IF(E2367=0,WORKDAY(A2367-1,1,Dias_Sem_Compensacao!$A$2:$A$500),WORKDAY(A2367,E2367,Dias_Sem_Compensacao!$A$2:$A$500)),"")</f>
        <v>46314</v>
      </c>
      <c r="H2367" s="25">
        <v>0</v>
      </c>
      <c r="I2367" s="28">
        <v>46311</v>
      </c>
      <c r="J2367" t="s">
        <v>1709</v>
      </c>
      <c r="K2367" t="s">
        <v>2277</v>
      </c>
    </row>
    <row r="2368" spans="1:11" hidden="1">
      <c r="A2368" s="28">
        <v>46311</v>
      </c>
      <c r="B2368" t="s">
        <v>186</v>
      </c>
      <c r="C2368" t="s">
        <v>203</v>
      </c>
      <c r="D2368" t="s">
        <v>217</v>
      </c>
      <c r="E2368">
        <f>IF(LEFT(D2368,6)="CLIENT",IFERROR(VLOOKUP(C2368,Config_Carteiras!$A:$B,2,FALSE),1),"")</f>
        <v>1</v>
      </c>
      <c r="F2368" s="25">
        <v>1174.3900000000001</v>
      </c>
      <c r="G2368" s="28">
        <f>IF(LEFT(D2368,6)="CLIENT",IF(E2368=0,WORKDAY(A2368-1,1,Dias_Sem_Compensacao!$A$2:$A$500),WORKDAY(A2368,E2368,Dias_Sem_Compensacao!$A$2:$A$500)),"")</f>
        <v>46314</v>
      </c>
      <c r="H2368" s="25">
        <v>0</v>
      </c>
      <c r="I2368" s="28">
        <v>46311</v>
      </c>
      <c r="J2368" t="s">
        <v>2278</v>
      </c>
      <c r="K2368" t="s">
        <v>2279</v>
      </c>
    </row>
    <row r="2369" spans="1:11" hidden="1">
      <c r="A2369" s="28">
        <v>46311</v>
      </c>
      <c r="B2369" t="s">
        <v>186</v>
      </c>
      <c r="C2369" t="s">
        <v>203</v>
      </c>
      <c r="D2369" t="s">
        <v>217</v>
      </c>
      <c r="E2369">
        <f>IF(LEFT(D2369,6)="CLIENT",IFERROR(VLOOKUP(C2369,Config_Carteiras!$A:$B,2,FALSE),1),"")</f>
        <v>1</v>
      </c>
      <c r="F2369" s="25">
        <v>1104</v>
      </c>
      <c r="G2369" s="28">
        <f>IF(LEFT(D2369,6)="CLIENT",IF(E2369=0,WORKDAY(A2369-1,1,Dias_Sem_Compensacao!$A$2:$A$500),WORKDAY(A2369,E2369,Dias_Sem_Compensacao!$A$2:$A$500)),"")</f>
        <v>46314</v>
      </c>
      <c r="H2369" s="25">
        <v>0</v>
      </c>
      <c r="I2369" s="28">
        <v>46311</v>
      </c>
      <c r="J2369" t="s">
        <v>2832</v>
      </c>
      <c r="K2369" t="s">
        <v>2833</v>
      </c>
    </row>
    <row r="2370" spans="1:11" hidden="1">
      <c r="A2370" s="28">
        <v>46311</v>
      </c>
      <c r="B2370" t="s">
        <v>186</v>
      </c>
      <c r="C2370" t="s">
        <v>203</v>
      </c>
      <c r="D2370" t="s">
        <v>217</v>
      </c>
      <c r="E2370">
        <f>IF(LEFT(D2370,6)="CLIENT",IFERROR(VLOOKUP(C2370,Config_Carteiras!$A:$B,2,FALSE),1),"")</f>
        <v>1</v>
      </c>
      <c r="F2370" s="25">
        <v>1257</v>
      </c>
      <c r="G2370" s="28">
        <f>IF(LEFT(D2370,6)="CLIENT",IF(E2370=0,WORKDAY(A2370-1,1,Dias_Sem_Compensacao!$A$2:$A$500),WORKDAY(A2370,E2370,Dias_Sem_Compensacao!$A$2:$A$500)),"")</f>
        <v>46314</v>
      </c>
      <c r="H2370" s="25">
        <v>0</v>
      </c>
      <c r="I2370" s="28">
        <v>46311</v>
      </c>
      <c r="J2370" t="s">
        <v>2834</v>
      </c>
      <c r="K2370" t="s">
        <v>2835</v>
      </c>
    </row>
    <row r="2371" spans="1:11" hidden="1">
      <c r="A2371" s="28">
        <v>46311</v>
      </c>
      <c r="B2371" t="s">
        <v>186</v>
      </c>
      <c r="C2371" t="s">
        <v>203</v>
      </c>
      <c r="D2371" t="s">
        <v>217</v>
      </c>
      <c r="E2371">
        <f>IF(LEFT(D2371,6)="CLIENT",IFERROR(VLOOKUP(C2371,Config_Carteiras!$A:$B,2,FALSE),1),"")</f>
        <v>1</v>
      </c>
      <c r="F2371" s="25">
        <v>1998</v>
      </c>
      <c r="G2371" s="28">
        <f>IF(LEFT(D2371,6)="CLIENT",IF(E2371=0,WORKDAY(A2371-1,1,Dias_Sem_Compensacao!$A$2:$A$500),WORKDAY(A2371,E2371,Dias_Sem_Compensacao!$A$2:$A$500)),"")</f>
        <v>46314</v>
      </c>
      <c r="H2371" s="25">
        <v>0</v>
      </c>
      <c r="I2371" s="28">
        <v>46311</v>
      </c>
      <c r="J2371" t="s">
        <v>2194</v>
      </c>
      <c r="K2371" t="s">
        <v>2836</v>
      </c>
    </row>
    <row r="2372" spans="1:11" hidden="1">
      <c r="A2372" s="28">
        <v>46311</v>
      </c>
      <c r="B2372" t="s">
        <v>186</v>
      </c>
      <c r="C2372" t="s">
        <v>203</v>
      </c>
      <c r="D2372" t="s">
        <v>217</v>
      </c>
      <c r="E2372">
        <f>IF(LEFT(D2372,6)="CLIENT",IFERROR(VLOOKUP(C2372,Config_Carteiras!$A:$B,2,FALSE),1),"")</f>
        <v>1</v>
      </c>
      <c r="F2372" s="25">
        <v>1078</v>
      </c>
      <c r="G2372" s="28">
        <f>IF(LEFT(D2372,6)="CLIENT",IF(E2372=0,WORKDAY(A2372-1,1,Dias_Sem_Compensacao!$A$2:$A$500),WORKDAY(A2372,E2372,Dias_Sem_Compensacao!$A$2:$A$500)),"")</f>
        <v>46314</v>
      </c>
      <c r="H2372" s="25">
        <v>0</v>
      </c>
      <c r="I2372" s="28">
        <v>46311</v>
      </c>
      <c r="J2372" t="s">
        <v>2837</v>
      </c>
      <c r="K2372" t="s">
        <v>2838</v>
      </c>
    </row>
    <row r="2373" spans="1:11" hidden="1">
      <c r="A2373" s="28">
        <v>46311</v>
      </c>
      <c r="B2373" t="s">
        <v>186</v>
      </c>
      <c r="C2373" t="s">
        <v>203</v>
      </c>
      <c r="D2373" t="s">
        <v>217</v>
      </c>
      <c r="E2373">
        <f>IF(LEFT(D2373,6)="CLIENT",IFERROR(VLOOKUP(C2373,Config_Carteiras!$A:$B,2,FALSE),1),"")</f>
        <v>1</v>
      </c>
      <c r="F2373" s="25">
        <v>4179</v>
      </c>
      <c r="G2373" s="28">
        <f>IF(LEFT(D2373,6)="CLIENT",IF(E2373=0,WORKDAY(A2373-1,1,Dias_Sem_Compensacao!$A$2:$A$500),WORKDAY(A2373,E2373,Dias_Sem_Compensacao!$A$2:$A$500)),"")</f>
        <v>46314</v>
      </c>
      <c r="H2373" s="25">
        <v>0</v>
      </c>
      <c r="I2373" s="28">
        <v>46311</v>
      </c>
      <c r="J2373" t="s">
        <v>2839</v>
      </c>
      <c r="K2373" t="s">
        <v>2840</v>
      </c>
    </row>
    <row r="2374" spans="1:11" hidden="1">
      <c r="A2374" s="28">
        <v>46311</v>
      </c>
      <c r="B2374" t="s">
        <v>186</v>
      </c>
      <c r="C2374" t="s">
        <v>203</v>
      </c>
      <c r="D2374" t="s">
        <v>217</v>
      </c>
      <c r="E2374">
        <f>IF(LEFT(D2374,6)="CLIENT",IFERROR(VLOOKUP(C2374,Config_Carteiras!$A:$B,2,FALSE),1),"")</f>
        <v>1</v>
      </c>
      <c r="F2374" s="25">
        <v>2822</v>
      </c>
      <c r="G2374" s="28">
        <f>IF(LEFT(D2374,6)="CLIENT",IF(E2374=0,WORKDAY(A2374-1,1,Dias_Sem_Compensacao!$A$2:$A$500),WORKDAY(A2374,E2374,Dias_Sem_Compensacao!$A$2:$A$500)),"")</f>
        <v>46314</v>
      </c>
      <c r="H2374" s="25">
        <v>0</v>
      </c>
      <c r="I2374" s="28">
        <v>46311</v>
      </c>
      <c r="J2374" t="s">
        <v>2282</v>
      </c>
      <c r="K2374" t="s">
        <v>2283</v>
      </c>
    </row>
    <row r="2375" spans="1:11" hidden="1">
      <c r="A2375" s="28">
        <v>46311</v>
      </c>
      <c r="B2375" t="s">
        <v>186</v>
      </c>
      <c r="C2375" t="s">
        <v>203</v>
      </c>
      <c r="D2375" t="s">
        <v>217</v>
      </c>
      <c r="E2375">
        <f>IF(LEFT(D2375,6)="CLIENT",IFERROR(VLOOKUP(C2375,Config_Carteiras!$A:$B,2,FALSE),1),"")</f>
        <v>1</v>
      </c>
      <c r="F2375" s="25">
        <v>267</v>
      </c>
      <c r="G2375" s="28">
        <f>IF(LEFT(D2375,6)="CLIENT",IF(E2375=0,WORKDAY(A2375-1,1,Dias_Sem_Compensacao!$A$2:$A$500),WORKDAY(A2375,E2375,Dias_Sem_Compensacao!$A$2:$A$500)),"")</f>
        <v>46314</v>
      </c>
      <c r="H2375" s="25">
        <v>0</v>
      </c>
      <c r="I2375" s="28">
        <v>46311</v>
      </c>
      <c r="J2375" t="s">
        <v>2841</v>
      </c>
      <c r="K2375" t="s">
        <v>2842</v>
      </c>
    </row>
    <row r="2376" spans="1:11" hidden="1">
      <c r="A2376" s="28">
        <v>46311</v>
      </c>
      <c r="B2376" t="s">
        <v>186</v>
      </c>
      <c r="C2376" t="s">
        <v>203</v>
      </c>
      <c r="D2376" t="s">
        <v>217</v>
      </c>
      <c r="E2376">
        <f>IF(LEFT(D2376,6)="CLIENT",IFERROR(VLOOKUP(C2376,Config_Carteiras!$A:$B,2,FALSE),1),"")</f>
        <v>1</v>
      </c>
      <c r="F2376" s="25">
        <v>2042.22</v>
      </c>
      <c r="G2376" s="28">
        <f>IF(LEFT(D2376,6)="CLIENT",IF(E2376=0,WORKDAY(A2376-1,1,Dias_Sem_Compensacao!$A$2:$A$500),WORKDAY(A2376,E2376,Dias_Sem_Compensacao!$A$2:$A$500)),"")</f>
        <v>46314</v>
      </c>
      <c r="H2376" s="25">
        <v>0</v>
      </c>
      <c r="I2376" s="28">
        <v>46311</v>
      </c>
      <c r="J2376" t="s">
        <v>2843</v>
      </c>
      <c r="K2376" t="s">
        <v>2844</v>
      </c>
    </row>
    <row r="2377" spans="1:11" hidden="1">
      <c r="A2377" s="28">
        <v>46311</v>
      </c>
      <c r="B2377" t="s">
        <v>186</v>
      </c>
      <c r="C2377" t="s">
        <v>203</v>
      </c>
      <c r="D2377" t="s">
        <v>217</v>
      </c>
      <c r="E2377">
        <f>IF(LEFT(D2377,6)="CLIENT",IFERROR(VLOOKUP(C2377,Config_Carteiras!$A:$B,2,FALSE),1),"")</f>
        <v>1</v>
      </c>
      <c r="F2377" s="25">
        <v>628.6</v>
      </c>
      <c r="G2377" s="28">
        <f>IF(LEFT(D2377,6)="CLIENT",IF(E2377=0,WORKDAY(A2377-1,1,Dias_Sem_Compensacao!$A$2:$A$500),WORKDAY(A2377,E2377,Dias_Sem_Compensacao!$A$2:$A$500)),"")</f>
        <v>46314</v>
      </c>
      <c r="H2377" s="25">
        <v>0</v>
      </c>
      <c r="I2377" s="28">
        <v>46311</v>
      </c>
      <c r="J2377" t="s">
        <v>2284</v>
      </c>
      <c r="K2377" t="s">
        <v>2285</v>
      </c>
    </row>
    <row r="2378" spans="1:11" hidden="1">
      <c r="A2378" s="28">
        <v>46311</v>
      </c>
      <c r="B2378" t="s">
        <v>186</v>
      </c>
      <c r="C2378" t="s">
        <v>203</v>
      </c>
      <c r="D2378" t="s">
        <v>217</v>
      </c>
      <c r="E2378">
        <f>IF(LEFT(D2378,6)="CLIENT",IFERROR(VLOOKUP(C2378,Config_Carteiras!$A:$B,2,FALSE),1),"")</f>
        <v>1</v>
      </c>
      <c r="F2378" s="25">
        <v>1347</v>
      </c>
      <c r="G2378" s="28">
        <f>IF(LEFT(D2378,6)="CLIENT",IF(E2378=0,WORKDAY(A2378-1,1,Dias_Sem_Compensacao!$A$2:$A$500),WORKDAY(A2378,E2378,Dias_Sem_Compensacao!$A$2:$A$500)),"")</f>
        <v>46314</v>
      </c>
      <c r="H2378" s="25">
        <v>0</v>
      </c>
      <c r="I2378" s="28">
        <v>46311</v>
      </c>
      <c r="J2378" t="s">
        <v>2286</v>
      </c>
      <c r="K2378" t="s">
        <v>2287</v>
      </c>
    </row>
    <row r="2379" spans="1:11" hidden="1">
      <c r="A2379" s="28">
        <v>46311</v>
      </c>
      <c r="B2379" t="s">
        <v>186</v>
      </c>
      <c r="C2379" t="s">
        <v>203</v>
      </c>
      <c r="D2379" t="s">
        <v>217</v>
      </c>
      <c r="E2379">
        <f>IF(LEFT(D2379,6)="CLIENT",IFERROR(VLOOKUP(C2379,Config_Carteiras!$A:$B,2,FALSE),1),"")</f>
        <v>1</v>
      </c>
      <c r="F2379" s="25">
        <v>710.2</v>
      </c>
      <c r="G2379" s="28">
        <f>IF(LEFT(D2379,6)="CLIENT",IF(E2379=0,WORKDAY(A2379-1,1,Dias_Sem_Compensacao!$A$2:$A$500),WORKDAY(A2379,E2379,Dias_Sem_Compensacao!$A$2:$A$500)),"")</f>
        <v>46314</v>
      </c>
      <c r="H2379" s="25">
        <v>0</v>
      </c>
      <c r="I2379" s="28">
        <v>46311</v>
      </c>
      <c r="J2379" t="s">
        <v>1740</v>
      </c>
      <c r="K2379" t="s">
        <v>1741</v>
      </c>
    </row>
    <row r="2380" spans="1:11" hidden="1">
      <c r="A2380" s="28">
        <v>46311</v>
      </c>
      <c r="B2380" t="s">
        <v>186</v>
      </c>
      <c r="C2380" t="s">
        <v>203</v>
      </c>
      <c r="D2380" t="s">
        <v>217</v>
      </c>
      <c r="E2380">
        <f>IF(LEFT(D2380,6)="CLIENT",IFERROR(VLOOKUP(C2380,Config_Carteiras!$A:$B,2,FALSE),1),"")</f>
        <v>1</v>
      </c>
      <c r="F2380" s="25">
        <v>449.61</v>
      </c>
      <c r="G2380" s="28">
        <f>IF(LEFT(D2380,6)="CLIENT",IF(E2380=0,WORKDAY(A2380-1,1,Dias_Sem_Compensacao!$A$2:$A$500),WORKDAY(A2380,E2380,Dias_Sem_Compensacao!$A$2:$A$500)),"")</f>
        <v>46314</v>
      </c>
      <c r="H2380" s="25">
        <v>0</v>
      </c>
      <c r="I2380" s="28">
        <v>46311</v>
      </c>
      <c r="J2380" t="s">
        <v>2290</v>
      </c>
      <c r="K2380" t="s">
        <v>2291</v>
      </c>
    </row>
    <row r="2381" spans="1:11" hidden="1">
      <c r="A2381" s="28">
        <v>46311</v>
      </c>
      <c r="B2381" t="s">
        <v>186</v>
      </c>
      <c r="C2381" t="s">
        <v>203</v>
      </c>
      <c r="D2381" t="s">
        <v>217</v>
      </c>
      <c r="E2381">
        <f>IF(LEFT(D2381,6)="CLIENT",IFERROR(VLOOKUP(C2381,Config_Carteiras!$A:$B,2,FALSE),1),"")</f>
        <v>1</v>
      </c>
      <c r="F2381" s="25">
        <v>346</v>
      </c>
      <c r="G2381" s="28">
        <f>IF(LEFT(D2381,6)="CLIENT",IF(E2381=0,WORKDAY(A2381-1,1,Dias_Sem_Compensacao!$A$2:$A$500),WORKDAY(A2381,E2381,Dias_Sem_Compensacao!$A$2:$A$500)),"")</f>
        <v>46314</v>
      </c>
      <c r="H2381" s="25">
        <v>0</v>
      </c>
      <c r="I2381" s="28">
        <v>46311</v>
      </c>
      <c r="J2381" t="s">
        <v>2845</v>
      </c>
      <c r="K2381" t="s">
        <v>2846</v>
      </c>
    </row>
    <row r="2382" spans="1:11" hidden="1">
      <c r="A2382" s="28">
        <v>46311</v>
      </c>
      <c r="B2382" t="s">
        <v>186</v>
      </c>
      <c r="C2382" t="s">
        <v>203</v>
      </c>
      <c r="D2382" t="s">
        <v>217</v>
      </c>
      <c r="E2382">
        <f>IF(LEFT(D2382,6)="CLIENT",IFERROR(VLOOKUP(C2382,Config_Carteiras!$A:$B,2,FALSE),1),"")</f>
        <v>1</v>
      </c>
      <c r="F2382" s="25">
        <v>1686.63</v>
      </c>
      <c r="G2382" s="28">
        <f>IF(LEFT(D2382,6)="CLIENT",IF(E2382=0,WORKDAY(A2382-1,1,Dias_Sem_Compensacao!$A$2:$A$500),WORKDAY(A2382,E2382,Dias_Sem_Compensacao!$A$2:$A$500)),"")</f>
        <v>46314</v>
      </c>
      <c r="H2382" s="25">
        <v>0</v>
      </c>
      <c r="I2382" s="28">
        <v>46311</v>
      </c>
      <c r="J2382" t="s">
        <v>316</v>
      </c>
      <c r="K2382" t="s">
        <v>2292</v>
      </c>
    </row>
    <row r="2383" spans="1:11" hidden="1">
      <c r="A2383" s="28">
        <v>46311</v>
      </c>
      <c r="B2383" t="s">
        <v>186</v>
      </c>
      <c r="C2383" t="s">
        <v>203</v>
      </c>
      <c r="D2383" t="s">
        <v>217</v>
      </c>
      <c r="E2383">
        <f>IF(LEFT(D2383,6)="CLIENT",IFERROR(VLOOKUP(C2383,Config_Carteiras!$A:$B,2,FALSE),1),"")</f>
        <v>1</v>
      </c>
      <c r="F2383" s="25">
        <v>829</v>
      </c>
      <c r="G2383" s="28">
        <f>IF(LEFT(D2383,6)="CLIENT",IF(E2383=0,WORKDAY(A2383-1,1,Dias_Sem_Compensacao!$A$2:$A$500),WORKDAY(A2383,E2383,Dias_Sem_Compensacao!$A$2:$A$500)),"")</f>
        <v>46314</v>
      </c>
      <c r="H2383" s="25">
        <v>0</v>
      </c>
      <c r="I2383" s="28">
        <v>46311</v>
      </c>
      <c r="J2383" t="s">
        <v>2847</v>
      </c>
      <c r="K2383" t="s">
        <v>2848</v>
      </c>
    </row>
    <row r="2384" spans="1:11" hidden="1">
      <c r="A2384" s="28">
        <v>46311</v>
      </c>
      <c r="B2384" t="s">
        <v>186</v>
      </c>
      <c r="C2384" t="s">
        <v>203</v>
      </c>
      <c r="D2384" t="s">
        <v>217</v>
      </c>
      <c r="E2384">
        <f>IF(LEFT(D2384,6)="CLIENT",IFERROR(VLOOKUP(C2384,Config_Carteiras!$A:$B,2,FALSE),1),"")</f>
        <v>1</v>
      </c>
      <c r="F2384" s="25">
        <v>1309</v>
      </c>
      <c r="G2384" s="28">
        <f>IF(LEFT(D2384,6)="CLIENT",IF(E2384=0,WORKDAY(A2384-1,1,Dias_Sem_Compensacao!$A$2:$A$500),WORKDAY(A2384,E2384,Dias_Sem_Compensacao!$A$2:$A$500)),"")</f>
        <v>46314</v>
      </c>
      <c r="H2384" s="25">
        <v>0</v>
      </c>
      <c r="I2384" s="28">
        <v>46311</v>
      </c>
      <c r="J2384" t="s">
        <v>2293</v>
      </c>
      <c r="K2384" t="s">
        <v>2294</v>
      </c>
    </row>
    <row r="2385" spans="1:11" hidden="1">
      <c r="A2385" s="28">
        <v>46311</v>
      </c>
      <c r="B2385" t="s">
        <v>186</v>
      </c>
      <c r="C2385" t="s">
        <v>203</v>
      </c>
      <c r="D2385" t="s">
        <v>217</v>
      </c>
      <c r="E2385">
        <f>IF(LEFT(D2385,6)="CLIENT",IFERROR(VLOOKUP(C2385,Config_Carteiras!$A:$B,2,FALSE),1),"")</f>
        <v>1</v>
      </c>
      <c r="F2385" s="25">
        <v>3905</v>
      </c>
      <c r="G2385" s="28">
        <f>IF(LEFT(D2385,6)="CLIENT",IF(E2385=0,WORKDAY(A2385-1,1,Dias_Sem_Compensacao!$A$2:$A$500),WORKDAY(A2385,E2385,Dias_Sem_Compensacao!$A$2:$A$500)),"")</f>
        <v>46314</v>
      </c>
      <c r="H2385" s="25">
        <v>0</v>
      </c>
      <c r="I2385" s="28">
        <v>46311</v>
      </c>
      <c r="J2385" t="s">
        <v>2295</v>
      </c>
      <c r="K2385" t="s">
        <v>2296</v>
      </c>
    </row>
    <row r="2386" spans="1:11" hidden="1">
      <c r="A2386" s="28">
        <v>46311</v>
      </c>
      <c r="B2386" t="s">
        <v>186</v>
      </c>
      <c r="C2386" t="s">
        <v>203</v>
      </c>
      <c r="D2386" t="s">
        <v>217</v>
      </c>
      <c r="E2386">
        <f>IF(LEFT(D2386,6)="CLIENT",IFERROR(VLOOKUP(C2386,Config_Carteiras!$A:$B,2,FALSE),1),"")</f>
        <v>1</v>
      </c>
      <c r="F2386" s="25">
        <v>2264.27</v>
      </c>
      <c r="G2386" s="28">
        <f>IF(LEFT(D2386,6)="CLIENT",IF(E2386=0,WORKDAY(A2386-1,1,Dias_Sem_Compensacao!$A$2:$A$500),WORKDAY(A2386,E2386,Dias_Sem_Compensacao!$A$2:$A$500)),"")</f>
        <v>46314</v>
      </c>
      <c r="H2386" s="25">
        <v>0</v>
      </c>
      <c r="I2386" s="28">
        <v>46311</v>
      </c>
      <c r="J2386" t="s">
        <v>2747</v>
      </c>
      <c r="K2386" t="s">
        <v>2849</v>
      </c>
    </row>
    <row r="2387" spans="1:11" hidden="1">
      <c r="A2387" s="28">
        <v>46311</v>
      </c>
      <c r="B2387" t="s">
        <v>186</v>
      </c>
      <c r="C2387" t="s">
        <v>203</v>
      </c>
      <c r="D2387" t="s">
        <v>217</v>
      </c>
      <c r="E2387">
        <f>IF(LEFT(D2387,6)="CLIENT",IFERROR(VLOOKUP(C2387,Config_Carteiras!$A:$B,2,FALSE),1),"")</f>
        <v>1</v>
      </c>
      <c r="F2387" s="25">
        <v>1221</v>
      </c>
      <c r="G2387" s="28">
        <f>IF(LEFT(D2387,6)="CLIENT",IF(E2387=0,WORKDAY(A2387-1,1,Dias_Sem_Compensacao!$A$2:$A$500),WORKDAY(A2387,E2387,Dias_Sem_Compensacao!$A$2:$A$500)),"")</f>
        <v>46314</v>
      </c>
      <c r="H2387" s="25">
        <v>0</v>
      </c>
      <c r="I2387" s="28">
        <v>46311</v>
      </c>
      <c r="J2387" t="s">
        <v>2297</v>
      </c>
      <c r="K2387" t="s">
        <v>2298</v>
      </c>
    </row>
    <row r="2388" spans="1:11" hidden="1">
      <c r="A2388" s="28">
        <v>46311</v>
      </c>
      <c r="B2388" t="s">
        <v>186</v>
      </c>
      <c r="C2388" t="s">
        <v>203</v>
      </c>
      <c r="D2388" t="s">
        <v>217</v>
      </c>
      <c r="E2388">
        <f>IF(LEFT(D2388,6)="CLIENT",IFERROR(VLOOKUP(C2388,Config_Carteiras!$A:$B,2,FALSE),1),"")</f>
        <v>1</v>
      </c>
      <c r="F2388" s="25">
        <v>1015.28</v>
      </c>
      <c r="G2388" s="28">
        <f>IF(LEFT(D2388,6)="CLIENT",IF(E2388=0,WORKDAY(A2388-1,1,Dias_Sem_Compensacao!$A$2:$A$500),WORKDAY(A2388,E2388,Dias_Sem_Compensacao!$A$2:$A$500)),"")</f>
        <v>46314</v>
      </c>
      <c r="H2388" s="25">
        <v>0</v>
      </c>
      <c r="I2388" s="28">
        <v>46311</v>
      </c>
      <c r="J2388" t="s">
        <v>2850</v>
      </c>
      <c r="K2388" t="s">
        <v>2851</v>
      </c>
    </row>
    <row r="2389" spans="1:11" hidden="1">
      <c r="A2389" s="28">
        <v>46311</v>
      </c>
      <c r="B2389" t="s">
        <v>186</v>
      </c>
      <c r="C2389" t="s">
        <v>203</v>
      </c>
      <c r="D2389" t="s">
        <v>217</v>
      </c>
      <c r="E2389">
        <f>IF(LEFT(D2389,6)="CLIENT",IFERROR(VLOOKUP(C2389,Config_Carteiras!$A:$B,2,FALSE),1),"")</f>
        <v>1</v>
      </c>
      <c r="F2389" s="25">
        <v>1798.92</v>
      </c>
      <c r="G2389" s="28">
        <f>IF(LEFT(D2389,6)="CLIENT",IF(E2389=0,WORKDAY(A2389-1,1,Dias_Sem_Compensacao!$A$2:$A$500),WORKDAY(A2389,E2389,Dias_Sem_Compensacao!$A$2:$A$500)),"")</f>
        <v>46314</v>
      </c>
      <c r="H2389" s="25">
        <v>0</v>
      </c>
      <c r="I2389" s="28">
        <v>46311</v>
      </c>
      <c r="J2389" t="s">
        <v>1748</v>
      </c>
      <c r="K2389" t="s">
        <v>1749</v>
      </c>
    </row>
    <row r="2390" spans="1:11" hidden="1">
      <c r="A2390" s="28">
        <v>46311</v>
      </c>
      <c r="B2390" t="s">
        <v>186</v>
      </c>
      <c r="C2390" t="s">
        <v>203</v>
      </c>
      <c r="D2390" t="s">
        <v>217</v>
      </c>
      <c r="E2390">
        <f>IF(LEFT(D2390,6)="CLIENT",IFERROR(VLOOKUP(C2390,Config_Carteiras!$A:$B,2,FALSE),1),"")</f>
        <v>1</v>
      </c>
      <c r="F2390" s="25">
        <v>598</v>
      </c>
      <c r="G2390" s="28">
        <f>IF(LEFT(D2390,6)="CLIENT",IF(E2390=0,WORKDAY(A2390-1,1,Dias_Sem_Compensacao!$A$2:$A$500),WORKDAY(A2390,E2390,Dias_Sem_Compensacao!$A$2:$A$500)),"")</f>
        <v>46314</v>
      </c>
      <c r="H2390" s="25">
        <v>0</v>
      </c>
      <c r="I2390" s="28">
        <v>46311</v>
      </c>
      <c r="J2390" t="s">
        <v>2299</v>
      </c>
      <c r="K2390" t="s">
        <v>2300</v>
      </c>
    </row>
    <row r="2391" spans="1:11" hidden="1">
      <c r="A2391" s="28">
        <v>46311</v>
      </c>
      <c r="B2391" t="s">
        <v>186</v>
      </c>
      <c r="C2391" t="s">
        <v>203</v>
      </c>
      <c r="D2391" t="s">
        <v>217</v>
      </c>
      <c r="E2391">
        <f>IF(LEFT(D2391,6)="CLIENT",IFERROR(VLOOKUP(C2391,Config_Carteiras!$A:$B,2,FALSE),1),"")</f>
        <v>1</v>
      </c>
      <c r="F2391" s="25">
        <v>2196</v>
      </c>
      <c r="G2391" s="28">
        <f>IF(LEFT(D2391,6)="CLIENT",IF(E2391=0,WORKDAY(A2391-1,1,Dias_Sem_Compensacao!$A$2:$A$500),WORKDAY(A2391,E2391,Dias_Sem_Compensacao!$A$2:$A$500)),"")</f>
        <v>46314</v>
      </c>
      <c r="H2391" s="25">
        <v>0</v>
      </c>
      <c r="I2391" s="28">
        <v>46311</v>
      </c>
      <c r="J2391" t="s">
        <v>2301</v>
      </c>
      <c r="K2391" t="s">
        <v>2302</v>
      </c>
    </row>
    <row r="2392" spans="1:11" hidden="1">
      <c r="A2392" s="28">
        <v>46311</v>
      </c>
      <c r="B2392" t="s">
        <v>186</v>
      </c>
      <c r="C2392" t="s">
        <v>203</v>
      </c>
      <c r="D2392" t="s">
        <v>217</v>
      </c>
      <c r="E2392">
        <f>IF(LEFT(D2392,6)="CLIENT",IFERROR(VLOOKUP(C2392,Config_Carteiras!$A:$B,2,FALSE),1),"")</f>
        <v>1</v>
      </c>
      <c r="F2392" s="25">
        <v>655</v>
      </c>
      <c r="G2392" s="28">
        <f>IF(LEFT(D2392,6)="CLIENT",IF(E2392=0,WORKDAY(A2392-1,1,Dias_Sem_Compensacao!$A$2:$A$500),WORKDAY(A2392,E2392,Dias_Sem_Compensacao!$A$2:$A$500)),"")</f>
        <v>46314</v>
      </c>
      <c r="H2392" s="25">
        <v>0</v>
      </c>
      <c r="I2392" s="28">
        <v>46311</v>
      </c>
      <c r="J2392" t="s">
        <v>2303</v>
      </c>
      <c r="K2392" t="s">
        <v>2304</v>
      </c>
    </row>
    <row r="2393" spans="1:11" hidden="1">
      <c r="A2393" s="28">
        <v>46311</v>
      </c>
      <c r="B2393" t="s">
        <v>186</v>
      </c>
      <c r="C2393" t="s">
        <v>203</v>
      </c>
      <c r="D2393" t="s">
        <v>217</v>
      </c>
      <c r="E2393">
        <f>IF(LEFT(D2393,6)="CLIENT",IFERROR(VLOOKUP(C2393,Config_Carteiras!$A:$B,2,FALSE),1),"")</f>
        <v>1</v>
      </c>
      <c r="F2393" s="25">
        <v>880.2</v>
      </c>
      <c r="G2393" s="28">
        <f>IF(LEFT(D2393,6)="CLIENT",IF(E2393=0,WORKDAY(A2393-1,1,Dias_Sem_Compensacao!$A$2:$A$500),WORKDAY(A2393,E2393,Dias_Sem_Compensacao!$A$2:$A$500)),"")</f>
        <v>46314</v>
      </c>
      <c r="H2393" s="25">
        <v>0</v>
      </c>
      <c r="I2393" s="28">
        <v>46311</v>
      </c>
      <c r="J2393" t="s">
        <v>2305</v>
      </c>
      <c r="K2393" t="s">
        <v>2306</v>
      </c>
    </row>
    <row r="2394" spans="1:11" hidden="1">
      <c r="A2394" s="28">
        <v>46311</v>
      </c>
      <c r="B2394" t="s">
        <v>186</v>
      </c>
      <c r="C2394" t="s">
        <v>203</v>
      </c>
      <c r="D2394" t="s">
        <v>217</v>
      </c>
      <c r="E2394">
        <f>IF(LEFT(D2394,6)="CLIENT",IFERROR(VLOOKUP(C2394,Config_Carteiras!$A:$B,2,FALSE),1),"")</f>
        <v>1</v>
      </c>
      <c r="F2394" s="25">
        <v>1012</v>
      </c>
      <c r="G2394" s="28">
        <f>IF(LEFT(D2394,6)="CLIENT",IF(E2394=0,WORKDAY(A2394-1,1,Dias_Sem_Compensacao!$A$2:$A$500),WORKDAY(A2394,E2394,Dias_Sem_Compensacao!$A$2:$A$500)),"")</f>
        <v>46314</v>
      </c>
      <c r="H2394" s="25">
        <v>0</v>
      </c>
      <c r="I2394" s="28">
        <v>46311</v>
      </c>
      <c r="J2394" t="s">
        <v>2852</v>
      </c>
      <c r="K2394" t="s">
        <v>2853</v>
      </c>
    </row>
    <row r="2395" spans="1:11" hidden="1">
      <c r="A2395" s="28">
        <v>46311</v>
      </c>
      <c r="B2395" t="s">
        <v>186</v>
      </c>
      <c r="C2395" t="s">
        <v>203</v>
      </c>
      <c r="D2395" t="s">
        <v>217</v>
      </c>
      <c r="E2395">
        <f>IF(LEFT(D2395,6)="CLIENT",IFERROR(VLOOKUP(C2395,Config_Carteiras!$A:$B,2,FALSE),1),"")</f>
        <v>1</v>
      </c>
      <c r="F2395" s="25">
        <v>636</v>
      </c>
      <c r="G2395" s="28">
        <f>IF(LEFT(D2395,6)="CLIENT",IF(E2395=0,WORKDAY(A2395-1,1,Dias_Sem_Compensacao!$A$2:$A$500),WORKDAY(A2395,E2395,Dias_Sem_Compensacao!$A$2:$A$500)),"")</f>
        <v>46314</v>
      </c>
      <c r="H2395" s="25">
        <v>0</v>
      </c>
      <c r="I2395" s="28">
        <v>46311</v>
      </c>
      <c r="J2395" t="s">
        <v>513</v>
      </c>
      <c r="K2395" t="s">
        <v>2854</v>
      </c>
    </row>
    <row r="2396" spans="1:11" hidden="1">
      <c r="A2396" s="28">
        <v>46311</v>
      </c>
      <c r="B2396" t="s">
        <v>186</v>
      </c>
      <c r="C2396" t="s">
        <v>203</v>
      </c>
      <c r="D2396" t="s">
        <v>217</v>
      </c>
      <c r="E2396">
        <f>IF(LEFT(D2396,6)="CLIENT",IFERROR(VLOOKUP(C2396,Config_Carteiras!$A:$B,2,FALSE),1),"")</f>
        <v>1</v>
      </c>
      <c r="F2396" s="25">
        <v>1334</v>
      </c>
      <c r="G2396" s="28">
        <f>IF(LEFT(D2396,6)="CLIENT",IF(E2396=0,WORKDAY(A2396-1,1,Dias_Sem_Compensacao!$A$2:$A$500),WORKDAY(A2396,E2396,Dias_Sem_Compensacao!$A$2:$A$500)),"")</f>
        <v>46314</v>
      </c>
      <c r="H2396" s="25">
        <v>0</v>
      </c>
      <c r="I2396" s="28">
        <v>46311</v>
      </c>
      <c r="J2396" t="s">
        <v>2855</v>
      </c>
      <c r="K2396" t="s">
        <v>2856</v>
      </c>
    </row>
    <row r="2397" spans="1:11" hidden="1">
      <c r="A2397" s="28">
        <v>46311</v>
      </c>
      <c r="B2397" t="s">
        <v>186</v>
      </c>
      <c r="C2397" t="s">
        <v>203</v>
      </c>
      <c r="D2397" t="s">
        <v>217</v>
      </c>
      <c r="E2397">
        <f>IF(LEFT(D2397,6)="CLIENT",IFERROR(VLOOKUP(C2397,Config_Carteiras!$A:$B,2,FALSE),1),"")</f>
        <v>1</v>
      </c>
      <c r="F2397" s="25">
        <v>1515.99</v>
      </c>
      <c r="G2397" s="28">
        <f>IF(LEFT(D2397,6)="CLIENT",IF(E2397=0,WORKDAY(A2397-1,1,Dias_Sem_Compensacao!$A$2:$A$500),WORKDAY(A2397,E2397,Dias_Sem_Compensacao!$A$2:$A$500)),"")</f>
        <v>46314</v>
      </c>
      <c r="H2397" s="25">
        <v>0</v>
      </c>
      <c r="I2397" s="28">
        <v>46311</v>
      </c>
      <c r="J2397" t="s">
        <v>2307</v>
      </c>
      <c r="K2397" t="s">
        <v>2308</v>
      </c>
    </row>
    <row r="2398" spans="1:11" hidden="1">
      <c r="A2398" s="28">
        <v>46311</v>
      </c>
      <c r="B2398" t="s">
        <v>186</v>
      </c>
      <c r="C2398" t="s">
        <v>203</v>
      </c>
      <c r="D2398" t="s">
        <v>217</v>
      </c>
      <c r="E2398">
        <f>IF(LEFT(D2398,6)="CLIENT",IFERROR(VLOOKUP(C2398,Config_Carteiras!$A:$B,2,FALSE),1),"")</f>
        <v>1</v>
      </c>
      <c r="F2398" s="25">
        <v>815</v>
      </c>
      <c r="G2398" s="28">
        <f>IF(LEFT(D2398,6)="CLIENT",IF(E2398=0,WORKDAY(A2398-1,1,Dias_Sem_Compensacao!$A$2:$A$500),WORKDAY(A2398,E2398,Dias_Sem_Compensacao!$A$2:$A$500)),"")</f>
        <v>46314</v>
      </c>
      <c r="H2398" s="25">
        <v>0</v>
      </c>
      <c r="I2398" s="28">
        <v>46311</v>
      </c>
      <c r="J2398" t="s">
        <v>2857</v>
      </c>
      <c r="K2398" t="s">
        <v>2858</v>
      </c>
    </row>
    <row r="2399" spans="1:11" hidden="1">
      <c r="A2399" s="28">
        <v>46311</v>
      </c>
      <c r="B2399" t="s">
        <v>186</v>
      </c>
      <c r="C2399" t="s">
        <v>203</v>
      </c>
      <c r="D2399" t="s">
        <v>217</v>
      </c>
      <c r="E2399">
        <f>IF(LEFT(D2399,6)="CLIENT",IFERROR(VLOOKUP(C2399,Config_Carteiras!$A:$B,2,FALSE),1),"")</f>
        <v>1</v>
      </c>
      <c r="F2399" s="25">
        <v>868.09</v>
      </c>
      <c r="G2399" s="28">
        <f>IF(LEFT(D2399,6)="CLIENT",IF(E2399=0,WORKDAY(A2399-1,1,Dias_Sem_Compensacao!$A$2:$A$500),WORKDAY(A2399,E2399,Dias_Sem_Compensacao!$A$2:$A$500)),"")</f>
        <v>46314</v>
      </c>
      <c r="H2399" s="25">
        <v>0</v>
      </c>
      <c r="I2399" s="28">
        <v>46311</v>
      </c>
      <c r="J2399" t="s">
        <v>1764</v>
      </c>
      <c r="K2399" t="s">
        <v>1765</v>
      </c>
    </row>
    <row r="2400" spans="1:11" hidden="1">
      <c r="A2400" s="28">
        <v>46311</v>
      </c>
      <c r="B2400" t="s">
        <v>186</v>
      </c>
      <c r="C2400" t="s">
        <v>203</v>
      </c>
      <c r="D2400" t="s">
        <v>217</v>
      </c>
      <c r="E2400">
        <f>IF(LEFT(D2400,6)="CLIENT",IFERROR(VLOOKUP(C2400,Config_Carteiras!$A:$B,2,FALSE),1),"")</f>
        <v>1</v>
      </c>
      <c r="F2400" s="25">
        <v>660</v>
      </c>
      <c r="G2400" s="28">
        <f>IF(LEFT(D2400,6)="CLIENT",IF(E2400=0,WORKDAY(A2400-1,1,Dias_Sem_Compensacao!$A$2:$A$500),WORKDAY(A2400,E2400,Dias_Sem_Compensacao!$A$2:$A$500)),"")</f>
        <v>46314</v>
      </c>
      <c r="H2400" s="25">
        <v>0</v>
      </c>
      <c r="I2400" s="28">
        <v>46311</v>
      </c>
      <c r="J2400" t="s">
        <v>2859</v>
      </c>
      <c r="K2400" t="s">
        <v>2860</v>
      </c>
    </row>
    <row r="2401" spans="1:11" hidden="1">
      <c r="A2401" s="28">
        <v>46311</v>
      </c>
      <c r="B2401" t="s">
        <v>186</v>
      </c>
      <c r="C2401" t="s">
        <v>203</v>
      </c>
      <c r="D2401" t="s">
        <v>217</v>
      </c>
      <c r="E2401">
        <f>IF(LEFT(D2401,6)="CLIENT",IFERROR(VLOOKUP(C2401,Config_Carteiras!$A:$B,2,FALSE),1),"")</f>
        <v>1</v>
      </c>
      <c r="F2401" s="25">
        <v>1104</v>
      </c>
      <c r="G2401" s="28">
        <f>IF(LEFT(D2401,6)="CLIENT",IF(E2401=0,WORKDAY(A2401-1,1,Dias_Sem_Compensacao!$A$2:$A$500),WORKDAY(A2401,E2401,Dias_Sem_Compensacao!$A$2:$A$500)),"")</f>
        <v>46314</v>
      </c>
      <c r="H2401" s="25">
        <v>0</v>
      </c>
      <c r="I2401" s="28">
        <v>46311</v>
      </c>
      <c r="J2401" t="s">
        <v>2222</v>
      </c>
      <c r="K2401" t="s">
        <v>2861</v>
      </c>
    </row>
    <row r="2402" spans="1:11" hidden="1">
      <c r="A2402" s="28">
        <v>46311</v>
      </c>
      <c r="B2402" t="s">
        <v>186</v>
      </c>
      <c r="C2402" t="s">
        <v>203</v>
      </c>
      <c r="D2402" t="s">
        <v>217</v>
      </c>
      <c r="E2402">
        <f>IF(LEFT(D2402,6)="CLIENT",IFERROR(VLOOKUP(C2402,Config_Carteiras!$A:$B,2,FALSE),1),"")</f>
        <v>1</v>
      </c>
      <c r="F2402" s="25">
        <v>1548.05</v>
      </c>
      <c r="G2402" s="28">
        <f>IF(LEFT(D2402,6)="CLIENT",IF(E2402=0,WORKDAY(A2402-1,1,Dias_Sem_Compensacao!$A$2:$A$500),WORKDAY(A2402,E2402,Dias_Sem_Compensacao!$A$2:$A$500)),"")</f>
        <v>46314</v>
      </c>
      <c r="H2402" s="25">
        <v>0</v>
      </c>
      <c r="I2402" s="28">
        <v>46311</v>
      </c>
      <c r="J2402" t="s">
        <v>1766</v>
      </c>
      <c r="K2402" t="s">
        <v>1767</v>
      </c>
    </row>
    <row r="2403" spans="1:11" hidden="1">
      <c r="A2403" s="28">
        <v>46311</v>
      </c>
      <c r="B2403" t="s">
        <v>186</v>
      </c>
      <c r="C2403" t="s">
        <v>203</v>
      </c>
      <c r="D2403" t="s">
        <v>217</v>
      </c>
      <c r="E2403">
        <f>IF(LEFT(D2403,6)="CLIENT",IFERROR(VLOOKUP(C2403,Config_Carteiras!$A:$B,2,FALSE),1),"")</f>
        <v>1</v>
      </c>
      <c r="F2403" s="25">
        <v>1751.97</v>
      </c>
      <c r="G2403" s="28">
        <f>IF(LEFT(D2403,6)="CLIENT",IF(E2403=0,WORKDAY(A2403-1,1,Dias_Sem_Compensacao!$A$2:$A$500),WORKDAY(A2403,E2403,Dias_Sem_Compensacao!$A$2:$A$500)),"")</f>
        <v>46314</v>
      </c>
      <c r="H2403" s="25">
        <v>0</v>
      </c>
      <c r="I2403" s="28">
        <v>46311</v>
      </c>
      <c r="J2403" t="s">
        <v>1772</v>
      </c>
      <c r="K2403" t="s">
        <v>1773</v>
      </c>
    </row>
    <row r="2404" spans="1:11" hidden="1">
      <c r="A2404" s="28">
        <v>46311</v>
      </c>
      <c r="B2404" t="s">
        <v>186</v>
      </c>
      <c r="C2404" t="s">
        <v>203</v>
      </c>
      <c r="D2404" t="s">
        <v>217</v>
      </c>
      <c r="E2404">
        <f>IF(LEFT(D2404,6)="CLIENT",IFERROR(VLOOKUP(C2404,Config_Carteiras!$A:$B,2,FALSE),1),"")</f>
        <v>1</v>
      </c>
      <c r="F2404" s="25">
        <v>496</v>
      </c>
      <c r="G2404" s="28">
        <f>IF(LEFT(D2404,6)="CLIENT",IF(E2404=0,WORKDAY(A2404-1,1,Dias_Sem_Compensacao!$A$2:$A$500),WORKDAY(A2404,E2404,Dias_Sem_Compensacao!$A$2:$A$500)),"")</f>
        <v>46314</v>
      </c>
      <c r="H2404" s="25">
        <v>0</v>
      </c>
      <c r="I2404" s="28">
        <v>46311</v>
      </c>
      <c r="J2404" t="s">
        <v>2862</v>
      </c>
      <c r="K2404" t="s">
        <v>2863</v>
      </c>
    </row>
    <row r="2405" spans="1:11" hidden="1">
      <c r="A2405" s="28">
        <v>46311</v>
      </c>
      <c r="B2405" t="s">
        <v>186</v>
      </c>
      <c r="C2405" t="s">
        <v>203</v>
      </c>
      <c r="D2405" t="s">
        <v>217</v>
      </c>
      <c r="E2405">
        <f>IF(LEFT(D2405,6)="CLIENT",IFERROR(VLOOKUP(C2405,Config_Carteiras!$A:$B,2,FALSE),1),"")</f>
        <v>1</v>
      </c>
      <c r="F2405" s="25">
        <v>4383</v>
      </c>
      <c r="G2405" s="28">
        <f>IF(LEFT(D2405,6)="CLIENT",IF(E2405=0,WORKDAY(A2405-1,1,Dias_Sem_Compensacao!$A$2:$A$500),WORKDAY(A2405,E2405,Dias_Sem_Compensacao!$A$2:$A$500)),"")</f>
        <v>46314</v>
      </c>
      <c r="H2405" s="25">
        <v>0</v>
      </c>
      <c r="I2405" s="28">
        <v>46311</v>
      </c>
      <c r="J2405" t="s">
        <v>2864</v>
      </c>
      <c r="K2405" t="s">
        <v>2865</v>
      </c>
    </row>
    <row r="2406" spans="1:11" hidden="1">
      <c r="A2406" s="28">
        <v>46311</v>
      </c>
      <c r="B2406" t="s">
        <v>186</v>
      </c>
      <c r="C2406" t="s">
        <v>203</v>
      </c>
      <c r="D2406" t="s">
        <v>217</v>
      </c>
      <c r="E2406">
        <f>IF(LEFT(D2406,6)="CLIENT",IFERROR(VLOOKUP(C2406,Config_Carteiras!$A:$B,2,FALSE),1),"")</f>
        <v>1</v>
      </c>
      <c r="F2406" s="25">
        <v>17392.82</v>
      </c>
      <c r="G2406" s="28">
        <f>IF(LEFT(D2406,6)="CLIENT",IF(E2406=0,WORKDAY(A2406-1,1,Dias_Sem_Compensacao!$A$2:$A$500),WORKDAY(A2406,E2406,Dias_Sem_Compensacao!$A$2:$A$500)),"")</f>
        <v>46314</v>
      </c>
      <c r="H2406" s="25">
        <v>0</v>
      </c>
      <c r="I2406" s="28">
        <v>46311</v>
      </c>
      <c r="J2406" t="s">
        <v>1776</v>
      </c>
      <c r="K2406" t="s">
        <v>1777</v>
      </c>
    </row>
    <row r="2407" spans="1:11" hidden="1">
      <c r="A2407" s="28">
        <v>46311</v>
      </c>
      <c r="B2407" t="s">
        <v>186</v>
      </c>
      <c r="C2407" t="s">
        <v>203</v>
      </c>
      <c r="D2407" t="s">
        <v>217</v>
      </c>
      <c r="E2407">
        <f>IF(LEFT(D2407,6)="CLIENT",IFERROR(VLOOKUP(C2407,Config_Carteiras!$A:$B,2,FALSE),1),"")</f>
        <v>1</v>
      </c>
      <c r="F2407" s="25">
        <v>5387</v>
      </c>
      <c r="G2407" s="28">
        <f>IF(LEFT(D2407,6)="CLIENT",IF(E2407=0,WORKDAY(A2407-1,1,Dias_Sem_Compensacao!$A$2:$A$500),WORKDAY(A2407,E2407,Dias_Sem_Compensacao!$A$2:$A$500)),"")</f>
        <v>46314</v>
      </c>
      <c r="H2407" s="25">
        <v>0</v>
      </c>
      <c r="I2407" s="28">
        <v>46311</v>
      </c>
      <c r="J2407" t="s">
        <v>2866</v>
      </c>
      <c r="K2407" t="s">
        <v>2867</v>
      </c>
    </row>
    <row r="2408" spans="1:11" hidden="1">
      <c r="A2408" s="28">
        <v>46311</v>
      </c>
      <c r="B2408" t="s">
        <v>186</v>
      </c>
      <c r="C2408" t="s">
        <v>203</v>
      </c>
      <c r="D2408" t="s">
        <v>217</v>
      </c>
      <c r="E2408">
        <f>IF(LEFT(D2408,6)="CLIENT",IFERROR(VLOOKUP(C2408,Config_Carteiras!$A:$B,2,FALSE),1),"")</f>
        <v>1</v>
      </c>
      <c r="F2408" s="25">
        <v>4885</v>
      </c>
      <c r="G2408" s="28">
        <f>IF(LEFT(D2408,6)="CLIENT",IF(E2408=0,WORKDAY(A2408-1,1,Dias_Sem_Compensacao!$A$2:$A$500),WORKDAY(A2408,E2408,Dias_Sem_Compensacao!$A$2:$A$500)),"")</f>
        <v>46314</v>
      </c>
      <c r="H2408" s="25">
        <v>0</v>
      </c>
      <c r="I2408" s="28">
        <v>46311</v>
      </c>
      <c r="J2408" t="s">
        <v>2868</v>
      </c>
      <c r="K2408" t="s">
        <v>2869</v>
      </c>
    </row>
    <row r="2409" spans="1:11" hidden="1">
      <c r="A2409" s="28">
        <v>46311</v>
      </c>
      <c r="B2409" t="s">
        <v>186</v>
      </c>
      <c r="C2409" t="s">
        <v>203</v>
      </c>
      <c r="D2409" t="s">
        <v>217</v>
      </c>
      <c r="E2409">
        <f>IF(LEFT(D2409,6)="CLIENT",IFERROR(VLOOKUP(C2409,Config_Carteiras!$A:$B,2,FALSE),1),"")</f>
        <v>1</v>
      </c>
      <c r="F2409" s="25">
        <v>815</v>
      </c>
      <c r="G2409" s="28">
        <f>IF(LEFT(D2409,6)="CLIENT",IF(E2409=0,WORKDAY(A2409-1,1,Dias_Sem_Compensacao!$A$2:$A$500),WORKDAY(A2409,E2409,Dias_Sem_Compensacao!$A$2:$A$500)),"")</f>
        <v>46314</v>
      </c>
      <c r="H2409" s="25">
        <v>0</v>
      </c>
      <c r="I2409" s="28">
        <v>46311</v>
      </c>
      <c r="J2409" t="s">
        <v>2870</v>
      </c>
      <c r="K2409" t="s">
        <v>2871</v>
      </c>
    </row>
    <row r="2410" spans="1:11" hidden="1">
      <c r="A2410" s="28">
        <v>46311</v>
      </c>
      <c r="B2410" t="s">
        <v>186</v>
      </c>
      <c r="C2410" t="s">
        <v>203</v>
      </c>
      <c r="D2410" t="s">
        <v>217</v>
      </c>
      <c r="E2410">
        <f>IF(LEFT(D2410,6)="CLIENT",IFERROR(VLOOKUP(C2410,Config_Carteiras!$A:$B,2,FALSE),1),"")</f>
        <v>1</v>
      </c>
      <c r="F2410" s="25">
        <v>400</v>
      </c>
      <c r="G2410" s="28">
        <f>IF(LEFT(D2410,6)="CLIENT",IF(E2410=0,WORKDAY(A2410-1,1,Dias_Sem_Compensacao!$A$2:$A$500),WORKDAY(A2410,E2410,Dias_Sem_Compensacao!$A$2:$A$500)),"")</f>
        <v>46314</v>
      </c>
      <c r="H2410" s="25">
        <v>0</v>
      </c>
      <c r="I2410" s="28">
        <v>46311</v>
      </c>
      <c r="J2410" t="s">
        <v>2872</v>
      </c>
      <c r="K2410" t="s">
        <v>2873</v>
      </c>
    </row>
    <row r="2411" spans="1:11" hidden="1">
      <c r="A2411" s="28">
        <v>46311</v>
      </c>
      <c r="B2411" t="s">
        <v>186</v>
      </c>
      <c r="C2411" t="s">
        <v>203</v>
      </c>
      <c r="D2411" t="s">
        <v>217</v>
      </c>
      <c r="E2411">
        <f>IF(LEFT(D2411,6)="CLIENT",IFERROR(VLOOKUP(C2411,Config_Carteiras!$A:$B,2,FALSE),1),"")</f>
        <v>1</v>
      </c>
      <c r="F2411" s="25">
        <v>494</v>
      </c>
      <c r="G2411" s="28">
        <f>IF(LEFT(D2411,6)="CLIENT",IF(E2411=0,WORKDAY(A2411-1,1,Dias_Sem_Compensacao!$A$2:$A$500),WORKDAY(A2411,E2411,Dias_Sem_Compensacao!$A$2:$A$500)),"")</f>
        <v>46314</v>
      </c>
      <c r="H2411" s="25">
        <v>0</v>
      </c>
      <c r="I2411" s="28">
        <v>46311</v>
      </c>
      <c r="J2411" t="s">
        <v>2313</v>
      </c>
      <c r="K2411" t="s">
        <v>2314</v>
      </c>
    </row>
    <row r="2412" spans="1:11" hidden="1">
      <c r="A2412" s="28">
        <v>46311</v>
      </c>
      <c r="B2412" t="s">
        <v>186</v>
      </c>
      <c r="C2412" t="s">
        <v>203</v>
      </c>
      <c r="D2412" t="s">
        <v>217</v>
      </c>
      <c r="E2412">
        <f>IF(LEFT(D2412,6)="CLIENT",IFERROR(VLOOKUP(C2412,Config_Carteiras!$A:$B,2,FALSE),1),"")</f>
        <v>1</v>
      </c>
      <c r="F2412" s="25">
        <v>1708.48</v>
      </c>
      <c r="G2412" s="28">
        <f>IF(LEFT(D2412,6)="CLIENT",IF(E2412=0,WORKDAY(A2412-1,1,Dias_Sem_Compensacao!$A$2:$A$500),WORKDAY(A2412,E2412,Dias_Sem_Compensacao!$A$2:$A$500)),"")</f>
        <v>46314</v>
      </c>
      <c r="H2412" s="25">
        <v>0</v>
      </c>
      <c r="I2412" s="28">
        <v>46311</v>
      </c>
      <c r="J2412" t="s">
        <v>1778</v>
      </c>
      <c r="K2412" t="s">
        <v>1779</v>
      </c>
    </row>
    <row r="2413" spans="1:11" hidden="1">
      <c r="A2413" s="28">
        <v>46311</v>
      </c>
      <c r="B2413" t="s">
        <v>186</v>
      </c>
      <c r="C2413" t="s">
        <v>203</v>
      </c>
      <c r="D2413" t="s">
        <v>217</v>
      </c>
      <c r="E2413">
        <f>IF(LEFT(D2413,6)="CLIENT",IFERROR(VLOOKUP(C2413,Config_Carteiras!$A:$B,2,FALSE),1),"")</f>
        <v>1</v>
      </c>
      <c r="F2413" s="25">
        <v>1071</v>
      </c>
      <c r="G2413" s="28">
        <f>IF(LEFT(D2413,6)="CLIENT",IF(E2413=0,WORKDAY(A2413-1,1,Dias_Sem_Compensacao!$A$2:$A$500),WORKDAY(A2413,E2413,Dias_Sem_Compensacao!$A$2:$A$500)),"")</f>
        <v>46314</v>
      </c>
      <c r="H2413" s="25">
        <v>0</v>
      </c>
      <c r="I2413" s="28">
        <v>46311</v>
      </c>
      <c r="J2413" t="s">
        <v>2874</v>
      </c>
      <c r="K2413" t="s">
        <v>2875</v>
      </c>
    </row>
    <row r="2414" spans="1:11" hidden="1">
      <c r="A2414" s="28">
        <v>46311</v>
      </c>
      <c r="B2414" t="s">
        <v>186</v>
      </c>
      <c r="C2414" t="s">
        <v>203</v>
      </c>
      <c r="D2414" t="s">
        <v>217</v>
      </c>
      <c r="E2414">
        <f>IF(LEFT(D2414,6)="CLIENT",IFERROR(VLOOKUP(C2414,Config_Carteiras!$A:$B,2,FALSE),1),"")</f>
        <v>1</v>
      </c>
      <c r="F2414" s="25">
        <v>890.76</v>
      </c>
      <c r="G2414" s="28">
        <f>IF(LEFT(D2414,6)="CLIENT",IF(E2414=0,WORKDAY(A2414-1,1,Dias_Sem_Compensacao!$A$2:$A$500),WORKDAY(A2414,E2414,Dias_Sem_Compensacao!$A$2:$A$500)),"")</f>
        <v>46314</v>
      </c>
      <c r="H2414" s="25">
        <v>0</v>
      </c>
      <c r="I2414" s="28">
        <v>46311</v>
      </c>
      <c r="J2414" t="s">
        <v>1618</v>
      </c>
      <c r="K2414" t="s">
        <v>1619</v>
      </c>
    </row>
    <row r="2415" spans="1:11" hidden="1">
      <c r="A2415" s="28">
        <v>46311</v>
      </c>
      <c r="B2415" t="s">
        <v>186</v>
      </c>
      <c r="C2415" t="s">
        <v>203</v>
      </c>
      <c r="D2415" t="s">
        <v>217</v>
      </c>
      <c r="E2415">
        <f>IF(LEFT(D2415,6)="CLIENT",IFERROR(VLOOKUP(C2415,Config_Carteiras!$A:$B,2,FALSE),1),"")</f>
        <v>1</v>
      </c>
      <c r="F2415" s="25">
        <v>3675</v>
      </c>
      <c r="G2415" s="28">
        <f>IF(LEFT(D2415,6)="CLIENT",IF(E2415=0,WORKDAY(A2415-1,1,Dias_Sem_Compensacao!$A$2:$A$500),WORKDAY(A2415,E2415,Dias_Sem_Compensacao!$A$2:$A$500)),"")</f>
        <v>46314</v>
      </c>
      <c r="H2415" s="25">
        <v>0</v>
      </c>
      <c r="I2415" s="28">
        <v>46311</v>
      </c>
      <c r="J2415" t="s">
        <v>2876</v>
      </c>
      <c r="K2415" t="s">
        <v>2877</v>
      </c>
    </row>
    <row r="2416" spans="1:11" hidden="1">
      <c r="A2416" s="28">
        <v>46311</v>
      </c>
      <c r="B2416" t="s">
        <v>186</v>
      </c>
      <c r="C2416" t="s">
        <v>203</v>
      </c>
      <c r="D2416" t="s">
        <v>217</v>
      </c>
      <c r="E2416">
        <f>IF(LEFT(D2416,6)="CLIENT",IFERROR(VLOOKUP(C2416,Config_Carteiras!$A:$B,2,FALSE),1),"")</f>
        <v>1</v>
      </c>
      <c r="F2416" s="25">
        <v>1275</v>
      </c>
      <c r="G2416" s="28">
        <f>IF(LEFT(D2416,6)="CLIENT",IF(E2416=0,WORKDAY(A2416-1,1,Dias_Sem_Compensacao!$A$2:$A$500),WORKDAY(A2416,E2416,Dias_Sem_Compensacao!$A$2:$A$500)),"")</f>
        <v>46314</v>
      </c>
      <c r="H2416" s="25">
        <v>0</v>
      </c>
      <c r="I2416" s="28">
        <v>46311</v>
      </c>
      <c r="J2416" t="s">
        <v>2878</v>
      </c>
      <c r="K2416" t="s">
        <v>2879</v>
      </c>
    </row>
    <row r="2417" spans="1:11" hidden="1">
      <c r="A2417" s="28">
        <v>46311</v>
      </c>
      <c r="B2417" t="s">
        <v>186</v>
      </c>
      <c r="C2417" t="s">
        <v>203</v>
      </c>
      <c r="D2417" t="s">
        <v>217</v>
      </c>
      <c r="E2417">
        <f>IF(LEFT(D2417,6)="CLIENT",IFERROR(VLOOKUP(C2417,Config_Carteiras!$A:$B,2,FALSE),1),"")</f>
        <v>1</v>
      </c>
      <c r="F2417" s="25">
        <v>3843.26</v>
      </c>
      <c r="G2417" s="28">
        <f>IF(LEFT(D2417,6)="CLIENT",IF(E2417=0,WORKDAY(A2417-1,1,Dias_Sem_Compensacao!$A$2:$A$500),WORKDAY(A2417,E2417,Dias_Sem_Compensacao!$A$2:$A$500)),"")</f>
        <v>46314</v>
      </c>
      <c r="H2417" s="25">
        <v>0</v>
      </c>
      <c r="I2417" s="28">
        <v>46311</v>
      </c>
      <c r="J2417" t="s">
        <v>1620</v>
      </c>
      <c r="K2417" t="s">
        <v>1621</v>
      </c>
    </row>
    <row r="2418" spans="1:11" hidden="1">
      <c r="A2418" s="28">
        <v>46311</v>
      </c>
      <c r="B2418" t="s">
        <v>186</v>
      </c>
      <c r="C2418" t="s">
        <v>203</v>
      </c>
      <c r="D2418" t="s">
        <v>217</v>
      </c>
      <c r="E2418">
        <f>IF(LEFT(D2418,6)="CLIENT",IFERROR(VLOOKUP(C2418,Config_Carteiras!$A:$B,2,FALSE),1),"")</f>
        <v>1</v>
      </c>
      <c r="F2418" s="25">
        <v>4704.51</v>
      </c>
      <c r="G2418" s="28">
        <f>IF(LEFT(D2418,6)="CLIENT",IF(E2418=0,WORKDAY(A2418-1,1,Dias_Sem_Compensacao!$A$2:$A$500),WORKDAY(A2418,E2418,Dias_Sem_Compensacao!$A$2:$A$500)),"")</f>
        <v>46314</v>
      </c>
      <c r="H2418" s="25">
        <v>0</v>
      </c>
      <c r="I2418" s="28">
        <v>46311</v>
      </c>
      <c r="J2418" t="s">
        <v>2880</v>
      </c>
      <c r="K2418" t="s">
        <v>2881</v>
      </c>
    </row>
    <row r="2419" spans="1:11" hidden="1">
      <c r="A2419" s="28">
        <v>46311</v>
      </c>
      <c r="B2419" t="s">
        <v>186</v>
      </c>
      <c r="C2419" t="s">
        <v>203</v>
      </c>
      <c r="D2419" t="s">
        <v>217</v>
      </c>
      <c r="E2419">
        <f>IF(LEFT(D2419,6)="CLIENT",IFERROR(VLOOKUP(C2419,Config_Carteiras!$A:$B,2,FALSE),1),"")</f>
        <v>1</v>
      </c>
      <c r="F2419" s="25">
        <v>448.58</v>
      </c>
      <c r="G2419" s="28">
        <f>IF(LEFT(D2419,6)="CLIENT",IF(E2419=0,WORKDAY(A2419-1,1,Dias_Sem_Compensacao!$A$2:$A$500),WORKDAY(A2419,E2419,Dias_Sem_Compensacao!$A$2:$A$500)),"")</f>
        <v>46314</v>
      </c>
      <c r="H2419" s="25">
        <v>0</v>
      </c>
      <c r="I2419" s="28">
        <v>46311</v>
      </c>
      <c r="J2419" t="s">
        <v>2317</v>
      </c>
      <c r="K2419" t="s">
        <v>2318</v>
      </c>
    </row>
    <row r="2420" spans="1:11" hidden="1">
      <c r="A2420" s="28">
        <v>46311</v>
      </c>
      <c r="B2420" t="s">
        <v>186</v>
      </c>
      <c r="C2420" t="s">
        <v>203</v>
      </c>
      <c r="D2420" t="s">
        <v>217</v>
      </c>
      <c r="E2420">
        <f>IF(LEFT(D2420,6)="CLIENT",IFERROR(VLOOKUP(C2420,Config_Carteiras!$A:$B,2,FALSE),1),"")</f>
        <v>1</v>
      </c>
      <c r="F2420" s="25">
        <v>1376.74</v>
      </c>
      <c r="G2420" s="28">
        <f>IF(LEFT(D2420,6)="CLIENT",IF(E2420=0,WORKDAY(A2420-1,1,Dias_Sem_Compensacao!$A$2:$A$500),WORKDAY(A2420,E2420,Dias_Sem_Compensacao!$A$2:$A$500)),"")</f>
        <v>46314</v>
      </c>
      <c r="H2420" s="25">
        <v>0</v>
      </c>
      <c r="I2420" s="28">
        <v>46311</v>
      </c>
      <c r="J2420" t="s">
        <v>634</v>
      </c>
      <c r="K2420" t="s">
        <v>2882</v>
      </c>
    </row>
    <row r="2421" spans="1:11" hidden="1">
      <c r="A2421" s="28">
        <v>46311</v>
      </c>
      <c r="B2421" t="s">
        <v>186</v>
      </c>
      <c r="C2421" t="s">
        <v>203</v>
      </c>
      <c r="D2421" t="s">
        <v>217</v>
      </c>
      <c r="E2421">
        <f>IF(LEFT(D2421,6)="CLIENT",IFERROR(VLOOKUP(C2421,Config_Carteiras!$A:$B,2,FALSE),1),"")</f>
        <v>1</v>
      </c>
      <c r="F2421" s="25">
        <v>663.38</v>
      </c>
      <c r="G2421" s="28">
        <f>IF(LEFT(D2421,6)="CLIENT",IF(E2421=0,WORKDAY(A2421-1,1,Dias_Sem_Compensacao!$A$2:$A$500),WORKDAY(A2421,E2421,Dias_Sem_Compensacao!$A$2:$A$500)),"")</f>
        <v>46314</v>
      </c>
      <c r="H2421" s="25">
        <v>0</v>
      </c>
      <c r="I2421" s="28">
        <v>46311</v>
      </c>
      <c r="J2421" t="s">
        <v>2883</v>
      </c>
      <c r="K2421" t="s">
        <v>2884</v>
      </c>
    </row>
    <row r="2422" spans="1:11" hidden="1">
      <c r="A2422" s="28">
        <v>46311</v>
      </c>
      <c r="B2422" t="s">
        <v>186</v>
      </c>
      <c r="C2422" t="s">
        <v>203</v>
      </c>
      <c r="D2422" t="s">
        <v>217</v>
      </c>
      <c r="E2422">
        <f>IF(LEFT(D2422,6)="CLIENT",IFERROR(VLOOKUP(C2422,Config_Carteiras!$A:$B,2,FALSE),1),"")</f>
        <v>1</v>
      </c>
      <c r="F2422" s="25">
        <v>1291</v>
      </c>
      <c r="G2422" s="28">
        <f>IF(LEFT(D2422,6)="CLIENT",IF(E2422=0,WORKDAY(A2422-1,1,Dias_Sem_Compensacao!$A$2:$A$500),WORKDAY(A2422,E2422,Dias_Sem_Compensacao!$A$2:$A$500)),"")</f>
        <v>46314</v>
      </c>
      <c r="H2422" s="25">
        <v>0</v>
      </c>
      <c r="I2422" s="28">
        <v>46311</v>
      </c>
      <c r="J2422" t="s">
        <v>2885</v>
      </c>
      <c r="K2422" t="s">
        <v>2886</v>
      </c>
    </row>
    <row r="2423" spans="1:11" hidden="1">
      <c r="A2423" s="28">
        <v>46311</v>
      </c>
      <c r="B2423" t="s">
        <v>186</v>
      </c>
      <c r="C2423" t="s">
        <v>203</v>
      </c>
      <c r="D2423" t="s">
        <v>217</v>
      </c>
      <c r="E2423">
        <f>IF(LEFT(D2423,6)="CLIENT",IFERROR(VLOOKUP(C2423,Config_Carteiras!$A:$B,2,FALSE),1),"")</f>
        <v>1</v>
      </c>
      <c r="F2423" s="25">
        <v>1393.51</v>
      </c>
      <c r="G2423" s="28">
        <f>IF(LEFT(D2423,6)="CLIENT",IF(E2423=0,WORKDAY(A2423-1,1,Dias_Sem_Compensacao!$A$2:$A$500),WORKDAY(A2423,E2423,Dias_Sem_Compensacao!$A$2:$A$500)),"")</f>
        <v>46314</v>
      </c>
      <c r="H2423" s="25">
        <v>0</v>
      </c>
      <c r="I2423" s="28">
        <v>46311</v>
      </c>
      <c r="J2423" t="s">
        <v>1789</v>
      </c>
      <c r="K2423" t="s">
        <v>1790</v>
      </c>
    </row>
    <row r="2424" spans="1:11" hidden="1">
      <c r="A2424" s="28">
        <v>46311</v>
      </c>
      <c r="B2424" t="s">
        <v>186</v>
      </c>
      <c r="C2424" t="s">
        <v>203</v>
      </c>
      <c r="D2424" t="s">
        <v>217</v>
      </c>
      <c r="E2424">
        <f>IF(LEFT(D2424,6)="CLIENT",IFERROR(VLOOKUP(C2424,Config_Carteiras!$A:$B,2,FALSE),1),"")</f>
        <v>1</v>
      </c>
      <c r="F2424" s="25">
        <v>3870.86</v>
      </c>
      <c r="G2424" s="28">
        <f>IF(LEFT(D2424,6)="CLIENT",IF(E2424=0,WORKDAY(A2424-1,1,Dias_Sem_Compensacao!$A$2:$A$500),WORKDAY(A2424,E2424,Dias_Sem_Compensacao!$A$2:$A$500)),"")</f>
        <v>46314</v>
      </c>
      <c r="H2424" s="25">
        <v>0</v>
      </c>
      <c r="I2424" s="28">
        <v>46311</v>
      </c>
      <c r="J2424" t="s">
        <v>2319</v>
      </c>
      <c r="K2424" t="s">
        <v>2320</v>
      </c>
    </row>
    <row r="2425" spans="1:11" hidden="1">
      <c r="A2425" s="28">
        <v>46311</v>
      </c>
      <c r="B2425" t="s">
        <v>186</v>
      </c>
      <c r="C2425" t="s">
        <v>203</v>
      </c>
      <c r="D2425" t="s">
        <v>217</v>
      </c>
      <c r="E2425">
        <f>IF(LEFT(D2425,6)="CLIENT",IFERROR(VLOOKUP(C2425,Config_Carteiras!$A:$B,2,FALSE),1),"")</f>
        <v>1</v>
      </c>
      <c r="F2425" s="25">
        <v>843.05</v>
      </c>
      <c r="G2425" s="28">
        <f>IF(LEFT(D2425,6)="CLIENT",IF(E2425=0,WORKDAY(A2425-1,1,Dias_Sem_Compensacao!$A$2:$A$500),WORKDAY(A2425,E2425,Dias_Sem_Compensacao!$A$2:$A$500)),"")</f>
        <v>46314</v>
      </c>
      <c r="H2425" s="25">
        <v>0</v>
      </c>
      <c r="I2425" s="28">
        <v>46311</v>
      </c>
      <c r="J2425" t="s">
        <v>2887</v>
      </c>
      <c r="K2425" t="s">
        <v>2888</v>
      </c>
    </row>
    <row r="2426" spans="1:11" hidden="1">
      <c r="A2426" s="28">
        <v>46311</v>
      </c>
      <c r="B2426" t="s">
        <v>186</v>
      </c>
      <c r="C2426" t="s">
        <v>203</v>
      </c>
      <c r="D2426" t="s">
        <v>217</v>
      </c>
      <c r="E2426">
        <f>IF(LEFT(D2426,6)="CLIENT",IFERROR(VLOOKUP(C2426,Config_Carteiras!$A:$B,2,FALSE),1),"")</f>
        <v>1</v>
      </c>
      <c r="F2426" s="25">
        <v>4753</v>
      </c>
      <c r="G2426" s="28">
        <f>IF(LEFT(D2426,6)="CLIENT",IF(E2426=0,WORKDAY(A2426-1,1,Dias_Sem_Compensacao!$A$2:$A$500),WORKDAY(A2426,E2426,Dias_Sem_Compensacao!$A$2:$A$500)),"")</f>
        <v>46314</v>
      </c>
      <c r="H2426" s="25">
        <v>0</v>
      </c>
      <c r="I2426" s="28">
        <v>46311</v>
      </c>
      <c r="J2426" t="s">
        <v>2321</v>
      </c>
      <c r="K2426" t="s">
        <v>2322</v>
      </c>
    </row>
    <row r="2427" spans="1:11" hidden="1">
      <c r="A2427" s="28">
        <v>46311</v>
      </c>
      <c r="B2427" t="s">
        <v>186</v>
      </c>
      <c r="C2427" t="s">
        <v>203</v>
      </c>
      <c r="D2427" t="s">
        <v>217</v>
      </c>
      <c r="E2427">
        <f>IF(LEFT(D2427,6)="CLIENT",IFERROR(VLOOKUP(C2427,Config_Carteiras!$A:$B,2,FALSE),1),"")</f>
        <v>1</v>
      </c>
      <c r="F2427" s="25">
        <v>588.34</v>
      </c>
      <c r="G2427" s="28">
        <f>IF(LEFT(D2427,6)="CLIENT",IF(E2427=0,WORKDAY(A2427-1,1,Dias_Sem_Compensacao!$A$2:$A$500),WORKDAY(A2427,E2427,Dias_Sem_Compensacao!$A$2:$A$500)),"")</f>
        <v>46314</v>
      </c>
      <c r="H2427" s="25">
        <v>0</v>
      </c>
      <c r="I2427" s="28">
        <v>46311</v>
      </c>
      <c r="J2427" t="s">
        <v>2323</v>
      </c>
      <c r="K2427" t="s">
        <v>2324</v>
      </c>
    </row>
    <row r="2428" spans="1:11" hidden="1">
      <c r="A2428" s="28">
        <v>46311</v>
      </c>
      <c r="B2428" t="s">
        <v>186</v>
      </c>
      <c r="C2428" t="s">
        <v>203</v>
      </c>
      <c r="D2428" t="s">
        <v>217</v>
      </c>
      <c r="E2428">
        <f>IF(LEFT(D2428,6)="CLIENT",IFERROR(VLOOKUP(C2428,Config_Carteiras!$A:$B,2,FALSE),1),"")</f>
        <v>1</v>
      </c>
      <c r="F2428" s="25">
        <v>986</v>
      </c>
      <c r="G2428" s="28">
        <f>IF(LEFT(D2428,6)="CLIENT",IF(E2428=0,WORKDAY(A2428-1,1,Dias_Sem_Compensacao!$A$2:$A$500),WORKDAY(A2428,E2428,Dias_Sem_Compensacao!$A$2:$A$500)),"")</f>
        <v>46314</v>
      </c>
      <c r="H2428" s="25">
        <v>0</v>
      </c>
      <c r="I2428" s="28">
        <v>46311</v>
      </c>
      <c r="J2428" t="s">
        <v>2889</v>
      </c>
      <c r="K2428" t="s">
        <v>2890</v>
      </c>
    </row>
    <row r="2429" spans="1:11" hidden="1">
      <c r="A2429" s="28">
        <v>46311</v>
      </c>
      <c r="B2429" t="s">
        <v>186</v>
      </c>
      <c r="C2429" t="s">
        <v>203</v>
      </c>
      <c r="D2429" t="s">
        <v>217</v>
      </c>
      <c r="E2429">
        <f>IF(LEFT(D2429,6)="CLIENT",IFERROR(VLOOKUP(C2429,Config_Carteiras!$A:$B,2,FALSE),1),"")</f>
        <v>1</v>
      </c>
      <c r="F2429" s="25">
        <v>1336</v>
      </c>
      <c r="G2429" s="28">
        <f>IF(LEFT(D2429,6)="CLIENT",IF(E2429=0,WORKDAY(A2429-1,1,Dias_Sem_Compensacao!$A$2:$A$500),WORKDAY(A2429,E2429,Dias_Sem_Compensacao!$A$2:$A$500)),"")</f>
        <v>46314</v>
      </c>
      <c r="H2429" s="25">
        <v>0</v>
      </c>
      <c r="I2429" s="28">
        <v>46311</v>
      </c>
      <c r="K2429" t="s">
        <v>2891</v>
      </c>
    </row>
    <row r="2430" spans="1:11" hidden="1">
      <c r="A2430" s="28">
        <v>46311</v>
      </c>
      <c r="B2430" t="s">
        <v>186</v>
      </c>
      <c r="C2430" t="s">
        <v>203</v>
      </c>
      <c r="D2430" t="s">
        <v>217</v>
      </c>
      <c r="E2430">
        <f>IF(LEFT(D2430,6)="CLIENT",IFERROR(VLOOKUP(C2430,Config_Carteiras!$A:$B,2,FALSE),1),"")</f>
        <v>1</v>
      </c>
      <c r="F2430" s="25">
        <v>986</v>
      </c>
      <c r="G2430" s="28">
        <f>IF(LEFT(D2430,6)="CLIENT",IF(E2430=0,WORKDAY(A2430-1,1,Dias_Sem_Compensacao!$A$2:$A$500),WORKDAY(A2430,E2430,Dias_Sem_Compensacao!$A$2:$A$500)),"")</f>
        <v>46314</v>
      </c>
      <c r="H2430" s="25">
        <v>0</v>
      </c>
      <c r="I2430" s="28">
        <v>46311</v>
      </c>
      <c r="K2430" t="s">
        <v>2892</v>
      </c>
    </row>
    <row r="2431" spans="1:11" hidden="1">
      <c r="A2431" s="28">
        <v>46311</v>
      </c>
      <c r="B2431" t="s">
        <v>186</v>
      </c>
      <c r="C2431" t="s">
        <v>203</v>
      </c>
      <c r="D2431" t="s">
        <v>217</v>
      </c>
      <c r="E2431">
        <f>IF(LEFT(D2431,6)="CLIENT",IFERROR(VLOOKUP(C2431,Config_Carteiras!$A:$B,2,FALSE),1),"")</f>
        <v>1</v>
      </c>
      <c r="F2431" s="25">
        <v>1314.43</v>
      </c>
      <c r="G2431" s="28">
        <f>IF(LEFT(D2431,6)="CLIENT",IF(E2431=0,WORKDAY(A2431-1,1,Dias_Sem_Compensacao!$A$2:$A$500),WORKDAY(A2431,E2431,Dias_Sem_Compensacao!$A$2:$A$500)),"")</f>
        <v>46314</v>
      </c>
      <c r="H2431" s="25">
        <v>0</v>
      </c>
      <c r="I2431" s="28">
        <v>46311</v>
      </c>
      <c r="J2431" t="s">
        <v>1791</v>
      </c>
      <c r="K2431" t="s">
        <v>1792</v>
      </c>
    </row>
    <row r="2432" spans="1:11" hidden="1">
      <c r="A2432" s="28">
        <v>46311</v>
      </c>
      <c r="B2432" t="s">
        <v>186</v>
      </c>
      <c r="C2432" t="s">
        <v>203</v>
      </c>
      <c r="D2432" t="s">
        <v>217</v>
      </c>
      <c r="E2432">
        <f>IF(LEFT(D2432,6)="CLIENT",IFERROR(VLOOKUP(C2432,Config_Carteiras!$A:$B,2,FALSE),1),"")</f>
        <v>1</v>
      </c>
      <c r="F2432" s="25">
        <v>627</v>
      </c>
      <c r="G2432" s="28">
        <f>IF(LEFT(D2432,6)="CLIENT",IF(E2432=0,WORKDAY(A2432-1,1,Dias_Sem_Compensacao!$A$2:$A$500),WORKDAY(A2432,E2432,Dias_Sem_Compensacao!$A$2:$A$500)),"")</f>
        <v>46314</v>
      </c>
      <c r="H2432" s="25">
        <v>0</v>
      </c>
      <c r="I2432" s="28">
        <v>46311</v>
      </c>
      <c r="J2432" t="s">
        <v>2893</v>
      </c>
      <c r="K2432" t="s">
        <v>2894</v>
      </c>
    </row>
    <row r="2433" spans="1:11" hidden="1">
      <c r="A2433" s="28">
        <v>46314</v>
      </c>
      <c r="B2433" t="s">
        <v>186</v>
      </c>
      <c r="C2433" t="s">
        <v>203</v>
      </c>
      <c r="D2433" t="s">
        <v>217</v>
      </c>
      <c r="E2433">
        <f>IF(LEFT(D2433,6)="CLIENT",IFERROR(VLOOKUP(C2433,Config_Carteiras!$A:$B,2,FALSE),1),"")</f>
        <v>1</v>
      </c>
      <c r="F2433" s="25">
        <v>1631.2</v>
      </c>
      <c r="G2433" s="28">
        <f>IF(LEFT(D2433,6)="CLIENT",IF(E2433=0,WORKDAY(A2433-1,1,Dias_Sem_Compensacao!$A$2:$A$500),WORKDAY(A2433,E2433,Dias_Sem_Compensacao!$A$2:$A$500)),"")</f>
        <v>46315</v>
      </c>
      <c r="H2433" s="25">
        <v>0</v>
      </c>
      <c r="I2433" s="28">
        <v>46314</v>
      </c>
      <c r="J2433" t="s">
        <v>2325</v>
      </c>
      <c r="K2433" t="s">
        <v>2326</v>
      </c>
    </row>
    <row r="2434" spans="1:11" hidden="1">
      <c r="A2434" s="28">
        <v>46314</v>
      </c>
      <c r="B2434" t="s">
        <v>186</v>
      </c>
      <c r="C2434" t="s">
        <v>203</v>
      </c>
      <c r="D2434" t="s">
        <v>217</v>
      </c>
      <c r="E2434">
        <f>IF(LEFT(D2434,6)="CLIENT",IFERROR(VLOOKUP(C2434,Config_Carteiras!$A:$B,2,FALSE),1),"")</f>
        <v>1</v>
      </c>
      <c r="F2434" s="25">
        <v>480</v>
      </c>
      <c r="G2434" s="28">
        <f>IF(LEFT(D2434,6)="CLIENT",IF(E2434=0,WORKDAY(A2434-1,1,Dias_Sem_Compensacao!$A$2:$A$500),WORKDAY(A2434,E2434,Dias_Sem_Compensacao!$A$2:$A$500)),"")</f>
        <v>46315</v>
      </c>
      <c r="H2434" s="25">
        <v>0</v>
      </c>
      <c r="I2434" s="28">
        <v>46314</v>
      </c>
      <c r="J2434" t="s">
        <v>539</v>
      </c>
      <c r="K2434" t="s">
        <v>1795</v>
      </c>
    </row>
    <row r="2435" spans="1:11" hidden="1">
      <c r="A2435" s="28">
        <v>46314</v>
      </c>
      <c r="B2435" t="s">
        <v>186</v>
      </c>
      <c r="C2435" t="s">
        <v>203</v>
      </c>
      <c r="D2435" t="s">
        <v>217</v>
      </c>
      <c r="E2435">
        <f>IF(LEFT(D2435,6)="CLIENT",IFERROR(VLOOKUP(C2435,Config_Carteiras!$A:$B,2,FALSE),1),"")</f>
        <v>1</v>
      </c>
      <c r="F2435" s="25">
        <v>1462.19</v>
      </c>
      <c r="G2435" s="28">
        <f>IF(LEFT(D2435,6)="CLIENT",IF(E2435=0,WORKDAY(A2435-1,1,Dias_Sem_Compensacao!$A$2:$A$500),WORKDAY(A2435,E2435,Dias_Sem_Compensacao!$A$2:$A$500)),"")</f>
        <v>46315</v>
      </c>
      <c r="H2435" s="25">
        <v>0</v>
      </c>
      <c r="I2435" s="28">
        <v>46314</v>
      </c>
      <c r="J2435" t="s">
        <v>1101</v>
      </c>
      <c r="K2435" t="s">
        <v>1102</v>
      </c>
    </row>
    <row r="2436" spans="1:11" hidden="1">
      <c r="A2436" s="28">
        <v>46314</v>
      </c>
      <c r="B2436" t="s">
        <v>186</v>
      </c>
      <c r="C2436" t="s">
        <v>203</v>
      </c>
      <c r="D2436" t="s">
        <v>217</v>
      </c>
      <c r="E2436">
        <f>IF(LEFT(D2436,6)="CLIENT",IFERROR(VLOOKUP(C2436,Config_Carteiras!$A:$B,2,FALSE),1),"")</f>
        <v>1</v>
      </c>
      <c r="F2436" s="25">
        <v>908.06</v>
      </c>
      <c r="G2436" s="28">
        <f>IF(LEFT(D2436,6)="CLIENT",IF(E2436=0,WORKDAY(A2436-1,1,Dias_Sem_Compensacao!$A$2:$A$500),WORKDAY(A2436,E2436,Dias_Sem_Compensacao!$A$2:$A$500)),"")</f>
        <v>46315</v>
      </c>
      <c r="H2436" s="25">
        <v>0</v>
      </c>
      <c r="I2436" s="28">
        <v>46314</v>
      </c>
      <c r="J2436" t="s">
        <v>2338</v>
      </c>
      <c r="K2436" t="s">
        <v>2339</v>
      </c>
    </row>
    <row r="2437" spans="1:11" hidden="1">
      <c r="A2437" s="28">
        <v>46314</v>
      </c>
      <c r="B2437" t="s">
        <v>186</v>
      </c>
      <c r="C2437" t="s">
        <v>203</v>
      </c>
      <c r="D2437" t="s">
        <v>217</v>
      </c>
      <c r="E2437">
        <f>IF(LEFT(D2437,6)="CLIENT",IFERROR(VLOOKUP(C2437,Config_Carteiras!$A:$B,2,FALSE),1),"")</f>
        <v>1</v>
      </c>
      <c r="F2437" s="25">
        <v>2975</v>
      </c>
      <c r="G2437" s="28">
        <f>IF(LEFT(D2437,6)="CLIENT",IF(E2437=0,WORKDAY(A2437-1,1,Dias_Sem_Compensacao!$A$2:$A$500),WORKDAY(A2437,E2437,Dias_Sem_Compensacao!$A$2:$A$500)),"")</f>
        <v>46315</v>
      </c>
      <c r="H2437" s="25">
        <v>0</v>
      </c>
      <c r="I2437" s="28">
        <v>46314</v>
      </c>
      <c r="J2437" t="s">
        <v>2345</v>
      </c>
      <c r="K2437" t="s">
        <v>2346</v>
      </c>
    </row>
    <row r="2438" spans="1:11" hidden="1">
      <c r="A2438" s="28">
        <v>46314</v>
      </c>
      <c r="B2438" t="s">
        <v>186</v>
      </c>
      <c r="C2438" t="s">
        <v>203</v>
      </c>
      <c r="D2438" t="s">
        <v>217</v>
      </c>
      <c r="E2438">
        <f>IF(LEFT(D2438,6)="CLIENT",IFERROR(VLOOKUP(C2438,Config_Carteiras!$A:$B,2,FALSE),1),"")</f>
        <v>1</v>
      </c>
      <c r="F2438" s="25">
        <v>658.32</v>
      </c>
      <c r="G2438" s="28">
        <f>IF(LEFT(D2438,6)="CLIENT",IF(E2438=0,WORKDAY(A2438-1,1,Dias_Sem_Compensacao!$A$2:$A$500),WORKDAY(A2438,E2438,Dias_Sem_Compensacao!$A$2:$A$500)),"")</f>
        <v>46315</v>
      </c>
      <c r="H2438" s="25">
        <v>0</v>
      </c>
      <c r="I2438" s="28">
        <v>46314</v>
      </c>
      <c r="J2438" t="s">
        <v>1133</v>
      </c>
      <c r="K2438" t="s">
        <v>2895</v>
      </c>
    </row>
    <row r="2439" spans="1:11" hidden="1">
      <c r="A2439" s="28">
        <v>46314</v>
      </c>
      <c r="B2439" t="s">
        <v>186</v>
      </c>
      <c r="C2439" t="s">
        <v>203</v>
      </c>
      <c r="D2439" t="s">
        <v>217</v>
      </c>
      <c r="E2439">
        <f>IF(LEFT(D2439,6)="CLIENT",IFERROR(VLOOKUP(C2439,Config_Carteiras!$A:$B,2,FALSE),1),"")</f>
        <v>1</v>
      </c>
      <c r="F2439" s="25">
        <v>1981.65</v>
      </c>
      <c r="G2439" s="28">
        <f>IF(LEFT(D2439,6)="CLIENT",IF(E2439=0,WORKDAY(A2439-1,1,Dias_Sem_Compensacao!$A$2:$A$500),WORKDAY(A2439,E2439,Dias_Sem_Compensacao!$A$2:$A$500)),"")</f>
        <v>46315</v>
      </c>
      <c r="H2439" s="25">
        <v>0</v>
      </c>
      <c r="I2439" s="28">
        <v>46314</v>
      </c>
      <c r="J2439" t="s">
        <v>2353</v>
      </c>
      <c r="K2439" t="s">
        <v>2354</v>
      </c>
    </row>
    <row r="2440" spans="1:11" hidden="1">
      <c r="A2440" s="28">
        <v>46314</v>
      </c>
      <c r="B2440" t="s">
        <v>186</v>
      </c>
      <c r="C2440" t="s">
        <v>203</v>
      </c>
      <c r="D2440" t="s">
        <v>217</v>
      </c>
      <c r="E2440">
        <f>IF(LEFT(D2440,6)="CLIENT",IFERROR(VLOOKUP(C2440,Config_Carteiras!$A:$B,2,FALSE),1),"")</f>
        <v>1</v>
      </c>
      <c r="F2440" s="25">
        <v>890</v>
      </c>
      <c r="G2440" s="28">
        <f>IF(LEFT(D2440,6)="CLIENT",IF(E2440=0,WORKDAY(A2440-1,1,Dias_Sem_Compensacao!$A$2:$A$500),WORKDAY(A2440,E2440,Dias_Sem_Compensacao!$A$2:$A$500)),"")</f>
        <v>46315</v>
      </c>
      <c r="H2440" s="25">
        <v>0</v>
      </c>
      <c r="I2440" s="28">
        <v>46314</v>
      </c>
      <c r="J2440" t="s">
        <v>2896</v>
      </c>
      <c r="K2440" t="s">
        <v>2897</v>
      </c>
    </row>
    <row r="2441" spans="1:11" hidden="1">
      <c r="A2441" s="28">
        <v>46314</v>
      </c>
      <c r="B2441" t="s">
        <v>186</v>
      </c>
      <c r="C2441" t="s">
        <v>203</v>
      </c>
      <c r="D2441" t="s">
        <v>217</v>
      </c>
      <c r="E2441">
        <f>IF(LEFT(D2441,6)="CLIENT",IFERROR(VLOOKUP(C2441,Config_Carteiras!$A:$B,2,FALSE),1),"")</f>
        <v>1</v>
      </c>
      <c r="F2441" s="25">
        <v>949.39</v>
      </c>
      <c r="G2441" s="28">
        <f>IF(LEFT(D2441,6)="CLIENT",IF(E2441=0,WORKDAY(A2441-1,1,Dias_Sem_Compensacao!$A$2:$A$500),WORKDAY(A2441,E2441,Dias_Sem_Compensacao!$A$2:$A$500)),"")</f>
        <v>46315</v>
      </c>
      <c r="H2441" s="25">
        <v>0</v>
      </c>
      <c r="I2441" s="28">
        <v>46314</v>
      </c>
      <c r="J2441" t="s">
        <v>1457</v>
      </c>
      <c r="K2441" t="s">
        <v>1798</v>
      </c>
    </row>
    <row r="2442" spans="1:11" hidden="1">
      <c r="A2442" s="28">
        <v>46314</v>
      </c>
      <c r="B2442" t="s">
        <v>186</v>
      </c>
      <c r="C2442" t="s">
        <v>203</v>
      </c>
      <c r="D2442" t="s">
        <v>217</v>
      </c>
      <c r="E2442">
        <f>IF(LEFT(D2442,6)="CLIENT",IFERROR(VLOOKUP(C2442,Config_Carteiras!$A:$B,2,FALSE),1),"")</f>
        <v>1</v>
      </c>
      <c r="F2442" s="25">
        <v>466</v>
      </c>
      <c r="G2442" s="28">
        <f>IF(LEFT(D2442,6)="CLIENT",IF(E2442=0,WORKDAY(A2442-1,1,Dias_Sem_Compensacao!$A$2:$A$500),WORKDAY(A2442,E2442,Dias_Sem_Compensacao!$A$2:$A$500)),"")</f>
        <v>46315</v>
      </c>
      <c r="H2442" s="25">
        <v>0</v>
      </c>
      <c r="I2442" s="28">
        <v>46314</v>
      </c>
      <c r="J2442" t="s">
        <v>1801</v>
      </c>
      <c r="K2442" t="s">
        <v>1802</v>
      </c>
    </row>
    <row r="2443" spans="1:11" hidden="1">
      <c r="A2443" s="28">
        <v>46314</v>
      </c>
      <c r="B2443" t="s">
        <v>186</v>
      </c>
      <c r="C2443" t="s">
        <v>203</v>
      </c>
      <c r="D2443" t="s">
        <v>217</v>
      </c>
      <c r="E2443">
        <f>IF(LEFT(D2443,6)="CLIENT",IFERROR(VLOOKUP(C2443,Config_Carteiras!$A:$B,2,FALSE),1),"")</f>
        <v>1</v>
      </c>
      <c r="F2443" s="25">
        <v>3120</v>
      </c>
      <c r="G2443" s="28">
        <f>IF(LEFT(D2443,6)="CLIENT",IF(E2443=0,WORKDAY(A2443-1,1,Dias_Sem_Compensacao!$A$2:$A$500),WORKDAY(A2443,E2443,Dias_Sem_Compensacao!$A$2:$A$500)),"")</f>
        <v>46315</v>
      </c>
      <c r="H2443" s="25">
        <v>0</v>
      </c>
      <c r="I2443" s="28">
        <v>46314</v>
      </c>
      <c r="J2443" t="s">
        <v>387</v>
      </c>
      <c r="K2443" t="s">
        <v>2898</v>
      </c>
    </row>
    <row r="2444" spans="1:11" hidden="1">
      <c r="A2444" s="28">
        <v>46314</v>
      </c>
      <c r="B2444" t="s">
        <v>186</v>
      </c>
      <c r="C2444" t="s">
        <v>203</v>
      </c>
      <c r="D2444" t="s">
        <v>217</v>
      </c>
      <c r="E2444">
        <f>IF(LEFT(D2444,6)="CLIENT",IFERROR(VLOOKUP(C2444,Config_Carteiras!$A:$B,2,FALSE),1),"")</f>
        <v>1</v>
      </c>
      <c r="F2444" s="25">
        <v>1013</v>
      </c>
      <c r="G2444" s="28">
        <f>IF(LEFT(D2444,6)="CLIENT",IF(E2444=0,WORKDAY(A2444-1,1,Dias_Sem_Compensacao!$A$2:$A$500),WORKDAY(A2444,E2444,Dias_Sem_Compensacao!$A$2:$A$500)),"")</f>
        <v>46315</v>
      </c>
      <c r="H2444" s="25">
        <v>0</v>
      </c>
      <c r="I2444" s="28">
        <v>46314</v>
      </c>
      <c r="J2444" t="s">
        <v>2899</v>
      </c>
      <c r="K2444" t="s">
        <v>2900</v>
      </c>
    </row>
    <row r="2445" spans="1:11" hidden="1">
      <c r="A2445" s="28">
        <v>46314</v>
      </c>
      <c r="B2445" t="s">
        <v>186</v>
      </c>
      <c r="C2445" t="s">
        <v>203</v>
      </c>
      <c r="D2445" t="s">
        <v>217</v>
      </c>
      <c r="E2445">
        <f>IF(LEFT(D2445,6)="CLIENT",IFERROR(VLOOKUP(C2445,Config_Carteiras!$A:$B,2,FALSE),1),"")</f>
        <v>1</v>
      </c>
      <c r="F2445" s="25">
        <v>2188</v>
      </c>
      <c r="G2445" s="28">
        <f>IF(LEFT(D2445,6)="CLIENT",IF(E2445=0,WORKDAY(A2445-1,1,Dias_Sem_Compensacao!$A$2:$A$500),WORKDAY(A2445,E2445,Dias_Sem_Compensacao!$A$2:$A$500)),"")</f>
        <v>46315</v>
      </c>
      <c r="H2445" s="25">
        <v>0</v>
      </c>
      <c r="I2445" s="28">
        <v>46314</v>
      </c>
      <c r="J2445" t="s">
        <v>1319</v>
      </c>
      <c r="K2445" t="s">
        <v>2901</v>
      </c>
    </row>
    <row r="2446" spans="1:11" hidden="1">
      <c r="A2446" s="28">
        <v>46314</v>
      </c>
      <c r="B2446" t="s">
        <v>186</v>
      </c>
      <c r="C2446" t="s">
        <v>203</v>
      </c>
      <c r="D2446" t="s">
        <v>217</v>
      </c>
      <c r="E2446">
        <f>IF(LEFT(D2446,6)="CLIENT",IFERROR(VLOOKUP(C2446,Config_Carteiras!$A:$B,2,FALSE),1),"")</f>
        <v>1</v>
      </c>
      <c r="F2446" s="25">
        <v>2337</v>
      </c>
      <c r="G2446" s="28">
        <f>IF(LEFT(D2446,6)="CLIENT",IF(E2446=0,WORKDAY(A2446-1,1,Dias_Sem_Compensacao!$A$2:$A$500),WORKDAY(A2446,E2446,Dias_Sem_Compensacao!$A$2:$A$500)),"")</f>
        <v>46315</v>
      </c>
      <c r="H2446" s="25">
        <v>0</v>
      </c>
      <c r="I2446" s="28">
        <v>46314</v>
      </c>
      <c r="J2446" t="s">
        <v>2381</v>
      </c>
      <c r="K2446" t="s">
        <v>2382</v>
      </c>
    </row>
    <row r="2447" spans="1:11" hidden="1">
      <c r="A2447" s="28">
        <v>46314</v>
      </c>
      <c r="B2447" t="s">
        <v>186</v>
      </c>
      <c r="C2447" t="s">
        <v>203</v>
      </c>
      <c r="D2447" t="s">
        <v>217</v>
      </c>
      <c r="E2447">
        <f>IF(LEFT(D2447,6)="CLIENT",IFERROR(VLOOKUP(C2447,Config_Carteiras!$A:$B,2,FALSE),1),"")</f>
        <v>1</v>
      </c>
      <c r="F2447" s="25">
        <v>1000</v>
      </c>
      <c r="G2447" s="28">
        <f>IF(LEFT(D2447,6)="CLIENT",IF(E2447=0,WORKDAY(A2447-1,1,Dias_Sem_Compensacao!$A$2:$A$500),WORKDAY(A2447,E2447,Dias_Sem_Compensacao!$A$2:$A$500)),"")</f>
        <v>46315</v>
      </c>
      <c r="H2447" s="25">
        <v>0</v>
      </c>
      <c r="I2447" s="28">
        <v>46314</v>
      </c>
      <c r="J2447" t="s">
        <v>1807</v>
      </c>
      <c r="K2447" t="s">
        <v>1808</v>
      </c>
    </row>
    <row r="2448" spans="1:11" hidden="1">
      <c r="A2448" s="28">
        <v>46314</v>
      </c>
      <c r="B2448" t="s">
        <v>186</v>
      </c>
      <c r="C2448" t="s">
        <v>203</v>
      </c>
      <c r="D2448" t="s">
        <v>217</v>
      </c>
      <c r="E2448">
        <f>IF(LEFT(D2448,6)="CLIENT",IFERROR(VLOOKUP(C2448,Config_Carteiras!$A:$B,2,FALSE),1),"")</f>
        <v>1</v>
      </c>
      <c r="F2448" s="25">
        <v>1418.45</v>
      </c>
      <c r="G2448" s="28">
        <f>IF(LEFT(D2448,6)="CLIENT",IF(E2448=0,WORKDAY(A2448-1,1,Dias_Sem_Compensacao!$A$2:$A$500),WORKDAY(A2448,E2448,Dias_Sem_Compensacao!$A$2:$A$500)),"")</f>
        <v>46315</v>
      </c>
      <c r="H2448" s="25">
        <v>0</v>
      </c>
      <c r="I2448" s="28">
        <v>46314</v>
      </c>
      <c r="J2448" t="s">
        <v>1809</v>
      </c>
      <c r="K2448" t="s">
        <v>1810</v>
      </c>
    </row>
    <row r="2449" spans="1:11" hidden="1">
      <c r="A2449" s="28">
        <v>46314</v>
      </c>
      <c r="B2449" t="s">
        <v>186</v>
      </c>
      <c r="C2449" t="s">
        <v>203</v>
      </c>
      <c r="D2449" t="s">
        <v>217</v>
      </c>
      <c r="E2449">
        <f>IF(LEFT(D2449,6)="CLIENT",IFERROR(VLOOKUP(C2449,Config_Carteiras!$A:$B,2,FALSE),1),"")</f>
        <v>1</v>
      </c>
      <c r="F2449" s="25">
        <v>692.46</v>
      </c>
      <c r="G2449" s="28">
        <f>IF(LEFT(D2449,6)="CLIENT",IF(E2449=0,WORKDAY(A2449-1,1,Dias_Sem_Compensacao!$A$2:$A$500),WORKDAY(A2449,E2449,Dias_Sem_Compensacao!$A$2:$A$500)),"")</f>
        <v>46315</v>
      </c>
      <c r="H2449" s="25">
        <v>0</v>
      </c>
      <c r="I2449" s="28">
        <v>46314</v>
      </c>
      <c r="J2449" t="s">
        <v>2387</v>
      </c>
      <c r="K2449" t="s">
        <v>2388</v>
      </c>
    </row>
    <row r="2450" spans="1:11" hidden="1">
      <c r="A2450" s="28">
        <v>46314</v>
      </c>
      <c r="B2450" t="s">
        <v>186</v>
      </c>
      <c r="C2450" t="s">
        <v>203</v>
      </c>
      <c r="D2450" t="s">
        <v>217</v>
      </c>
      <c r="E2450">
        <f>IF(LEFT(D2450,6)="CLIENT",IFERROR(VLOOKUP(C2450,Config_Carteiras!$A:$B,2,FALSE),1),"")</f>
        <v>1</v>
      </c>
      <c r="F2450" s="25">
        <v>1297.1600000000001</v>
      </c>
      <c r="G2450" s="28">
        <f>IF(LEFT(D2450,6)="CLIENT",IF(E2450=0,WORKDAY(A2450-1,1,Dias_Sem_Compensacao!$A$2:$A$500),WORKDAY(A2450,E2450,Dias_Sem_Compensacao!$A$2:$A$500)),"")</f>
        <v>46315</v>
      </c>
      <c r="H2450" s="25">
        <v>0</v>
      </c>
      <c r="I2450" s="28">
        <v>46314</v>
      </c>
      <c r="J2450" t="s">
        <v>2902</v>
      </c>
      <c r="K2450" t="s">
        <v>2903</v>
      </c>
    </row>
    <row r="2451" spans="1:11" hidden="1">
      <c r="A2451" s="28">
        <v>46314</v>
      </c>
      <c r="B2451" t="s">
        <v>186</v>
      </c>
      <c r="C2451" t="s">
        <v>203</v>
      </c>
      <c r="D2451" t="s">
        <v>217</v>
      </c>
      <c r="E2451">
        <f>IF(LEFT(D2451,6)="CLIENT",IFERROR(VLOOKUP(C2451,Config_Carteiras!$A:$B,2,FALSE),1),"")</f>
        <v>1</v>
      </c>
      <c r="F2451" s="25">
        <v>1004.4</v>
      </c>
      <c r="G2451" s="28">
        <f>IF(LEFT(D2451,6)="CLIENT",IF(E2451=0,WORKDAY(A2451-1,1,Dias_Sem_Compensacao!$A$2:$A$500),WORKDAY(A2451,E2451,Dias_Sem_Compensacao!$A$2:$A$500)),"")</f>
        <v>46315</v>
      </c>
      <c r="H2451" s="25">
        <v>0</v>
      </c>
      <c r="I2451" s="28">
        <v>46314</v>
      </c>
      <c r="J2451" t="s">
        <v>2904</v>
      </c>
      <c r="K2451" t="s">
        <v>2905</v>
      </c>
    </row>
    <row r="2452" spans="1:11" hidden="1">
      <c r="A2452" s="28">
        <v>46314</v>
      </c>
      <c r="B2452" t="s">
        <v>186</v>
      </c>
      <c r="C2452" t="s">
        <v>203</v>
      </c>
      <c r="D2452" t="s">
        <v>217</v>
      </c>
      <c r="E2452">
        <f>IF(LEFT(D2452,6)="CLIENT",IFERROR(VLOOKUP(C2452,Config_Carteiras!$A:$B,2,FALSE),1),"")</f>
        <v>1</v>
      </c>
      <c r="F2452" s="25">
        <v>342</v>
      </c>
      <c r="G2452" s="28">
        <f>IF(LEFT(D2452,6)="CLIENT",IF(E2452=0,WORKDAY(A2452-1,1,Dias_Sem_Compensacao!$A$2:$A$500),WORKDAY(A2452,E2452,Dias_Sem_Compensacao!$A$2:$A$500)),"")</f>
        <v>46315</v>
      </c>
      <c r="H2452" s="25">
        <v>0</v>
      </c>
      <c r="I2452" s="28">
        <v>46314</v>
      </c>
      <c r="J2452" t="s">
        <v>2391</v>
      </c>
      <c r="K2452" t="s">
        <v>2392</v>
      </c>
    </row>
    <row r="2453" spans="1:11" hidden="1">
      <c r="A2453" s="28">
        <v>46314</v>
      </c>
      <c r="B2453" t="s">
        <v>186</v>
      </c>
      <c r="C2453" t="s">
        <v>203</v>
      </c>
      <c r="D2453" t="s">
        <v>217</v>
      </c>
      <c r="E2453">
        <f>IF(LEFT(D2453,6)="CLIENT",IFERROR(VLOOKUP(C2453,Config_Carteiras!$A:$B,2,FALSE),1),"")</f>
        <v>1</v>
      </c>
      <c r="F2453" s="25">
        <v>8958.39</v>
      </c>
      <c r="G2453" s="28">
        <f>IF(LEFT(D2453,6)="CLIENT",IF(E2453=0,WORKDAY(A2453-1,1,Dias_Sem_Compensacao!$A$2:$A$500),WORKDAY(A2453,E2453,Dias_Sem_Compensacao!$A$2:$A$500)),"")</f>
        <v>46315</v>
      </c>
      <c r="H2453" s="25">
        <v>0</v>
      </c>
      <c r="I2453" s="28">
        <v>46314</v>
      </c>
      <c r="J2453" t="s">
        <v>2906</v>
      </c>
      <c r="K2453" t="s">
        <v>2907</v>
      </c>
    </row>
    <row r="2454" spans="1:11" hidden="1">
      <c r="A2454" s="28">
        <v>46314</v>
      </c>
      <c r="B2454" t="s">
        <v>186</v>
      </c>
      <c r="C2454" t="s">
        <v>203</v>
      </c>
      <c r="D2454" t="s">
        <v>217</v>
      </c>
      <c r="E2454">
        <f>IF(LEFT(D2454,6)="CLIENT",IFERROR(VLOOKUP(C2454,Config_Carteiras!$A:$B,2,FALSE),1),"")</f>
        <v>1</v>
      </c>
      <c r="F2454" s="25">
        <v>854</v>
      </c>
      <c r="G2454" s="28">
        <f>IF(LEFT(D2454,6)="CLIENT",IF(E2454=0,WORKDAY(A2454-1,1,Dias_Sem_Compensacao!$A$2:$A$500),WORKDAY(A2454,E2454,Dias_Sem_Compensacao!$A$2:$A$500)),"")</f>
        <v>46315</v>
      </c>
      <c r="H2454" s="25">
        <v>0</v>
      </c>
      <c r="I2454" s="28">
        <v>46314</v>
      </c>
      <c r="J2454" t="s">
        <v>2908</v>
      </c>
      <c r="K2454" t="s">
        <v>2909</v>
      </c>
    </row>
    <row r="2455" spans="1:11" hidden="1">
      <c r="A2455" s="28">
        <v>46314</v>
      </c>
      <c r="B2455" t="s">
        <v>186</v>
      </c>
      <c r="C2455" t="s">
        <v>203</v>
      </c>
      <c r="D2455" t="s">
        <v>217</v>
      </c>
      <c r="E2455">
        <f>IF(LEFT(D2455,6)="CLIENT",IFERROR(VLOOKUP(C2455,Config_Carteiras!$A:$B,2,FALSE),1),"")</f>
        <v>1</v>
      </c>
      <c r="F2455" s="25">
        <v>1256</v>
      </c>
      <c r="G2455" s="28">
        <f>IF(LEFT(D2455,6)="CLIENT",IF(E2455=0,WORKDAY(A2455-1,1,Dias_Sem_Compensacao!$A$2:$A$500),WORKDAY(A2455,E2455,Dias_Sem_Compensacao!$A$2:$A$500)),"")</f>
        <v>46315</v>
      </c>
      <c r="H2455" s="25">
        <v>0</v>
      </c>
      <c r="I2455" s="28">
        <v>46314</v>
      </c>
      <c r="J2455" t="s">
        <v>2394</v>
      </c>
      <c r="K2455" t="s">
        <v>2395</v>
      </c>
    </row>
    <row r="2456" spans="1:11" hidden="1">
      <c r="A2456" s="28">
        <v>46314</v>
      </c>
      <c r="B2456" t="s">
        <v>186</v>
      </c>
      <c r="C2456" t="s">
        <v>203</v>
      </c>
      <c r="D2456" t="s">
        <v>217</v>
      </c>
      <c r="E2456">
        <f>IF(LEFT(D2456,6)="CLIENT",IFERROR(VLOOKUP(C2456,Config_Carteiras!$A:$B,2,FALSE),1),"")</f>
        <v>1</v>
      </c>
      <c r="F2456" s="25">
        <v>995</v>
      </c>
      <c r="G2456" s="28">
        <f>IF(LEFT(D2456,6)="CLIENT",IF(E2456=0,WORKDAY(A2456-1,1,Dias_Sem_Compensacao!$A$2:$A$500),WORKDAY(A2456,E2456,Dias_Sem_Compensacao!$A$2:$A$500)),"")</f>
        <v>46315</v>
      </c>
      <c r="H2456" s="25">
        <v>0</v>
      </c>
      <c r="I2456" s="28">
        <v>46314</v>
      </c>
      <c r="J2456" t="s">
        <v>2910</v>
      </c>
      <c r="K2456" t="s">
        <v>2911</v>
      </c>
    </row>
    <row r="2457" spans="1:11" hidden="1">
      <c r="A2457" s="28">
        <v>46314</v>
      </c>
      <c r="B2457" t="s">
        <v>186</v>
      </c>
      <c r="C2457" t="s">
        <v>203</v>
      </c>
      <c r="D2457" t="s">
        <v>217</v>
      </c>
      <c r="E2457">
        <f>IF(LEFT(D2457,6)="CLIENT",IFERROR(VLOOKUP(C2457,Config_Carteiras!$A:$B,2,FALSE),1),"")</f>
        <v>1</v>
      </c>
      <c r="F2457" s="25">
        <v>2204.11</v>
      </c>
      <c r="G2457" s="28">
        <f>IF(LEFT(D2457,6)="CLIENT",IF(E2457=0,WORKDAY(A2457-1,1,Dias_Sem_Compensacao!$A$2:$A$500),WORKDAY(A2457,E2457,Dias_Sem_Compensacao!$A$2:$A$500)),"")</f>
        <v>46315</v>
      </c>
      <c r="H2457" s="25">
        <v>0</v>
      </c>
      <c r="I2457" s="28">
        <v>46314</v>
      </c>
      <c r="J2457" t="s">
        <v>2912</v>
      </c>
      <c r="K2457" t="s">
        <v>2913</v>
      </c>
    </row>
    <row r="2458" spans="1:11" hidden="1">
      <c r="A2458" s="28">
        <v>46314</v>
      </c>
      <c r="B2458" t="s">
        <v>186</v>
      </c>
      <c r="C2458" t="s">
        <v>203</v>
      </c>
      <c r="D2458" t="s">
        <v>217</v>
      </c>
      <c r="E2458">
        <f>IF(LEFT(D2458,6)="CLIENT",IFERROR(VLOOKUP(C2458,Config_Carteiras!$A:$B,2,FALSE),1),"")</f>
        <v>1</v>
      </c>
      <c r="F2458" s="25">
        <v>6632.05</v>
      </c>
      <c r="G2458" s="28">
        <f>IF(LEFT(D2458,6)="CLIENT",IF(E2458=0,WORKDAY(A2458-1,1,Dias_Sem_Compensacao!$A$2:$A$500),WORKDAY(A2458,E2458,Dias_Sem_Compensacao!$A$2:$A$500)),"")</f>
        <v>46315</v>
      </c>
      <c r="H2458" s="25">
        <v>0</v>
      </c>
      <c r="I2458" s="28">
        <v>46314</v>
      </c>
      <c r="J2458" t="s">
        <v>1689</v>
      </c>
      <c r="K2458" t="s">
        <v>1690</v>
      </c>
    </row>
    <row r="2459" spans="1:11" hidden="1">
      <c r="A2459" s="28">
        <v>46314</v>
      </c>
      <c r="B2459" t="s">
        <v>186</v>
      </c>
      <c r="C2459" t="s">
        <v>203</v>
      </c>
      <c r="D2459" t="s">
        <v>217</v>
      </c>
      <c r="E2459">
        <f>IF(LEFT(D2459,6)="CLIENT",IFERROR(VLOOKUP(C2459,Config_Carteiras!$A:$B,2,FALSE),1),"")</f>
        <v>1</v>
      </c>
      <c r="F2459" s="25">
        <v>2241.5100000000002</v>
      </c>
      <c r="G2459" s="28">
        <f>IF(LEFT(D2459,6)="CLIENT",IF(E2459=0,WORKDAY(A2459-1,1,Dias_Sem_Compensacao!$A$2:$A$500),WORKDAY(A2459,E2459,Dias_Sem_Compensacao!$A$2:$A$500)),"")</f>
        <v>46315</v>
      </c>
      <c r="H2459" s="25">
        <v>0</v>
      </c>
      <c r="I2459" s="28">
        <v>46314</v>
      </c>
      <c r="J2459" t="s">
        <v>2693</v>
      </c>
      <c r="K2459" t="s">
        <v>2914</v>
      </c>
    </row>
    <row r="2460" spans="1:11" hidden="1">
      <c r="A2460" s="28">
        <v>46314</v>
      </c>
      <c r="B2460" t="s">
        <v>186</v>
      </c>
      <c r="C2460" t="s">
        <v>203</v>
      </c>
      <c r="D2460" t="s">
        <v>217</v>
      </c>
      <c r="E2460">
        <f>IF(LEFT(D2460,6)="CLIENT",IFERROR(VLOOKUP(C2460,Config_Carteiras!$A:$B,2,FALSE),1),"")</f>
        <v>1</v>
      </c>
      <c r="F2460" s="25">
        <v>49152</v>
      </c>
      <c r="G2460" s="28">
        <f>IF(LEFT(D2460,6)="CLIENT",IF(E2460=0,WORKDAY(A2460-1,1,Dias_Sem_Compensacao!$A$2:$A$500),WORKDAY(A2460,E2460,Dias_Sem_Compensacao!$A$2:$A$500)),"")</f>
        <v>46315</v>
      </c>
      <c r="H2460" s="25">
        <v>0</v>
      </c>
      <c r="I2460" s="28">
        <v>46314</v>
      </c>
      <c r="J2460" t="s">
        <v>2915</v>
      </c>
      <c r="K2460" t="s">
        <v>2916</v>
      </c>
    </row>
    <row r="2461" spans="1:11" hidden="1">
      <c r="A2461" s="28">
        <v>46314</v>
      </c>
      <c r="B2461" t="s">
        <v>186</v>
      </c>
      <c r="C2461" t="s">
        <v>203</v>
      </c>
      <c r="D2461" t="s">
        <v>217</v>
      </c>
      <c r="E2461">
        <f>IF(LEFT(D2461,6)="CLIENT",IFERROR(VLOOKUP(C2461,Config_Carteiras!$A:$B,2,FALSE),1),"")</f>
        <v>1</v>
      </c>
      <c r="F2461" s="25">
        <v>12480</v>
      </c>
      <c r="G2461" s="28">
        <f>IF(LEFT(D2461,6)="CLIENT",IF(E2461=0,WORKDAY(A2461-1,1,Dias_Sem_Compensacao!$A$2:$A$500),WORKDAY(A2461,E2461,Dias_Sem_Compensacao!$A$2:$A$500)),"")</f>
        <v>46315</v>
      </c>
      <c r="H2461" s="25">
        <v>0</v>
      </c>
      <c r="I2461" s="28">
        <v>46314</v>
      </c>
      <c r="J2461" t="s">
        <v>2917</v>
      </c>
      <c r="K2461" t="s">
        <v>2918</v>
      </c>
    </row>
    <row r="2462" spans="1:11" hidden="1">
      <c r="A2462" s="28">
        <v>46314</v>
      </c>
      <c r="B2462" t="s">
        <v>186</v>
      </c>
      <c r="C2462" t="s">
        <v>203</v>
      </c>
      <c r="D2462" t="s">
        <v>217</v>
      </c>
      <c r="E2462">
        <f>IF(LEFT(D2462,6)="CLIENT",IFERROR(VLOOKUP(C2462,Config_Carteiras!$A:$B,2,FALSE),1),"")</f>
        <v>1</v>
      </c>
      <c r="F2462" s="25">
        <v>13401.11</v>
      </c>
      <c r="G2462" s="28">
        <f>IF(LEFT(D2462,6)="CLIENT",IF(E2462=0,WORKDAY(A2462-1,1,Dias_Sem_Compensacao!$A$2:$A$500),WORKDAY(A2462,E2462,Dias_Sem_Compensacao!$A$2:$A$500)),"")</f>
        <v>46315</v>
      </c>
      <c r="H2462" s="25">
        <v>0</v>
      </c>
      <c r="I2462" s="28">
        <v>46314</v>
      </c>
      <c r="J2462" t="s">
        <v>1162</v>
      </c>
      <c r="K2462" t="s">
        <v>2919</v>
      </c>
    </row>
    <row r="2463" spans="1:11" hidden="1">
      <c r="A2463" s="28">
        <v>46314</v>
      </c>
      <c r="B2463" t="s">
        <v>186</v>
      </c>
      <c r="C2463" t="s">
        <v>203</v>
      </c>
      <c r="D2463" t="s">
        <v>217</v>
      </c>
      <c r="E2463">
        <f>IF(LEFT(D2463,6)="CLIENT",IFERROR(VLOOKUP(C2463,Config_Carteiras!$A:$B,2,FALSE),1),"")</f>
        <v>1</v>
      </c>
      <c r="F2463" s="25">
        <v>16857</v>
      </c>
      <c r="G2463" s="28">
        <f>IF(LEFT(D2463,6)="CLIENT",IF(E2463=0,WORKDAY(A2463-1,1,Dias_Sem_Compensacao!$A$2:$A$500),WORKDAY(A2463,E2463,Dias_Sem_Compensacao!$A$2:$A$500)),"")</f>
        <v>46315</v>
      </c>
      <c r="H2463" s="25">
        <v>0</v>
      </c>
      <c r="I2463" s="28">
        <v>46314</v>
      </c>
      <c r="K2463" t="s">
        <v>2920</v>
      </c>
    </row>
    <row r="2464" spans="1:11" hidden="1">
      <c r="A2464" s="28">
        <v>46314</v>
      </c>
      <c r="B2464" t="s">
        <v>186</v>
      </c>
      <c r="C2464" t="s">
        <v>203</v>
      </c>
      <c r="D2464" t="s">
        <v>217</v>
      </c>
      <c r="E2464">
        <f>IF(LEFT(D2464,6)="CLIENT",IFERROR(VLOOKUP(C2464,Config_Carteiras!$A:$B,2,FALSE),1),"")</f>
        <v>1</v>
      </c>
      <c r="F2464" s="25">
        <v>437.05</v>
      </c>
      <c r="G2464" s="28">
        <f>IF(LEFT(D2464,6)="CLIENT",IF(E2464=0,WORKDAY(A2464-1,1,Dias_Sem_Compensacao!$A$2:$A$500),WORKDAY(A2464,E2464,Dias_Sem_Compensacao!$A$2:$A$500)),"")</f>
        <v>46315</v>
      </c>
      <c r="H2464" s="25">
        <v>0</v>
      </c>
      <c r="I2464" s="28">
        <v>46314</v>
      </c>
      <c r="J2464" t="s">
        <v>2407</v>
      </c>
      <c r="K2464" t="s">
        <v>2408</v>
      </c>
    </row>
    <row r="2465" spans="1:11" hidden="1">
      <c r="A2465" s="28">
        <v>46314</v>
      </c>
      <c r="B2465" t="s">
        <v>186</v>
      </c>
      <c r="C2465" t="s">
        <v>203</v>
      </c>
      <c r="D2465" t="s">
        <v>217</v>
      </c>
      <c r="E2465">
        <f>IF(LEFT(D2465,6)="CLIENT",IFERROR(VLOOKUP(C2465,Config_Carteiras!$A:$B,2,FALSE),1),"")</f>
        <v>1</v>
      </c>
      <c r="F2465" s="25">
        <v>1300</v>
      </c>
      <c r="G2465" s="28">
        <f>IF(LEFT(D2465,6)="CLIENT",IF(E2465=0,WORKDAY(A2465-1,1,Dias_Sem_Compensacao!$A$2:$A$500),WORKDAY(A2465,E2465,Dias_Sem_Compensacao!$A$2:$A$500)),"")</f>
        <v>46315</v>
      </c>
      <c r="H2465" s="25">
        <v>0</v>
      </c>
      <c r="I2465" s="28">
        <v>46314</v>
      </c>
      <c r="J2465" t="s">
        <v>1164</v>
      </c>
      <c r="K2465" t="s">
        <v>2921</v>
      </c>
    </row>
    <row r="2466" spans="1:11" hidden="1">
      <c r="A2466" s="28">
        <v>46314</v>
      </c>
      <c r="B2466" t="s">
        <v>186</v>
      </c>
      <c r="C2466" t="s">
        <v>203</v>
      </c>
      <c r="D2466" t="s">
        <v>217</v>
      </c>
      <c r="E2466">
        <f>IF(LEFT(D2466,6)="CLIENT",IFERROR(VLOOKUP(C2466,Config_Carteiras!$A:$B,2,FALSE),1),"")</f>
        <v>1</v>
      </c>
      <c r="F2466" s="25">
        <v>1087</v>
      </c>
      <c r="G2466" s="28">
        <f>IF(LEFT(D2466,6)="CLIENT",IF(E2466=0,WORKDAY(A2466-1,1,Dias_Sem_Compensacao!$A$2:$A$500),WORKDAY(A2466,E2466,Dias_Sem_Compensacao!$A$2:$A$500)),"")</f>
        <v>46315</v>
      </c>
      <c r="H2466" s="25">
        <v>0</v>
      </c>
      <c r="I2466" s="28">
        <v>46314</v>
      </c>
      <c r="J2466" t="s">
        <v>2922</v>
      </c>
      <c r="K2466" t="s">
        <v>2923</v>
      </c>
    </row>
    <row r="2467" spans="1:11" hidden="1">
      <c r="A2467" s="28">
        <v>46314</v>
      </c>
      <c r="B2467" t="s">
        <v>186</v>
      </c>
      <c r="C2467" t="s">
        <v>203</v>
      </c>
      <c r="D2467" t="s">
        <v>217</v>
      </c>
      <c r="E2467">
        <f>IF(LEFT(D2467,6)="CLIENT",IFERROR(VLOOKUP(C2467,Config_Carteiras!$A:$B,2,FALSE),1),"")</f>
        <v>1</v>
      </c>
      <c r="F2467" s="25">
        <v>845</v>
      </c>
      <c r="G2467" s="28">
        <f>IF(LEFT(D2467,6)="CLIENT",IF(E2467=0,WORKDAY(A2467-1,1,Dias_Sem_Compensacao!$A$2:$A$500),WORKDAY(A2467,E2467,Dias_Sem_Compensacao!$A$2:$A$500)),"")</f>
        <v>46315</v>
      </c>
      <c r="H2467" s="25">
        <v>0</v>
      </c>
      <c r="I2467" s="28">
        <v>46314</v>
      </c>
      <c r="J2467" t="s">
        <v>1489</v>
      </c>
      <c r="K2467" t="s">
        <v>2924</v>
      </c>
    </row>
    <row r="2468" spans="1:11" hidden="1">
      <c r="A2468" s="28">
        <v>46314</v>
      </c>
      <c r="B2468" t="s">
        <v>186</v>
      </c>
      <c r="C2468" t="s">
        <v>203</v>
      </c>
      <c r="D2468" t="s">
        <v>217</v>
      </c>
      <c r="E2468">
        <f>IF(LEFT(D2468,6)="CLIENT",IFERROR(VLOOKUP(C2468,Config_Carteiras!$A:$B,2,FALSE),1),"")</f>
        <v>1</v>
      </c>
      <c r="F2468" s="25">
        <v>902</v>
      </c>
      <c r="G2468" s="28">
        <f>IF(LEFT(D2468,6)="CLIENT",IF(E2468=0,WORKDAY(A2468-1,1,Dias_Sem_Compensacao!$A$2:$A$500),WORKDAY(A2468,E2468,Dias_Sem_Compensacao!$A$2:$A$500)),"")</f>
        <v>46315</v>
      </c>
      <c r="H2468" s="25">
        <v>0</v>
      </c>
      <c r="I2468" s="28">
        <v>46314</v>
      </c>
      <c r="J2468" t="s">
        <v>2925</v>
      </c>
      <c r="K2468" t="s">
        <v>2926</v>
      </c>
    </row>
    <row r="2469" spans="1:11" hidden="1">
      <c r="A2469" s="28">
        <v>46314</v>
      </c>
      <c r="B2469" t="s">
        <v>186</v>
      </c>
      <c r="C2469" t="s">
        <v>203</v>
      </c>
      <c r="D2469" t="s">
        <v>217</v>
      </c>
      <c r="E2469">
        <f>IF(LEFT(D2469,6)="CLIENT",IFERROR(VLOOKUP(C2469,Config_Carteiras!$A:$B,2,FALSE),1),"")</f>
        <v>1</v>
      </c>
      <c r="F2469" s="25">
        <v>2860</v>
      </c>
      <c r="G2469" s="28">
        <f>IF(LEFT(D2469,6)="CLIENT",IF(E2469=0,WORKDAY(A2469-1,1,Dias_Sem_Compensacao!$A$2:$A$500),WORKDAY(A2469,E2469,Dias_Sem_Compensacao!$A$2:$A$500)),"")</f>
        <v>46315</v>
      </c>
      <c r="H2469" s="25">
        <v>0</v>
      </c>
      <c r="I2469" s="28">
        <v>46314</v>
      </c>
      <c r="J2469" t="s">
        <v>1696</v>
      </c>
      <c r="K2469" t="s">
        <v>2927</v>
      </c>
    </row>
    <row r="2470" spans="1:11" hidden="1">
      <c r="A2470" s="28">
        <v>46314</v>
      </c>
      <c r="B2470" t="s">
        <v>186</v>
      </c>
      <c r="C2470" t="s">
        <v>203</v>
      </c>
      <c r="D2470" t="s">
        <v>217</v>
      </c>
      <c r="E2470">
        <f>IF(LEFT(D2470,6)="CLIENT",IFERROR(VLOOKUP(C2470,Config_Carteiras!$A:$B,2,FALSE),1),"")</f>
        <v>1</v>
      </c>
      <c r="F2470" s="25">
        <v>773</v>
      </c>
      <c r="G2470" s="28">
        <f>IF(LEFT(D2470,6)="CLIENT",IF(E2470=0,WORKDAY(A2470-1,1,Dias_Sem_Compensacao!$A$2:$A$500),WORKDAY(A2470,E2470,Dias_Sem_Compensacao!$A$2:$A$500)),"")</f>
        <v>46315</v>
      </c>
      <c r="H2470" s="25">
        <v>0</v>
      </c>
      <c r="I2470" s="28">
        <v>46314</v>
      </c>
      <c r="J2470" t="s">
        <v>2412</v>
      </c>
      <c r="K2470" t="s">
        <v>2413</v>
      </c>
    </row>
    <row r="2471" spans="1:11" hidden="1">
      <c r="A2471" s="28">
        <v>46314</v>
      </c>
      <c r="B2471" t="s">
        <v>186</v>
      </c>
      <c r="C2471" t="s">
        <v>203</v>
      </c>
      <c r="D2471" t="s">
        <v>217</v>
      </c>
      <c r="E2471">
        <f>IF(LEFT(D2471,6)="CLIENT",IFERROR(VLOOKUP(C2471,Config_Carteiras!$A:$B,2,FALSE),1),"")</f>
        <v>1</v>
      </c>
      <c r="F2471" s="25">
        <v>641</v>
      </c>
      <c r="G2471" s="28">
        <f>IF(LEFT(D2471,6)="CLIENT",IF(E2471=0,WORKDAY(A2471-1,1,Dias_Sem_Compensacao!$A$2:$A$500),WORKDAY(A2471,E2471,Dias_Sem_Compensacao!$A$2:$A$500)),"")</f>
        <v>46315</v>
      </c>
      <c r="H2471" s="25">
        <v>0</v>
      </c>
      <c r="I2471" s="28">
        <v>46314</v>
      </c>
      <c r="J2471" t="s">
        <v>2414</v>
      </c>
      <c r="K2471" t="s">
        <v>2415</v>
      </c>
    </row>
    <row r="2472" spans="1:11" hidden="1">
      <c r="A2472" s="28">
        <v>46314</v>
      </c>
      <c r="B2472" t="s">
        <v>186</v>
      </c>
      <c r="C2472" t="s">
        <v>203</v>
      </c>
      <c r="D2472" t="s">
        <v>217</v>
      </c>
      <c r="E2472">
        <f>IF(LEFT(D2472,6)="CLIENT",IFERROR(VLOOKUP(C2472,Config_Carteiras!$A:$B,2,FALSE),1),"")</f>
        <v>1</v>
      </c>
      <c r="F2472" s="25">
        <v>3360.89</v>
      </c>
      <c r="G2472" s="28">
        <f>IF(LEFT(D2472,6)="CLIENT",IF(E2472=0,WORKDAY(A2472-1,1,Dias_Sem_Compensacao!$A$2:$A$500),WORKDAY(A2472,E2472,Dias_Sem_Compensacao!$A$2:$A$500)),"")</f>
        <v>46315</v>
      </c>
      <c r="H2472" s="25">
        <v>0</v>
      </c>
      <c r="I2472" s="28">
        <v>46314</v>
      </c>
      <c r="J2472" t="s">
        <v>2928</v>
      </c>
      <c r="K2472" t="s">
        <v>2929</v>
      </c>
    </row>
    <row r="2473" spans="1:11" hidden="1">
      <c r="A2473" s="28">
        <v>46314</v>
      </c>
      <c r="B2473" t="s">
        <v>186</v>
      </c>
      <c r="C2473" t="s">
        <v>203</v>
      </c>
      <c r="D2473" t="s">
        <v>217</v>
      </c>
      <c r="E2473">
        <f>IF(LEFT(D2473,6)="CLIENT",IFERROR(VLOOKUP(C2473,Config_Carteiras!$A:$B,2,FALSE),1),"")</f>
        <v>1</v>
      </c>
      <c r="F2473" s="25">
        <v>1550.46</v>
      </c>
      <c r="G2473" s="28">
        <f>IF(LEFT(D2473,6)="CLIENT",IF(E2473=0,WORKDAY(A2473-1,1,Dias_Sem_Compensacao!$A$2:$A$500),WORKDAY(A2473,E2473,Dias_Sem_Compensacao!$A$2:$A$500)),"")</f>
        <v>46315</v>
      </c>
      <c r="H2473" s="25">
        <v>0</v>
      </c>
      <c r="I2473" s="28">
        <v>46314</v>
      </c>
      <c r="J2473" t="s">
        <v>1822</v>
      </c>
      <c r="K2473" t="s">
        <v>1823</v>
      </c>
    </row>
    <row r="2474" spans="1:11" hidden="1">
      <c r="A2474" s="28">
        <v>46314</v>
      </c>
      <c r="B2474" t="s">
        <v>186</v>
      </c>
      <c r="C2474" t="s">
        <v>203</v>
      </c>
      <c r="D2474" t="s">
        <v>217</v>
      </c>
      <c r="E2474">
        <f>IF(LEFT(D2474,6)="CLIENT",IFERROR(VLOOKUP(C2474,Config_Carteiras!$A:$B,2,FALSE),1),"")</f>
        <v>1</v>
      </c>
      <c r="F2474" s="25">
        <v>639</v>
      </c>
      <c r="G2474" s="28">
        <f>IF(LEFT(D2474,6)="CLIENT",IF(E2474=0,WORKDAY(A2474-1,1,Dias_Sem_Compensacao!$A$2:$A$500),WORKDAY(A2474,E2474,Dias_Sem_Compensacao!$A$2:$A$500)),"")</f>
        <v>46315</v>
      </c>
      <c r="H2474" s="25">
        <v>0</v>
      </c>
      <c r="I2474" s="28">
        <v>46314</v>
      </c>
      <c r="J2474" t="s">
        <v>401</v>
      </c>
      <c r="K2474" t="s">
        <v>2418</v>
      </c>
    </row>
    <row r="2475" spans="1:11" hidden="1">
      <c r="A2475" s="28">
        <v>46314</v>
      </c>
      <c r="B2475" t="s">
        <v>186</v>
      </c>
      <c r="C2475" t="s">
        <v>203</v>
      </c>
      <c r="D2475" t="s">
        <v>217</v>
      </c>
      <c r="E2475">
        <f>IF(LEFT(D2475,6)="CLIENT",IFERROR(VLOOKUP(C2475,Config_Carteiras!$A:$B,2,FALSE),1),"")</f>
        <v>1</v>
      </c>
      <c r="F2475" s="25">
        <v>562.32000000000005</v>
      </c>
      <c r="G2475" s="28">
        <f>IF(LEFT(D2475,6)="CLIENT",IF(E2475=0,WORKDAY(A2475-1,1,Dias_Sem_Compensacao!$A$2:$A$500),WORKDAY(A2475,E2475,Dias_Sem_Compensacao!$A$2:$A$500)),"")</f>
        <v>46315</v>
      </c>
      <c r="H2475" s="25">
        <v>0</v>
      </c>
      <c r="I2475" s="28">
        <v>46314</v>
      </c>
      <c r="J2475" t="s">
        <v>1824</v>
      </c>
      <c r="K2475" t="s">
        <v>1825</v>
      </c>
    </row>
    <row r="2476" spans="1:11" hidden="1">
      <c r="A2476" s="28">
        <v>46314</v>
      </c>
      <c r="B2476" t="s">
        <v>186</v>
      </c>
      <c r="C2476" t="s">
        <v>203</v>
      </c>
      <c r="D2476" t="s">
        <v>217</v>
      </c>
      <c r="E2476">
        <f>IF(LEFT(D2476,6)="CLIENT",IFERROR(VLOOKUP(C2476,Config_Carteiras!$A:$B,2,FALSE),1),"")</f>
        <v>1</v>
      </c>
      <c r="F2476" s="25">
        <v>1000</v>
      </c>
      <c r="G2476" s="28">
        <f>IF(LEFT(D2476,6)="CLIENT",IF(E2476=0,WORKDAY(A2476-1,1,Dias_Sem_Compensacao!$A$2:$A$500),WORKDAY(A2476,E2476,Dias_Sem_Compensacao!$A$2:$A$500)),"")</f>
        <v>46315</v>
      </c>
      <c r="H2476" s="25">
        <v>0</v>
      </c>
      <c r="I2476" s="28">
        <v>46314</v>
      </c>
      <c r="J2476" t="s">
        <v>243</v>
      </c>
      <c r="K2476" t="s">
        <v>1826</v>
      </c>
    </row>
    <row r="2477" spans="1:11" hidden="1">
      <c r="A2477" s="28">
        <v>46314</v>
      </c>
      <c r="B2477" t="s">
        <v>186</v>
      </c>
      <c r="C2477" t="s">
        <v>203</v>
      </c>
      <c r="D2477" t="s">
        <v>217</v>
      </c>
      <c r="E2477">
        <f>IF(LEFT(D2477,6)="CLIENT",IFERROR(VLOOKUP(C2477,Config_Carteiras!$A:$B,2,FALSE),1),"")</f>
        <v>1</v>
      </c>
      <c r="F2477" s="25">
        <v>1078.3800000000001</v>
      </c>
      <c r="G2477" s="28">
        <f>IF(LEFT(D2477,6)="CLIENT",IF(E2477=0,WORKDAY(A2477-1,1,Dias_Sem_Compensacao!$A$2:$A$500),WORKDAY(A2477,E2477,Dias_Sem_Compensacao!$A$2:$A$500)),"")</f>
        <v>46315</v>
      </c>
      <c r="H2477" s="25">
        <v>0</v>
      </c>
      <c r="I2477" s="28">
        <v>46314</v>
      </c>
      <c r="J2477" t="s">
        <v>1703</v>
      </c>
      <c r="K2477" t="s">
        <v>1827</v>
      </c>
    </row>
    <row r="2478" spans="1:11" hidden="1">
      <c r="A2478" s="28">
        <v>46314</v>
      </c>
      <c r="B2478" t="s">
        <v>186</v>
      </c>
      <c r="C2478" t="s">
        <v>203</v>
      </c>
      <c r="D2478" t="s">
        <v>217</v>
      </c>
      <c r="E2478">
        <f>IF(LEFT(D2478,6)="CLIENT",IFERROR(VLOOKUP(C2478,Config_Carteiras!$A:$B,2,FALSE),1),"")</f>
        <v>1</v>
      </c>
      <c r="F2478" s="25">
        <v>1213</v>
      </c>
      <c r="G2478" s="28">
        <f>IF(LEFT(D2478,6)="CLIENT",IF(E2478=0,WORKDAY(A2478-1,1,Dias_Sem_Compensacao!$A$2:$A$500),WORKDAY(A2478,E2478,Dias_Sem_Compensacao!$A$2:$A$500)),"")</f>
        <v>46315</v>
      </c>
      <c r="H2478" s="25">
        <v>0</v>
      </c>
      <c r="I2478" s="28">
        <v>46314</v>
      </c>
      <c r="K2478" t="s">
        <v>1828</v>
      </c>
    </row>
    <row r="2479" spans="1:11" hidden="1">
      <c r="A2479" s="28">
        <v>46314</v>
      </c>
      <c r="B2479" t="s">
        <v>186</v>
      </c>
      <c r="C2479" t="s">
        <v>203</v>
      </c>
      <c r="D2479" t="s">
        <v>217</v>
      </c>
      <c r="E2479">
        <f>IF(LEFT(D2479,6)="CLIENT",IFERROR(VLOOKUP(C2479,Config_Carteiras!$A:$B,2,FALSE),1),"")</f>
        <v>1</v>
      </c>
      <c r="F2479" s="25">
        <v>1562</v>
      </c>
      <c r="G2479" s="28">
        <f>IF(LEFT(D2479,6)="CLIENT",IF(E2479=0,WORKDAY(A2479-1,1,Dias_Sem_Compensacao!$A$2:$A$500),WORKDAY(A2479,E2479,Dias_Sem_Compensacao!$A$2:$A$500)),"")</f>
        <v>46315</v>
      </c>
      <c r="H2479" s="25">
        <v>0</v>
      </c>
      <c r="I2479" s="28">
        <v>46314</v>
      </c>
      <c r="J2479" t="s">
        <v>290</v>
      </c>
      <c r="K2479" t="s">
        <v>2930</v>
      </c>
    </row>
    <row r="2480" spans="1:11" hidden="1">
      <c r="A2480" s="28">
        <v>46314</v>
      </c>
      <c r="B2480" t="s">
        <v>186</v>
      </c>
      <c r="C2480" t="s">
        <v>203</v>
      </c>
      <c r="D2480" t="s">
        <v>217</v>
      </c>
      <c r="E2480">
        <f>IF(LEFT(D2480,6)="CLIENT",IFERROR(VLOOKUP(C2480,Config_Carteiras!$A:$B,2,FALSE),1),"")</f>
        <v>1</v>
      </c>
      <c r="F2480" s="25">
        <v>781.27</v>
      </c>
      <c r="G2480" s="28">
        <f>IF(LEFT(D2480,6)="CLIENT",IF(E2480=0,WORKDAY(A2480-1,1,Dias_Sem_Compensacao!$A$2:$A$500),WORKDAY(A2480,E2480,Dias_Sem_Compensacao!$A$2:$A$500)),"")</f>
        <v>46315</v>
      </c>
      <c r="H2480" s="25">
        <v>0</v>
      </c>
      <c r="I2480" s="28">
        <v>46314</v>
      </c>
      <c r="J2480" t="s">
        <v>2423</v>
      </c>
      <c r="K2480" t="s">
        <v>2424</v>
      </c>
    </row>
    <row r="2481" spans="1:11" hidden="1">
      <c r="A2481" s="28">
        <v>46314</v>
      </c>
      <c r="B2481" t="s">
        <v>186</v>
      </c>
      <c r="C2481" t="s">
        <v>203</v>
      </c>
      <c r="D2481" t="s">
        <v>217</v>
      </c>
      <c r="E2481">
        <f>IF(LEFT(D2481,6)="CLIENT",IFERROR(VLOOKUP(C2481,Config_Carteiras!$A:$B,2,FALSE),1),"")</f>
        <v>1</v>
      </c>
      <c r="F2481" s="25">
        <v>1702</v>
      </c>
      <c r="G2481" s="28">
        <f>IF(LEFT(D2481,6)="CLIENT",IF(E2481=0,WORKDAY(A2481-1,1,Dias_Sem_Compensacao!$A$2:$A$500),WORKDAY(A2481,E2481,Dias_Sem_Compensacao!$A$2:$A$500)),"")</f>
        <v>46315</v>
      </c>
      <c r="H2481" s="25">
        <v>0</v>
      </c>
      <c r="I2481" s="28">
        <v>46314</v>
      </c>
      <c r="J2481" t="s">
        <v>1711</v>
      </c>
      <c r="K2481" t="s">
        <v>2931</v>
      </c>
    </row>
    <row r="2482" spans="1:11" hidden="1">
      <c r="A2482" s="28">
        <v>46314</v>
      </c>
      <c r="B2482" t="s">
        <v>186</v>
      </c>
      <c r="C2482" t="s">
        <v>203</v>
      </c>
      <c r="D2482" t="s">
        <v>217</v>
      </c>
      <c r="E2482">
        <f>IF(LEFT(D2482,6)="CLIENT",IFERROR(VLOOKUP(C2482,Config_Carteiras!$A:$B,2,FALSE),1),"")</f>
        <v>1</v>
      </c>
      <c r="F2482" s="25">
        <v>720.51</v>
      </c>
      <c r="G2482" s="28">
        <f>IF(LEFT(D2482,6)="CLIENT",IF(E2482=0,WORKDAY(A2482-1,1,Dias_Sem_Compensacao!$A$2:$A$500),WORKDAY(A2482,E2482,Dias_Sem_Compensacao!$A$2:$A$500)),"")</f>
        <v>46315</v>
      </c>
      <c r="H2482" s="25">
        <v>0</v>
      </c>
      <c r="I2482" s="28">
        <v>46314</v>
      </c>
      <c r="J2482" t="s">
        <v>2425</v>
      </c>
      <c r="K2482" t="s">
        <v>2426</v>
      </c>
    </row>
    <row r="2483" spans="1:11" hidden="1">
      <c r="A2483" s="28">
        <v>46314</v>
      </c>
      <c r="B2483" t="s">
        <v>186</v>
      </c>
      <c r="C2483" t="s">
        <v>203</v>
      </c>
      <c r="D2483" t="s">
        <v>217</v>
      </c>
      <c r="E2483">
        <f>IF(LEFT(D2483,6)="CLIENT",IFERROR(VLOOKUP(C2483,Config_Carteiras!$A:$B,2,FALSE),1),"")</f>
        <v>1</v>
      </c>
      <c r="F2483" s="25">
        <v>799.25</v>
      </c>
      <c r="G2483" s="28">
        <f>IF(LEFT(D2483,6)="CLIENT",IF(E2483=0,WORKDAY(A2483-1,1,Dias_Sem_Compensacao!$A$2:$A$500),WORKDAY(A2483,E2483,Dias_Sem_Compensacao!$A$2:$A$500)),"")</f>
        <v>46315</v>
      </c>
      <c r="H2483" s="25">
        <v>0</v>
      </c>
      <c r="I2483" s="28">
        <v>46314</v>
      </c>
      <c r="J2483" t="s">
        <v>1829</v>
      </c>
      <c r="K2483" t="s">
        <v>1830</v>
      </c>
    </row>
    <row r="2484" spans="1:11" hidden="1">
      <c r="A2484" s="28">
        <v>46314</v>
      </c>
      <c r="B2484" t="s">
        <v>186</v>
      </c>
      <c r="C2484" t="s">
        <v>203</v>
      </c>
      <c r="D2484" t="s">
        <v>217</v>
      </c>
      <c r="E2484">
        <f>IF(LEFT(D2484,6)="CLIENT",IFERROR(VLOOKUP(C2484,Config_Carteiras!$A:$B,2,FALSE),1),"")</f>
        <v>1</v>
      </c>
      <c r="F2484" s="25">
        <v>614</v>
      </c>
      <c r="G2484" s="28">
        <f>IF(LEFT(D2484,6)="CLIENT",IF(E2484=0,WORKDAY(A2484-1,1,Dias_Sem_Compensacao!$A$2:$A$500),WORKDAY(A2484,E2484,Dias_Sem_Compensacao!$A$2:$A$500)),"")</f>
        <v>46315</v>
      </c>
      <c r="H2484" s="25">
        <v>0</v>
      </c>
      <c r="I2484" s="28">
        <v>46314</v>
      </c>
      <c r="J2484" t="s">
        <v>2932</v>
      </c>
      <c r="K2484" t="s">
        <v>2933</v>
      </c>
    </row>
    <row r="2485" spans="1:11" hidden="1">
      <c r="A2485" s="28">
        <v>46314</v>
      </c>
      <c r="B2485" t="s">
        <v>186</v>
      </c>
      <c r="C2485" t="s">
        <v>203</v>
      </c>
      <c r="D2485" t="s">
        <v>217</v>
      </c>
      <c r="E2485">
        <f>IF(LEFT(D2485,6)="CLIENT",IFERROR(VLOOKUP(C2485,Config_Carteiras!$A:$B,2,FALSE),1),"")</f>
        <v>1</v>
      </c>
      <c r="F2485" s="25">
        <v>520.37</v>
      </c>
      <c r="G2485" s="28">
        <f>IF(LEFT(D2485,6)="CLIENT",IF(E2485=0,WORKDAY(A2485-1,1,Dias_Sem_Compensacao!$A$2:$A$500),WORKDAY(A2485,E2485,Dias_Sem_Compensacao!$A$2:$A$500)),"")</f>
        <v>46315</v>
      </c>
      <c r="H2485" s="25">
        <v>0</v>
      </c>
      <c r="I2485" s="28">
        <v>46314</v>
      </c>
      <c r="J2485" t="s">
        <v>2429</v>
      </c>
      <c r="K2485" t="s">
        <v>2430</v>
      </c>
    </row>
    <row r="2486" spans="1:11" hidden="1">
      <c r="A2486" s="28">
        <v>46314</v>
      </c>
      <c r="B2486" t="s">
        <v>186</v>
      </c>
      <c r="C2486" t="s">
        <v>203</v>
      </c>
      <c r="D2486" t="s">
        <v>217</v>
      </c>
      <c r="E2486">
        <f>IF(LEFT(D2486,6)="CLIENT",IFERROR(VLOOKUP(C2486,Config_Carteiras!$A:$B,2,FALSE),1),"")</f>
        <v>1</v>
      </c>
      <c r="F2486" s="25">
        <v>440.88</v>
      </c>
      <c r="G2486" s="28">
        <f>IF(LEFT(D2486,6)="CLIENT",IF(E2486=0,WORKDAY(A2486-1,1,Dias_Sem_Compensacao!$A$2:$A$500),WORKDAY(A2486,E2486,Dias_Sem_Compensacao!$A$2:$A$500)),"")</f>
        <v>46315</v>
      </c>
      <c r="H2486" s="25">
        <v>0</v>
      </c>
      <c r="I2486" s="28">
        <v>46314</v>
      </c>
      <c r="J2486" t="s">
        <v>1833</v>
      </c>
      <c r="K2486" t="s">
        <v>1834</v>
      </c>
    </row>
    <row r="2487" spans="1:11" hidden="1">
      <c r="A2487" s="28">
        <v>46314</v>
      </c>
      <c r="B2487" t="s">
        <v>186</v>
      </c>
      <c r="C2487" t="s">
        <v>203</v>
      </c>
      <c r="D2487" t="s">
        <v>217</v>
      </c>
      <c r="E2487">
        <f>IF(LEFT(D2487,6)="CLIENT",IFERROR(VLOOKUP(C2487,Config_Carteiras!$A:$B,2,FALSE),1),"")</f>
        <v>1</v>
      </c>
      <c r="F2487" s="25">
        <v>3841.74</v>
      </c>
      <c r="G2487" s="28">
        <f>IF(LEFT(D2487,6)="CLIENT",IF(E2487=0,WORKDAY(A2487-1,1,Dias_Sem_Compensacao!$A$2:$A$500),WORKDAY(A2487,E2487,Dias_Sem_Compensacao!$A$2:$A$500)),"")</f>
        <v>46315</v>
      </c>
      <c r="H2487" s="25">
        <v>0</v>
      </c>
      <c r="I2487" s="28">
        <v>46314</v>
      </c>
      <c r="J2487" t="s">
        <v>1835</v>
      </c>
      <c r="K2487" t="s">
        <v>1836</v>
      </c>
    </row>
    <row r="2488" spans="1:11" hidden="1">
      <c r="A2488" s="28">
        <v>46314</v>
      </c>
      <c r="B2488" t="s">
        <v>186</v>
      </c>
      <c r="C2488" t="s">
        <v>203</v>
      </c>
      <c r="D2488" t="s">
        <v>217</v>
      </c>
      <c r="E2488">
        <f>IF(LEFT(D2488,6)="CLIENT",IFERROR(VLOOKUP(C2488,Config_Carteiras!$A:$B,2,FALSE),1),"")</f>
        <v>1</v>
      </c>
      <c r="F2488" s="25">
        <v>3169.77</v>
      </c>
      <c r="G2488" s="28">
        <f>IF(LEFT(D2488,6)="CLIENT",IF(E2488=0,WORKDAY(A2488-1,1,Dias_Sem_Compensacao!$A$2:$A$500),WORKDAY(A2488,E2488,Dias_Sem_Compensacao!$A$2:$A$500)),"")</f>
        <v>46315</v>
      </c>
      <c r="H2488" s="25">
        <v>0</v>
      </c>
      <c r="I2488" s="28">
        <v>46314</v>
      </c>
      <c r="J2488" t="s">
        <v>1837</v>
      </c>
      <c r="K2488" t="s">
        <v>1838</v>
      </c>
    </row>
    <row r="2489" spans="1:11" hidden="1">
      <c r="A2489" s="28">
        <v>46314</v>
      </c>
      <c r="B2489" t="s">
        <v>186</v>
      </c>
      <c r="C2489" t="s">
        <v>203</v>
      </c>
      <c r="D2489" t="s">
        <v>217</v>
      </c>
      <c r="E2489">
        <f>IF(LEFT(D2489,6)="CLIENT",IFERROR(VLOOKUP(C2489,Config_Carteiras!$A:$B,2,FALSE),1),"")</f>
        <v>1</v>
      </c>
      <c r="F2489" s="25">
        <v>705</v>
      </c>
      <c r="G2489" s="28">
        <f>IF(LEFT(D2489,6)="CLIENT",IF(E2489=0,WORKDAY(A2489-1,1,Dias_Sem_Compensacao!$A$2:$A$500),WORKDAY(A2489,E2489,Dias_Sem_Compensacao!$A$2:$A$500)),"")</f>
        <v>46315</v>
      </c>
      <c r="H2489" s="25">
        <v>0</v>
      </c>
      <c r="I2489" s="28">
        <v>46314</v>
      </c>
      <c r="J2489" t="s">
        <v>2934</v>
      </c>
      <c r="K2489" t="s">
        <v>2935</v>
      </c>
    </row>
    <row r="2490" spans="1:11" hidden="1">
      <c r="A2490" s="28">
        <v>46314</v>
      </c>
      <c r="B2490" t="s">
        <v>186</v>
      </c>
      <c r="C2490" t="s">
        <v>203</v>
      </c>
      <c r="D2490" t="s">
        <v>217</v>
      </c>
      <c r="E2490">
        <f>IF(LEFT(D2490,6)="CLIENT",IFERROR(VLOOKUP(C2490,Config_Carteiras!$A:$B,2,FALSE),1),"")</f>
        <v>1</v>
      </c>
      <c r="F2490" s="25">
        <v>558</v>
      </c>
      <c r="G2490" s="28">
        <f>IF(LEFT(D2490,6)="CLIENT",IF(E2490=0,WORKDAY(A2490-1,1,Dias_Sem_Compensacao!$A$2:$A$500),WORKDAY(A2490,E2490,Dias_Sem_Compensacao!$A$2:$A$500)),"")</f>
        <v>46315</v>
      </c>
      <c r="H2490" s="25">
        <v>0</v>
      </c>
      <c r="I2490" s="28">
        <v>46314</v>
      </c>
      <c r="J2490" t="s">
        <v>2936</v>
      </c>
      <c r="K2490" t="s">
        <v>2937</v>
      </c>
    </row>
    <row r="2491" spans="1:11" hidden="1">
      <c r="A2491" s="28">
        <v>46314</v>
      </c>
      <c r="B2491" t="s">
        <v>186</v>
      </c>
      <c r="C2491" t="s">
        <v>203</v>
      </c>
      <c r="D2491" t="s">
        <v>217</v>
      </c>
      <c r="E2491">
        <f>IF(LEFT(D2491,6)="CLIENT",IFERROR(VLOOKUP(C2491,Config_Carteiras!$A:$B,2,FALSE),1),"")</f>
        <v>1</v>
      </c>
      <c r="F2491" s="25">
        <v>697</v>
      </c>
      <c r="G2491" s="28">
        <f>IF(LEFT(D2491,6)="CLIENT",IF(E2491=0,WORKDAY(A2491-1,1,Dias_Sem_Compensacao!$A$2:$A$500),WORKDAY(A2491,E2491,Dias_Sem_Compensacao!$A$2:$A$500)),"")</f>
        <v>46315</v>
      </c>
      <c r="H2491" s="25">
        <v>0</v>
      </c>
      <c r="I2491" s="28">
        <v>46314</v>
      </c>
      <c r="J2491" t="s">
        <v>2938</v>
      </c>
      <c r="K2491" t="s">
        <v>2939</v>
      </c>
    </row>
    <row r="2492" spans="1:11" hidden="1">
      <c r="A2492" s="28">
        <v>46314</v>
      </c>
      <c r="B2492" t="s">
        <v>186</v>
      </c>
      <c r="C2492" t="s">
        <v>203</v>
      </c>
      <c r="D2492" t="s">
        <v>217</v>
      </c>
      <c r="E2492">
        <f>IF(LEFT(D2492,6)="CLIENT",IFERROR(VLOOKUP(C2492,Config_Carteiras!$A:$B,2,FALSE),1),"")</f>
        <v>1</v>
      </c>
      <c r="F2492" s="25">
        <v>892</v>
      </c>
      <c r="G2492" s="28">
        <f>IF(LEFT(D2492,6)="CLIENT",IF(E2492=0,WORKDAY(A2492-1,1,Dias_Sem_Compensacao!$A$2:$A$500),WORKDAY(A2492,E2492,Dias_Sem_Compensacao!$A$2:$A$500)),"")</f>
        <v>46315</v>
      </c>
      <c r="H2492" s="25">
        <v>0</v>
      </c>
      <c r="I2492" s="28">
        <v>46314</v>
      </c>
      <c r="J2492" t="s">
        <v>2940</v>
      </c>
      <c r="K2492" t="s">
        <v>2941</v>
      </c>
    </row>
    <row r="2493" spans="1:11" hidden="1">
      <c r="A2493" s="28">
        <v>46314</v>
      </c>
      <c r="B2493" t="s">
        <v>186</v>
      </c>
      <c r="C2493" t="s">
        <v>203</v>
      </c>
      <c r="D2493" t="s">
        <v>217</v>
      </c>
      <c r="E2493">
        <f>IF(LEFT(D2493,6)="CLIENT",IFERROR(VLOOKUP(C2493,Config_Carteiras!$A:$B,2,FALSE),1),"")</f>
        <v>1</v>
      </c>
      <c r="F2493" s="25">
        <v>2288.48</v>
      </c>
      <c r="G2493" s="28">
        <f>IF(LEFT(D2493,6)="CLIENT",IF(E2493=0,WORKDAY(A2493-1,1,Dias_Sem_Compensacao!$A$2:$A$500),WORKDAY(A2493,E2493,Dias_Sem_Compensacao!$A$2:$A$500)),"")</f>
        <v>46315</v>
      </c>
      <c r="H2493" s="25">
        <v>0</v>
      </c>
      <c r="I2493" s="28">
        <v>46314</v>
      </c>
      <c r="J2493" t="s">
        <v>1843</v>
      </c>
      <c r="K2493" t="s">
        <v>1844</v>
      </c>
    </row>
    <row r="2494" spans="1:11" hidden="1">
      <c r="A2494" s="28">
        <v>46314</v>
      </c>
      <c r="B2494" t="s">
        <v>186</v>
      </c>
      <c r="C2494" t="s">
        <v>203</v>
      </c>
      <c r="D2494" t="s">
        <v>217</v>
      </c>
      <c r="E2494">
        <f>IF(LEFT(D2494,6)="CLIENT",IFERROR(VLOOKUP(C2494,Config_Carteiras!$A:$B,2,FALSE),1),"")</f>
        <v>1</v>
      </c>
      <c r="F2494" s="25">
        <v>522</v>
      </c>
      <c r="G2494" s="28">
        <f>IF(LEFT(D2494,6)="CLIENT",IF(E2494=0,WORKDAY(A2494-1,1,Dias_Sem_Compensacao!$A$2:$A$500),WORKDAY(A2494,E2494,Dias_Sem_Compensacao!$A$2:$A$500)),"")</f>
        <v>46315</v>
      </c>
      <c r="H2494" s="25">
        <v>0</v>
      </c>
      <c r="I2494" s="28">
        <v>46314</v>
      </c>
      <c r="J2494" t="s">
        <v>2942</v>
      </c>
      <c r="K2494" t="s">
        <v>2943</v>
      </c>
    </row>
    <row r="2495" spans="1:11" hidden="1">
      <c r="A2495" s="28">
        <v>46314</v>
      </c>
      <c r="B2495" t="s">
        <v>186</v>
      </c>
      <c r="C2495" t="s">
        <v>203</v>
      </c>
      <c r="D2495" t="s">
        <v>217</v>
      </c>
      <c r="E2495">
        <f>IF(LEFT(D2495,6)="CLIENT",IFERROR(VLOOKUP(C2495,Config_Carteiras!$A:$B,2,FALSE),1),"")</f>
        <v>1</v>
      </c>
      <c r="F2495" s="25">
        <v>614</v>
      </c>
      <c r="G2495" s="28">
        <f>IF(LEFT(D2495,6)="CLIENT",IF(E2495=0,WORKDAY(A2495-1,1,Dias_Sem_Compensacao!$A$2:$A$500),WORKDAY(A2495,E2495,Dias_Sem_Compensacao!$A$2:$A$500)),"")</f>
        <v>46315</v>
      </c>
      <c r="H2495" s="25">
        <v>0</v>
      </c>
      <c r="I2495" s="28">
        <v>46314</v>
      </c>
      <c r="J2495" t="s">
        <v>2944</v>
      </c>
      <c r="K2495" t="s">
        <v>2945</v>
      </c>
    </row>
    <row r="2496" spans="1:11" hidden="1">
      <c r="A2496" s="28">
        <v>46314</v>
      </c>
      <c r="B2496" t="s">
        <v>186</v>
      </c>
      <c r="C2496" t="s">
        <v>203</v>
      </c>
      <c r="D2496" t="s">
        <v>217</v>
      </c>
      <c r="E2496">
        <f>IF(LEFT(D2496,6)="CLIENT",IFERROR(VLOOKUP(C2496,Config_Carteiras!$A:$B,2,FALSE),1),"")</f>
        <v>1</v>
      </c>
      <c r="F2496" s="25">
        <v>644</v>
      </c>
      <c r="G2496" s="28">
        <f>IF(LEFT(D2496,6)="CLIENT",IF(E2496=0,WORKDAY(A2496-1,1,Dias_Sem_Compensacao!$A$2:$A$500),WORKDAY(A2496,E2496,Dias_Sem_Compensacao!$A$2:$A$500)),"")</f>
        <v>46315</v>
      </c>
      <c r="H2496" s="25">
        <v>0</v>
      </c>
      <c r="I2496" s="28">
        <v>46314</v>
      </c>
      <c r="J2496" t="s">
        <v>1862</v>
      </c>
      <c r="K2496" t="s">
        <v>2946</v>
      </c>
    </row>
    <row r="2497" spans="1:11" hidden="1">
      <c r="A2497" s="28">
        <v>46314</v>
      </c>
      <c r="B2497" t="s">
        <v>186</v>
      </c>
      <c r="C2497" t="s">
        <v>203</v>
      </c>
      <c r="D2497" t="s">
        <v>217</v>
      </c>
      <c r="E2497">
        <f>IF(LEFT(D2497,6)="CLIENT",IFERROR(VLOOKUP(C2497,Config_Carteiras!$A:$B,2,FALSE),1),"")</f>
        <v>1</v>
      </c>
      <c r="F2497" s="25">
        <v>2302.7600000000002</v>
      </c>
      <c r="G2497" s="28">
        <f>IF(LEFT(D2497,6)="CLIENT",IF(E2497=0,WORKDAY(A2497-1,1,Dias_Sem_Compensacao!$A$2:$A$500),WORKDAY(A2497,E2497,Dias_Sem_Compensacao!$A$2:$A$500)),"")</f>
        <v>46315</v>
      </c>
      <c r="H2497" s="25">
        <v>0</v>
      </c>
      <c r="I2497" s="28">
        <v>46314</v>
      </c>
      <c r="J2497" t="s">
        <v>2445</v>
      </c>
      <c r="K2497" t="s">
        <v>2446</v>
      </c>
    </row>
    <row r="2498" spans="1:11" hidden="1">
      <c r="A2498" s="28">
        <v>46314</v>
      </c>
      <c r="B2498" t="s">
        <v>186</v>
      </c>
      <c r="C2498" t="s">
        <v>203</v>
      </c>
      <c r="D2498" t="s">
        <v>217</v>
      </c>
      <c r="E2498">
        <f>IF(LEFT(D2498,6)="CLIENT",IFERROR(VLOOKUP(C2498,Config_Carteiras!$A:$B,2,FALSE),1),"")</f>
        <v>1</v>
      </c>
      <c r="F2498" s="25">
        <v>880</v>
      </c>
      <c r="G2498" s="28">
        <f>IF(LEFT(D2498,6)="CLIENT",IF(E2498=0,WORKDAY(A2498-1,1,Dias_Sem_Compensacao!$A$2:$A$500),WORKDAY(A2498,E2498,Dias_Sem_Compensacao!$A$2:$A$500)),"")</f>
        <v>46315</v>
      </c>
      <c r="H2498" s="25">
        <v>0</v>
      </c>
      <c r="I2498" s="28">
        <v>46314</v>
      </c>
      <c r="J2498" t="s">
        <v>2447</v>
      </c>
      <c r="K2498" t="s">
        <v>2448</v>
      </c>
    </row>
    <row r="2499" spans="1:11" hidden="1">
      <c r="A2499" s="28">
        <v>46314</v>
      </c>
      <c r="B2499" t="s">
        <v>186</v>
      </c>
      <c r="C2499" t="s">
        <v>203</v>
      </c>
      <c r="D2499" t="s">
        <v>217</v>
      </c>
      <c r="E2499">
        <f>IF(LEFT(D2499,6)="CLIENT",IFERROR(VLOOKUP(C2499,Config_Carteiras!$A:$B,2,FALSE),1),"")</f>
        <v>1</v>
      </c>
      <c r="F2499" s="25">
        <v>542</v>
      </c>
      <c r="G2499" s="28">
        <f>IF(LEFT(D2499,6)="CLIENT",IF(E2499=0,WORKDAY(A2499-1,1,Dias_Sem_Compensacao!$A$2:$A$500),WORKDAY(A2499,E2499,Dias_Sem_Compensacao!$A$2:$A$500)),"")</f>
        <v>46315</v>
      </c>
      <c r="H2499" s="25">
        <v>0</v>
      </c>
      <c r="I2499" s="28">
        <v>46314</v>
      </c>
      <c r="J2499" t="s">
        <v>2947</v>
      </c>
      <c r="K2499" t="s">
        <v>2948</v>
      </c>
    </row>
    <row r="2500" spans="1:11" hidden="1">
      <c r="A2500" s="28">
        <v>46314</v>
      </c>
      <c r="B2500" t="s">
        <v>186</v>
      </c>
      <c r="C2500" t="s">
        <v>203</v>
      </c>
      <c r="D2500" t="s">
        <v>217</v>
      </c>
      <c r="E2500">
        <f>IF(LEFT(D2500,6)="CLIENT",IFERROR(VLOOKUP(C2500,Config_Carteiras!$A:$B,2,FALSE),1),"")</f>
        <v>1</v>
      </c>
      <c r="F2500" s="25">
        <v>516.20000000000005</v>
      </c>
      <c r="G2500" s="28">
        <f>IF(LEFT(D2500,6)="CLIENT",IF(E2500=0,WORKDAY(A2500-1,1,Dias_Sem_Compensacao!$A$2:$A$500),WORKDAY(A2500,E2500,Dias_Sem_Compensacao!$A$2:$A$500)),"")</f>
        <v>46315</v>
      </c>
      <c r="H2500" s="25">
        <v>0</v>
      </c>
      <c r="I2500" s="28">
        <v>46314</v>
      </c>
      <c r="J2500" t="s">
        <v>1864</v>
      </c>
      <c r="K2500" t="s">
        <v>1865</v>
      </c>
    </row>
    <row r="2501" spans="1:11" hidden="1">
      <c r="A2501" s="28">
        <v>46314</v>
      </c>
      <c r="B2501" t="s">
        <v>186</v>
      </c>
      <c r="C2501" t="s">
        <v>203</v>
      </c>
      <c r="D2501" t="s">
        <v>217</v>
      </c>
      <c r="E2501">
        <f>IF(LEFT(D2501,6)="CLIENT",IFERROR(VLOOKUP(C2501,Config_Carteiras!$A:$B,2,FALSE),1),"")</f>
        <v>1</v>
      </c>
      <c r="F2501" s="25">
        <v>907</v>
      </c>
      <c r="G2501" s="28">
        <f>IF(LEFT(D2501,6)="CLIENT",IF(E2501=0,WORKDAY(A2501-1,1,Dias_Sem_Compensacao!$A$2:$A$500),WORKDAY(A2501,E2501,Dias_Sem_Compensacao!$A$2:$A$500)),"")</f>
        <v>46315</v>
      </c>
      <c r="H2501" s="25">
        <v>0</v>
      </c>
      <c r="I2501" s="28">
        <v>46314</v>
      </c>
      <c r="J2501" t="s">
        <v>2949</v>
      </c>
      <c r="K2501" t="s">
        <v>2950</v>
      </c>
    </row>
    <row r="2502" spans="1:11" hidden="1">
      <c r="A2502" s="28">
        <v>46314</v>
      </c>
      <c r="B2502" t="s">
        <v>186</v>
      </c>
      <c r="C2502" t="s">
        <v>203</v>
      </c>
      <c r="D2502" t="s">
        <v>217</v>
      </c>
      <c r="E2502">
        <f>IF(LEFT(D2502,6)="CLIENT",IFERROR(VLOOKUP(C2502,Config_Carteiras!$A:$B,2,FALSE),1),"")</f>
        <v>1</v>
      </c>
      <c r="F2502" s="25">
        <v>1655</v>
      </c>
      <c r="G2502" s="28">
        <f>IF(LEFT(D2502,6)="CLIENT",IF(E2502=0,WORKDAY(A2502-1,1,Dias_Sem_Compensacao!$A$2:$A$500),WORKDAY(A2502,E2502,Dias_Sem_Compensacao!$A$2:$A$500)),"")</f>
        <v>46315</v>
      </c>
      <c r="H2502" s="25">
        <v>0</v>
      </c>
      <c r="I2502" s="28">
        <v>46314</v>
      </c>
      <c r="J2502" t="s">
        <v>1367</v>
      </c>
      <c r="K2502" t="s">
        <v>2449</v>
      </c>
    </row>
    <row r="2503" spans="1:11" hidden="1">
      <c r="A2503" s="28">
        <v>46314</v>
      </c>
      <c r="B2503" t="s">
        <v>186</v>
      </c>
      <c r="C2503" t="s">
        <v>203</v>
      </c>
      <c r="D2503" t="s">
        <v>217</v>
      </c>
      <c r="E2503">
        <f>IF(LEFT(D2503,6)="CLIENT",IFERROR(VLOOKUP(C2503,Config_Carteiras!$A:$B,2,FALSE),1),"")</f>
        <v>1</v>
      </c>
      <c r="F2503" s="25">
        <v>571.80999999999995</v>
      </c>
      <c r="G2503" s="28">
        <f>IF(LEFT(D2503,6)="CLIENT",IF(E2503=0,WORKDAY(A2503-1,1,Dias_Sem_Compensacao!$A$2:$A$500),WORKDAY(A2503,E2503,Dias_Sem_Compensacao!$A$2:$A$500)),"")</f>
        <v>46315</v>
      </c>
      <c r="H2503" s="25">
        <v>0</v>
      </c>
      <c r="I2503" s="28">
        <v>46314</v>
      </c>
      <c r="J2503" t="s">
        <v>2450</v>
      </c>
      <c r="K2503" t="s">
        <v>2451</v>
      </c>
    </row>
    <row r="2504" spans="1:11" hidden="1">
      <c r="A2504" s="28">
        <v>46314</v>
      </c>
      <c r="B2504" t="s">
        <v>186</v>
      </c>
      <c r="C2504" t="s">
        <v>203</v>
      </c>
      <c r="D2504" t="s">
        <v>217</v>
      </c>
      <c r="E2504">
        <f>IF(LEFT(D2504,6)="CLIENT",IFERROR(VLOOKUP(C2504,Config_Carteiras!$A:$B,2,FALSE),1),"")</f>
        <v>1</v>
      </c>
      <c r="F2504" s="25">
        <v>821</v>
      </c>
      <c r="G2504" s="28">
        <f>IF(LEFT(D2504,6)="CLIENT",IF(E2504=0,WORKDAY(A2504-1,1,Dias_Sem_Compensacao!$A$2:$A$500),WORKDAY(A2504,E2504,Dias_Sem_Compensacao!$A$2:$A$500)),"")</f>
        <v>46315</v>
      </c>
      <c r="H2504" s="25">
        <v>0</v>
      </c>
      <c r="I2504" s="28">
        <v>46314</v>
      </c>
      <c r="J2504" t="s">
        <v>2452</v>
      </c>
      <c r="K2504" t="s">
        <v>2453</v>
      </c>
    </row>
    <row r="2505" spans="1:11" hidden="1">
      <c r="A2505" s="28">
        <v>46314</v>
      </c>
      <c r="B2505" t="s">
        <v>186</v>
      </c>
      <c r="C2505" t="s">
        <v>203</v>
      </c>
      <c r="D2505" t="s">
        <v>217</v>
      </c>
      <c r="E2505">
        <f>IF(LEFT(D2505,6)="CLIENT",IFERROR(VLOOKUP(C2505,Config_Carteiras!$A:$B,2,FALSE),1),"")</f>
        <v>1</v>
      </c>
      <c r="F2505" s="25">
        <v>2395.36</v>
      </c>
      <c r="G2505" s="28">
        <f>IF(LEFT(D2505,6)="CLIENT",IF(E2505=0,WORKDAY(A2505-1,1,Dias_Sem_Compensacao!$A$2:$A$500),WORKDAY(A2505,E2505,Dias_Sem_Compensacao!$A$2:$A$500)),"")</f>
        <v>46315</v>
      </c>
      <c r="H2505" s="25">
        <v>0</v>
      </c>
      <c r="I2505" s="28">
        <v>46314</v>
      </c>
      <c r="J2505" t="s">
        <v>2456</v>
      </c>
      <c r="K2505" t="s">
        <v>2457</v>
      </c>
    </row>
    <row r="2506" spans="1:11" hidden="1">
      <c r="A2506" s="28">
        <v>46314</v>
      </c>
      <c r="B2506" t="s">
        <v>186</v>
      </c>
      <c r="C2506" t="s">
        <v>203</v>
      </c>
      <c r="D2506" t="s">
        <v>217</v>
      </c>
      <c r="E2506">
        <f>IF(LEFT(D2506,6)="CLIENT",IFERROR(VLOOKUP(C2506,Config_Carteiras!$A:$B,2,FALSE),1),"")</f>
        <v>1</v>
      </c>
      <c r="F2506" s="25">
        <v>1055.33</v>
      </c>
      <c r="G2506" s="28">
        <f>IF(LEFT(D2506,6)="CLIENT",IF(E2506=0,WORKDAY(A2506-1,1,Dias_Sem_Compensacao!$A$2:$A$500),WORKDAY(A2506,E2506,Dias_Sem_Compensacao!$A$2:$A$500)),"")</f>
        <v>46315</v>
      </c>
      <c r="H2506" s="25">
        <v>0</v>
      </c>
      <c r="I2506" s="28">
        <v>46314</v>
      </c>
      <c r="J2506" t="s">
        <v>2460</v>
      </c>
      <c r="K2506" t="s">
        <v>2461</v>
      </c>
    </row>
    <row r="2507" spans="1:11" hidden="1">
      <c r="A2507" s="28">
        <v>46314</v>
      </c>
      <c r="B2507" t="s">
        <v>186</v>
      </c>
      <c r="C2507" t="s">
        <v>203</v>
      </c>
      <c r="D2507" t="s">
        <v>217</v>
      </c>
      <c r="E2507">
        <f>IF(LEFT(D2507,6)="CLIENT",IFERROR(VLOOKUP(C2507,Config_Carteiras!$A:$B,2,FALSE),1),"")</f>
        <v>1</v>
      </c>
      <c r="F2507" s="25">
        <v>496</v>
      </c>
      <c r="G2507" s="28">
        <f>IF(LEFT(D2507,6)="CLIENT",IF(E2507=0,WORKDAY(A2507-1,1,Dias_Sem_Compensacao!$A$2:$A$500),WORKDAY(A2507,E2507,Dias_Sem_Compensacao!$A$2:$A$500)),"")</f>
        <v>46315</v>
      </c>
      <c r="H2507" s="25">
        <v>0</v>
      </c>
      <c r="I2507" s="28">
        <v>46314</v>
      </c>
      <c r="J2507" t="s">
        <v>554</v>
      </c>
      <c r="K2507" t="s">
        <v>1867</v>
      </c>
    </row>
    <row r="2508" spans="1:11" hidden="1">
      <c r="A2508" s="28">
        <v>46314</v>
      </c>
      <c r="B2508" t="s">
        <v>186</v>
      </c>
      <c r="C2508" t="s">
        <v>203</v>
      </c>
      <c r="D2508" t="s">
        <v>217</v>
      </c>
      <c r="E2508">
        <f>IF(LEFT(D2508,6)="CLIENT",IFERROR(VLOOKUP(C2508,Config_Carteiras!$A:$B,2,FALSE),1),"")</f>
        <v>1</v>
      </c>
      <c r="F2508" s="25">
        <v>1280</v>
      </c>
      <c r="G2508" s="28">
        <f>IF(LEFT(D2508,6)="CLIENT",IF(E2508=0,WORKDAY(A2508-1,1,Dias_Sem_Compensacao!$A$2:$A$500),WORKDAY(A2508,E2508,Dias_Sem_Compensacao!$A$2:$A$500)),"")</f>
        <v>46315</v>
      </c>
      <c r="H2508" s="25">
        <v>0</v>
      </c>
      <c r="I2508" s="28">
        <v>46314</v>
      </c>
      <c r="K2508" t="s">
        <v>2464</v>
      </c>
    </row>
    <row r="2509" spans="1:11" hidden="1">
      <c r="A2509" s="28">
        <v>46314</v>
      </c>
      <c r="B2509" t="s">
        <v>186</v>
      </c>
      <c r="C2509" t="s">
        <v>203</v>
      </c>
      <c r="D2509" t="s">
        <v>217</v>
      </c>
      <c r="E2509">
        <f>IF(LEFT(D2509,6)="CLIENT",IFERROR(VLOOKUP(C2509,Config_Carteiras!$A:$B,2,FALSE),1),"")</f>
        <v>1</v>
      </c>
      <c r="F2509" s="25">
        <v>6338</v>
      </c>
      <c r="G2509" s="28">
        <f>IF(LEFT(D2509,6)="CLIENT",IF(E2509=0,WORKDAY(A2509-1,1,Dias_Sem_Compensacao!$A$2:$A$500),WORKDAY(A2509,E2509,Dias_Sem_Compensacao!$A$2:$A$500)),"")</f>
        <v>46315</v>
      </c>
      <c r="H2509" s="25">
        <v>0</v>
      </c>
      <c r="I2509" s="28">
        <v>46314</v>
      </c>
      <c r="J2509" t="s">
        <v>80</v>
      </c>
      <c r="K2509" t="s">
        <v>2951</v>
      </c>
    </row>
    <row r="2510" spans="1:11" hidden="1">
      <c r="A2510" s="28">
        <v>46314</v>
      </c>
      <c r="B2510" t="s">
        <v>186</v>
      </c>
      <c r="C2510" t="s">
        <v>203</v>
      </c>
      <c r="D2510" t="s">
        <v>217</v>
      </c>
      <c r="E2510">
        <f>IF(LEFT(D2510,6)="CLIENT",IFERROR(VLOOKUP(C2510,Config_Carteiras!$A:$B,2,FALSE),1),"")</f>
        <v>1</v>
      </c>
      <c r="F2510" s="25">
        <v>657.89</v>
      </c>
      <c r="G2510" s="28">
        <f>IF(LEFT(D2510,6)="CLIENT",IF(E2510=0,WORKDAY(A2510-1,1,Dias_Sem_Compensacao!$A$2:$A$500),WORKDAY(A2510,E2510,Dias_Sem_Compensacao!$A$2:$A$500)),"")</f>
        <v>46315</v>
      </c>
      <c r="H2510" s="25">
        <v>0</v>
      </c>
      <c r="I2510" s="28">
        <v>46314</v>
      </c>
      <c r="J2510" t="s">
        <v>1868</v>
      </c>
      <c r="K2510" t="s">
        <v>1869</v>
      </c>
    </row>
    <row r="2511" spans="1:11" hidden="1">
      <c r="A2511" s="28">
        <v>46314</v>
      </c>
      <c r="B2511" t="s">
        <v>186</v>
      </c>
      <c r="C2511" t="s">
        <v>203</v>
      </c>
      <c r="D2511" t="s">
        <v>217</v>
      </c>
      <c r="E2511">
        <f>IF(LEFT(D2511,6)="CLIENT",IFERROR(VLOOKUP(C2511,Config_Carteiras!$A:$B,2,FALSE),1),"")</f>
        <v>1</v>
      </c>
      <c r="F2511" s="25">
        <v>834.74</v>
      </c>
      <c r="G2511" s="28">
        <f>IF(LEFT(D2511,6)="CLIENT",IF(E2511=0,WORKDAY(A2511-1,1,Dias_Sem_Compensacao!$A$2:$A$500),WORKDAY(A2511,E2511,Dias_Sem_Compensacao!$A$2:$A$500)),"")</f>
        <v>46315</v>
      </c>
      <c r="H2511" s="25">
        <v>0</v>
      </c>
      <c r="I2511" s="28">
        <v>46314</v>
      </c>
      <c r="J2511" t="s">
        <v>1371</v>
      </c>
      <c r="K2511" t="s">
        <v>1872</v>
      </c>
    </row>
    <row r="2512" spans="1:11" hidden="1">
      <c r="A2512" s="28">
        <v>46314</v>
      </c>
      <c r="B2512" t="s">
        <v>186</v>
      </c>
      <c r="C2512" t="s">
        <v>203</v>
      </c>
      <c r="D2512" t="s">
        <v>217</v>
      </c>
      <c r="E2512">
        <f>IF(LEFT(D2512,6)="CLIENT",IFERROR(VLOOKUP(C2512,Config_Carteiras!$A:$B,2,FALSE),1),"")</f>
        <v>1</v>
      </c>
      <c r="F2512" s="25">
        <v>326</v>
      </c>
      <c r="G2512" s="28">
        <f>IF(LEFT(D2512,6)="CLIENT",IF(E2512=0,WORKDAY(A2512-1,1,Dias_Sem_Compensacao!$A$2:$A$500),WORKDAY(A2512,E2512,Dias_Sem_Compensacao!$A$2:$A$500)),"")</f>
        <v>46315</v>
      </c>
      <c r="H2512" s="25">
        <v>0</v>
      </c>
      <c r="I2512" s="28">
        <v>46314</v>
      </c>
      <c r="J2512" t="s">
        <v>2467</v>
      </c>
      <c r="K2512" t="s">
        <v>2468</v>
      </c>
    </row>
    <row r="2513" spans="1:11" hidden="1">
      <c r="A2513" s="28">
        <v>46314</v>
      </c>
      <c r="B2513" t="s">
        <v>186</v>
      </c>
      <c r="C2513" t="s">
        <v>203</v>
      </c>
      <c r="D2513" t="s">
        <v>217</v>
      </c>
      <c r="E2513">
        <f>IF(LEFT(D2513,6)="CLIENT",IFERROR(VLOOKUP(C2513,Config_Carteiras!$A:$B,2,FALSE),1),"")</f>
        <v>1</v>
      </c>
      <c r="F2513" s="25">
        <v>1700.2</v>
      </c>
      <c r="G2513" s="28">
        <f>IF(LEFT(D2513,6)="CLIENT",IF(E2513=0,WORKDAY(A2513-1,1,Dias_Sem_Compensacao!$A$2:$A$500),WORKDAY(A2513,E2513,Dias_Sem_Compensacao!$A$2:$A$500)),"")</f>
        <v>46315</v>
      </c>
      <c r="H2513" s="25">
        <v>0</v>
      </c>
      <c r="I2513" s="28">
        <v>46314</v>
      </c>
      <c r="J2513" t="s">
        <v>1875</v>
      </c>
      <c r="K2513" t="s">
        <v>1876</v>
      </c>
    </row>
    <row r="2514" spans="1:11" hidden="1">
      <c r="A2514" s="28">
        <v>46314</v>
      </c>
      <c r="B2514" t="s">
        <v>186</v>
      </c>
      <c r="C2514" t="s">
        <v>203</v>
      </c>
      <c r="D2514" t="s">
        <v>217</v>
      </c>
      <c r="E2514">
        <f>IF(LEFT(D2514,6)="CLIENT",IFERROR(VLOOKUP(C2514,Config_Carteiras!$A:$B,2,FALSE),1),"")</f>
        <v>1</v>
      </c>
      <c r="F2514" s="25">
        <v>769.7</v>
      </c>
      <c r="G2514" s="28">
        <f>IF(LEFT(D2514,6)="CLIENT",IF(E2514=0,WORKDAY(A2514-1,1,Dias_Sem_Compensacao!$A$2:$A$500),WORKDAY(A2514,E2514,Dias_Sem_Compensacao!$A$2:$A$500)),"")</f>
        <v>46315</v>
      </c>
      <c r="H2514" s="25">
        <v>0</v>
      </c>
      <c r="I2514" s="28">
        <v>46314</v>
      </c>
      <c r="J2514" t="s">
        <v>316</v>
      </c>
      <c r="K2514" t="s">
        <v>2471</v>
      </c>
    </row>
    <row r="2515" spans="1:11" hidden="1">
      <c r="A2515" s="28">
        <v>46314</v>
      </c>
      <c r="B2515" t="s">
        <v>186</v>
      </c>
      <c r="C2515" t="s">
        <v>203</v>
      </c>
      <c r="D2515" t="s">
        <v>217</v>
      </c>
      <c r="E2515">
        <f>IF(LEFT(D2515,6)="CLIENT",IFERROR(VLOOKUP(C2515,Config_Carteiras!$A:$B,2,FALSE),1),"")</f>
        <v>1</v>
      </c>
      <c r="F2515" s="25">
        <v>464</v>
      </c>
      <c r="G2515" s="28">
        <f>IF(LEFT(D2515,6)="CLIENT",IF(E2515=0,WORKDAY(A2515-1,1,Dias_Sem_Compensacao!$A$2:$A$500),WORKDAY(A2515,E2515,Dias_Sem_Compensacao!$A$2:$A$500)),"")</f>
        <v>46315</v>
      </c>
      <c r="H2515" s="25">
        <v>0</v>
      </c>
      <c r="I2515" s="28">
        <v>46314</v>
      </c>
      <c r="J2515" t="s">
        <v>2952</v>
      </c>
      <c r="K2515" t="s">
        <v>2953</v>
      </c>
    </row>
    <row r="2516" spans="1:11" hidden="1">
      <c r="A2516" s="28">
        <v>46314</v>
      </c>
      <c r="B2516" t="s">
        <v>186</v>
      </c>
      <c r="C2516" t="s">
        <v>203</v>
      </c>
      <c r="D2516" t="s">
        <v>217</v>
      </c>
      <c r="E2516">
        <f>IF(LEFT(D2516,6)="CLIENT",IFERROR(VLOOKUP(C2516,Config_Carteiras!$A:$B,2,FALSE),1),"")</f>
        <v>1</v>
      </c>
      <c r="F2516" s="25">
        <v>571.19000000000005</v>
      </c>
      <c r="G2516" s="28">
        <f>IF(LEFT(D2516,6)="CLIENT",IF(E2516=0,WORKDAY(A2516-1,1,Dias_Sem_Compensacao!$A$2:$A$500),WORKDAY(A2516,E2516,Dias_Sem_Compensacao!$A$2:$A$500)),"")</f>
        <v>46315</v>
      </c>
      <c r="H2516" s="25">
        <v>0</v>
      </c>
      <c r="I2516" s="28">
        <v>46314</v>
      </c>
      <c r="J2516" t="s">
        <v>1564</v>
      </c>
      <c r="K2516" t="s">
        <v>2478</v>
      </c>
    </row>
    <row r="2517" spans="1:11" hidden="1">
      <c r="A2517" s="28">
        <v>46314</v>
      </c>
      <c r="B2517" t="s">
        <v>186</v>
      </c>
      <c r="C2517" t="s">
        <v>203</v>
      </c>
      <c r="D2517" t="s">
        <v>217</v>
      </c>
      <c r="E2517">
        <f>IF(LEFT(D2517,6)="CLIENT",IFERROR(VLOOKUP(C2517,Config_Carteiras!$A:$B,2,FALSE),1),"")</f>
        <v>1</v>
      </c>
      <c r="F2517" s="25">
        <v>1213</v>
      </c>
      <c r="G2517" s="28">
        <f>IF(LEFT(D2517,6)="CLIENT",IF(E2517=0,WORKDAY(A2517-1,1,Dias_Sem_Compensacao!$A$2:$A$500),WORKDAY(A2517,E2517,Dias_Sem_Compensacao!$A$2:$A$500)),"")</f>
        <v>46315</v>
      </c>
      <c r="H2517" s="25">
        <v>0</v>
      </c>
      <c r="I2517" s="28">
        <v>46314</v>
      </c>
      <c r="J2517" t="s">
        <v>2954</v>
      </c>
      <c r="K2517" t="s">
        <v>2955</v>
      </c>
    </row>
    <row r="2518" spans="1:11" hidden="1">
      <c r="A2518" s="28">
        <v>46314</v>
      </c>
      <c r="B2518" t="s">
        <v>186</v>
      </c>
      <c r="C2518" t="s">
        <v>203</v>
      </c>
      <c r="D2518" t="s">
        <v>217</v>
      </c>
      <c r="E2518">
        <f>IF(LEFT(D2518,6)="CLIENT",IFERROR(VLOOKUP(C2518,Config_Carteiras!$A:$B,2,FALSE),1),"")</f>
        <v>1</v>
      </c>
      <c r="F2518" s="25">
        <v>1213</v>
      </c>
      <c r="G2518" s="28">
        <f>IF(LEFT(D2518,6)="CLIENT",IF(E2518=0,WORKDAY(A2518-1,1,Dias_Sem_Compensacao!$A$2:$A$500),WORKDAY(A2518,E2518,Dias_Sem_Compensacao!$A$2:$A$500)),"")</f>
        <v>46315</v>
      </c>
      <c r="H2518" s="25">
        <v>0</v>
      </c>
      <c r="I2518" s="28">
        <v>46314</v>
      </c>
      <c r="J2518" t="s">
        <v>2956</v>
      </c>
      <c r="K2518" t="s">
        <v>2957</v>
      </c>
    </row>
    <row r="2519" spans="1:11" hidden="1">
      <c r="A2519" s="28">
        <v>46314</v>
      </c>
      <c r="B2519" t="s">
        <v>186</v>
      </c>
      <c r="C2519" t="s">
        <v>203</v>
      </c>
      <c r="D2519" t="s">
        <v>217</v>
      </c>
      <c r="E2519">
        <f>IF(LEFT(D2519,6)="CLIENT",IFERROR(VLOOKUP(C2519,Config_Carteiras!$A:$B,2,FALSE),1),"")</f>
        <v>1</v>
      </c>
      <c r="F2519" s="25">
        <v>921.6</v>
      </c>
      <c r="G2519" s="28">
        <f>IF(LEFT(D2519,6)="CLIENT",IF(E2519=0,WORKDAY(A2519-1,1,Dias_Sem_Compensacao!$A$2:$A$500),WORKDAY(A2519,E2519,Dias_Sem_Compensacao!$A$2:$A$500)),"")</f>
        <v>46315</v>
      </c>
      <c r="H2519" s="25">
        <v>0</v>
      </c>
      <c r="I2519" s="28">
        <v>46314</v>
      </c>
      <c r="J2519" t="s">
        <v>841</v>
      </c>
      <c r="K2519" t="s">
        <v>1880</v>
      </c>
    </row>
    <row r="2520" spans="1:11" hidden="1">
      <c r="A2520" s="28">
        <v>46314</v>
      </c>
      <c r="B2520" t="s">
        <v>186</v>
      </c>
      <c r="C2520" t="s">
        <v>203</v>
      </c>
      <c r="D2520" t="s">
        <v>217</v>
      </c>
      <c r="E2520">
        <f>IF(LEFT(D2520,6)="CLIENT",IFERROR(VLOOKUP(C2520,Config_Carteiras!$A:$B,2,FALSE),1),"")</f>
        <v>1</v>
      </c>
      <c r="F2520" s="25">
        <v>1185</v>
      </c>
      <c r="G2520" s="28">
        <f>IF(LEFT(D2520,6)="CLIENT",IF(E2520=0,WORKDAY(A2520-1,1,Dias_Sem_Compensacao!$A$2:$A$500),WORKDAY(A2520,E2520,Dias_Sem_Compensacao!$A$2:$A$500)),"")</f>
        <v>46315</v>
      </c>
      <c r="H2520" s="25">
        <v>0</v>
      </c>
      <c r="I2520" s="28">
        <v>46314</v>
      </c>
      <c r="J2520" t="s">
        <v>2958</v>
      </c>
      <c r="K2520" t="s">
        <v>2959</v>
      </c>
    </row>
    <row r="2521" spans="1:11" hidden="1">
      <c r="A2521" s="28">
        <v>46314</v>
      </c>
      <c r="B2521" t="s">
        <v>186</v>
      </c>
      <c r="C2521" t="s">
        <v>203</v>
      </c>
      <c r="D2521" t="s">
        <v>217</v>
      </c>
      <c r="E2521">
        <f>IF(LEFT(D2521,6)="CLIENT",IFERROR(VLOOKUP(C2521,Config_Carteiras!$A:$B,2,FALSE),1),"")</f>
        <v>1</v>
      </c>
      <c r="F2521" s="25">
        <v>916.84</v>
      </c>
      <c r="G2521" s="28">
        <f>IF(LEFT(D2521,6)="CLIENT",IF(E2521=0,WORKDAY(A2521-1,1,Dias_Sem_Compensacao!$A$2:$A$500),WORKDAY(A2521,E2521,Dias_Sem_Compensacao!$A$2:$A$500)),"")</f>
        <v>46315</v>
      </c>
      <c r="H2521" s="25">
        <v>0</v>
      </c>
      <c r="I2521" s="28">
        <v>46314</v>
      </c>
      <c r="J2521" t="s">
        <v>2960</v>
      </c>
      <c r="K2521" t="s">
        <v>2961</v>
      </c>
    </row>
    <row r="2522" spans="1:11" hidden="1">
      <c r="A2522" s="28">
        <v>46314</v>
      </c>
      <c r="B2522" t="s">
        <v>186</v>
      </c>
      <c r="C2522" t="s">
        <v>203</v>
      </c>
      <c r="D2522" t="s">
        <v>217</v>
      </c>
      <c r="E2522">
        <f>IF(LEFT(D2522,6)="CLIENT",IFERROR(VLOOKUP(C2522,Config_Carteiras!$A:$B,2,FALSE),1),"")</f>
        <v>1</v>
      </c>
      <c r="F2522" s="25">
        <v>577</v>
      </c>
      <c r="G2522" s="28">
        <f>IF(LEFT(D2522,6)="CLIENT",IF(E2522=0,WORKDAY(A2522-1,1,Dias_Sem_Compensacao!$A$2:$A$500),WORKDAY(A2522,E2522,Dias_Sem_Compensacao!$A$2:$A$500)),"")</f>
        <v>46315</v>
      </c>
      <c r="H2522" s="25">
        <v>0</v>
      </c>
      <c r="I2522" s="28">
        <v>46314</v>
      </c>
      <c r="J2522" t="s">
        <v>2962</v>
      </c>
      <c r="K2522" t="s">
        <v>2963</v>
      </c>
    </row>
    <row r="2523" spans="1:11" hidden="1">
      <c r="A2523" s="28">
        <v>46314</v>
      </c>
      <c r="B2523" t="s">
        <v>186</v>
      </c>
      <c r="C2523" t="s">
        <v>203</v>
      </c>
      <c r="D2523" t="s">
        <v>217</v>
      </c>
      <c r="E2523">
        <f>IF(LEFT(D2523,6)="CLIENT",IFERROR(VLOOKUP(C2523,Config_Carteiras!$A:$B,2,FALSE),1),"")</f>
        <v>1</v>
      </c>
      <c r="F2523" s="25">
        <v>1128.6300000000001</v>
      </c>
      <c r="G2523" s="28">
        <f>IF(LEFT(D2523,6)="CLIENT",IF(E2523=0,WORKDAY(A2523-1,1,Dias_Sem_Compensacao!$A$2:$A$500),WORKDAY(A2523,E2523,Dias_Sem_Compensacao!$A$2:$A$500)),"")</f>
        <v>46315</v>
      </c>
      <c r="H2523" s="25">
        <v>0</v>
      </c>
      <c r="I2523" s="28">
        <v>46314</v>
      </c>
      <c r="J2523" t="s">
        <v>2964</v>
      </c>
      <c r="K2523" t="s">
        <v>2965</v>
      </c>
    </row>
    <row r="2524" spans="1:11" hidden="1">
      <c r="A2524" s="28">
        <v>46314</v>
      </c>
      <c r="B2524" t="s">
        <v>186</v>
      </c>
      <c r="C2524" t="s">
        <v>203</v>
      </c>
      <c r="D2524" t="s">
        <v>217</v>
      </c>
      <c r="E2524">
        <f>IF(LEFT(D2524,6)="CLIENT",IFERROR(VLOOKUP(C2524,Config_Carteiras!$A:$B,2,FALSE),1),"")</f>
        <v>1</v>
      </c>
      <c r="F2524" s="25">
        <v>829</v>
      </c>
      <c r="G2524" s="28">
        <f>IF(LEFT(D2524,6)="CLIENT",IF(E2524=0,WORKDAY(A2524-1,1,Dias_Sem_Compensacao!$A$2:$A$500),WORKDAY(A2524,E2524,Dias_Sem_Compensacao!$A$2:$A$500)),"")</f>
        <v>46315</v>
      </c>
      <c r="H2524" s="25">
        <v>0</v>
      </c>
      <c r="I2524" s="28">
        <v>46314</v>
      </c>
      <c r="J2524" t="s">
        <v>2966</v>
      </c>
      <c r="K2524" t="s">
        <v>2967</v>
      </c>
    </row>
    <row r="2525" spans="1:11" hidden="1">
      <c r="A2525" s="28">
        <v>46314</v>
      </c>
      <c r="B2525" t="s">
        <v>186</v>
      </c>
      <c r="C2525" t="s">
        <v>203</v>
      </c>
      <c r="D2525" t="s">
        <v>217</v>
      </c>
      <c r="E2525">
        <f>IF(LEFT(D2525,6)="CLIENT",IFERROR(VLOOKUP(C2525,Config_Carteiras!$A:$B,2,FALSE),1),"")</f>
        <v>1</v>
      </c>
      <c r="F2525" s="25">
        <v>763.07</v>
      </c>
      <c r="G2525" s="28">
        <f>IF(LEFT(D2525,6)="CLIENT",IF(E2525=0,WORKDAY(A2525-1,1,Dias_Sem_Compensacao!$A$2:$A$500),WORKDAY(A2525,E2525,Dias_Sem_Compensacao!$A$2:$A$500)),"")</f>
        <v>46315</v>
      </c>
      <c r="H2525" s="25">
        <v>0</v>
      </c>
      <c r="I2525" s="28">
        <v>46314</v>
      </c>
      <c r="J2525" t="s">
        <v>1893</v>
      </c>
      <c r="K2525" t="s">
        <v>1894</v>
      </c>
    </row>
    <row r="2526" spans="1:11" hidden="1">
      <c r="A2526" s="28">
        <v>46314</v>
      </c>
      <c r="B2526" t="s">
        <v>186</v>
      </c>
      <c r="C2526" t="s">
        <v>203</v>
      </c>
      <c r="D2526" t="s">
        <v>217</v>
      </c>
      <c r="E2526">
        <f>IF(LEFT(D2526,6)="CLIENT",IFERROR(VLOOKUP(C2526,Config_Carteiras!$A:$B,2,FALSE),1),"")</f>
        <v>1</v>
      </c>
      <c r="F2526" s="25">
        <v>450</v>
      </c>
      <c r="G2526" s="28">
        <f>IF(LEFT(D2526,6)="CLIENT",IF(E2526=0,WORKDAY(A2526-1,1,Dias_Sem_Compensacao!$A$2:$A$500),WORKDAY(A2526,E2526,Dias_Sem_Compensacao!$A$2:$A$500)),"")</f>
        <v>46315</v>
      </c>
      <c r="H2526" s="25">
        <v>0</v>
      </c>
      <c r="I2526" s="28">
        <v>46314</v>
      </c>
      <c r="J2526" t="s">
        <v>853</v>
      </c>
      <c r="K2526" t="s">
        <v>1895</v>
      </c>
    </row>
    <row r="2527" spans="1:11" hidden="1">
      <c r="A2527" s="28">
        <v>46314</v>
      </c>
      <c r="B2527" t="s">
        <v>186</v>
      </c>
      <c r="C2527" t="s">
        <v>203</v>
      </c>
      <c r="D2527" t="s">
        <v>217</v>
      </c>
      <c r="E2527">
        <f>IF(LEFT(D2527,6)="CLIENT",IFERROR(VLOOKUP(C2527,Config_Carteiras!$A:$B,2,FALSE),1),"")</f>
        <v>1</v>
      </c>
      <c r="F2527" s="25">
        <v>954</v>
      </c>
      <c r="G2527" s="28">
        <f>IF(LEFT(D2527,6)="CLIENT",IF(E2527=0,WORKDAY(A2527-1,1,Dias_Sem_Compensacao!$A$2:$A$500),WORKDAY(A2527,E2527,Dias_Sem_Compensacao!$A$2:$A$500)),"")</f>
        <v>46315</v>
      </c>
      <c r="H2527" s="25">
        <v>0</v>
      </c>
      <c r="I2527" s="28">
        <v>46314</v>
      </c>
      <c r="J2527" t="s">
        <v>1897</v>
      </c>
      <c r="K2527" t="s">
        <v>1899</v>
      </c>
    </row>
    <row r="2528" spans="1:11" hidden="1">
      <c r="A2528" s="28">
        <v>46314</v>
      </c>
      <c r="B2528" t="s">
        <v>186</v>
      </c>
      <c r="C2528" t="s">
        <v>203</v>
      </c>
      <c r="D2528" t="s">
        <v>217</v>
      </c>
      <c r="E2528">
        <f>IF(LEFT(D2528,6)="CLIENT",IFERROR(VLOOKUP(C2528,Config_Carteiras!$A:$B,2,FALSE),1),"")</f>
        <v>1</v>
      </c>
      <c r="F2528" s="25">
        <v>773.25</v>
      </c>
      <c r="G2528" s="28">
        <f>IF(LEFT(D2528,6)="CLIENT",IF(E2528=0,WORKDAY(A2528-1,1,Dias_Sem_Compensacao!$A$2:$A$500),WORKDAY(A2528,E2528,Dias_Sem_Compensacao!$A$2:$A$500)),"")</f>
        <v>46315</v>
      </c>
      <c r="H2528" s="25">
        <v>0</v>
      </c>
      <c r="I2528" s="28">
        <v>46314</v>
      </c>
      <c r="J2528" t="s">
        <v>2968</v>
      </c>
      <c r="K2528" t="s">
        <v>2969</v>
      </c>
    </row>
    <row r="2529" spans="1:11" hidden="1">
      <c r="A2529" s="28">
        <v>46314</v>
      </c>
      <c r="B2529" t="s">
        <v>186</v>
      </c>
      <c r="C2529" t="s">
        <v>203</v>
      </c>
      <c r="D2529" t="s">
        <v>217</v>
      </c>
      <c r="E2529">
        <f>IF(LEFT(D2529,6)="CLIENT",IFERROR(VLOOKUP(C2529,Config_Carteiras!$A:$B,2,FALSE),1),"")</f>
        <v>1</v>
      </c>
      <c r="F2529" s="25">
        <v>879.56</v>
      </c>
      <c r="G2529" s="28">
        <f>IF(LEFT(D2529,6)="CLIENT",IF(E2529=0,WORKDAY(A2529-1,1,Dias_Sem_Compensacao!$A$2:$A$500),WORKDAY(A2529,E2529,Dias_Sem_Compensacao!$A$2:$A$500)),"")</f>
        <v>46315</v>
      </c>
      <c r="H2529" s="25">
        <v>0</v>
      </c>
      <c r="I2529" s="28">
        <v>46314</v>
      </c>
      <c r="J2529" t="s">
        <v>2970</v>
      </c>
      <c r="K2529" t="s">
        <v>2971</v>
      </c>
    </row>
    <row r="2530" spans="1:11" hidden="1">
      <c r="A2530" s="28">
        <v>46314</v>
      </c>
      <c r="B2530" t="s">
        <v>186</v>
      </c>
      <c r="C2530" t="s">
        <v>203</v>
      </c>
      <c r="D2530" t="s">
        <v>217</v>
      </c>
      <c r="E2530">
        <f>IF(LEFT(D2530,6)="CLIENT",IFERROR(VLOOKUP(C2530,Config_Carteiras!$A:$B,2,FALSE),1),"")</f>
        <v>1</v>
      </c>
      <c r="F2530" s="25">
        <v>659.4</v>
      </c>
      <c r="G2530" s="28">
        <f>IF(LEFT(D2530,6)="CLIENT",IF(E2530=0,WORKDAY(A2530-1,1,Dias_Sem_Compensacao!$A$2:$A$500),WORKDAY(A2530,E2530,Dias_Sem_Compensacao!$A$2:$A$500)),"")</f>
        <v>46315</v>
      </c>
      <c r="H2530" s="25">
        <v>0</v>
      </c>
      <c r="I2530" s="28">
        <v>46314</v>
      </c>
      <c r="J2530" t="s">
        <v>1401</v>
      </c>
      <c r="K2530" t="s">
        <v>2972</v>
      </c>
    </row>
    <row r="2531" spans="1:11" hidden="1">
      <c r="A2531" s="28">
        <v>46314</v>
      </c>
      <c r="B2531" t="s">
        <v>186</v>
      </c>
      <c r="C2531" t="s">
        <v>203</v>
      </c>
      <c r="D2531" t="s">
        <v>217</v>
      </c>
      <c r="E2531">
        <f>IF(LEFT(D2531,6)="CLIENT",IFERROR(VLOOKUP(C2531,Config_Carteiras!$A:$B,2,FALSE),1),"")</f>
        <v>1</v>
      </c>
      <c r="F2531" s="25">
        <v>1709</v>
      </c>
      <c r="G2531" s="28">
        <f>IF(LEFT(D2531,6)="CLIENT",IF(E2531=0,WORKDAY(A2531-1,1,Dias_Sem_Compensacao!$A$2:$A$500),WORKDAY(A2531,E2531,Dias_Sem_Compensacao!$A$2:$A$500)),"")</f>
        <v>46315</v>
      </c>
      <c r="H2531" s="25">
        <v>0</v>
      </c>
      <c r="I2531" s="28">
        <v>46314</v>
      </c>
      <c r="K2531" t="s">
        <v>2973</v>
      </c>
    </row>
    <row r="2532" spans="1:11" hidden="1">
      <c r="A2532" s="28">
        <v>46314</v>
      </c>
      <c r="B2532" t="s">
        <v>186</v>
      </c>
      <c r="C2532" t="s">
        <v>203</v>
      </c>
      <c r="D2532" t="s">
        <v>217</v>
      </c>
      <c r="E2532">
        <f>IF(LEFT(D2532,6)="CLIENT",IFERROR(VLOOKUP(C2532,Config_Carteiras!$A:$B,2,FALSE),1),"")</f>
        <v>1</v>
      </c>
      <c r="F2532" s="25">
        <v>725</v>
      </c>
      <c r="G2532" s="28">
        <f>IF(LEFT(D2532,6)="CLIENT",IF(E2532=0,WORKDAY(A2532-1,1,Dias_Sem_Compensacao!$A$2:$A$500),WORKDAY(A2532,E2532,Dias_Sem_Compensacao!$A$2:$A$500)),"")</f>
        <v>46315</v>
      </c>
      <c r="H2532" s="25">
        <v>0</v>
      </c>
      <c r="I2532" s="28">
        <v>46314</v>
      </c>
      <c r="J2532" t="s">
        <v>2509</v>
      </c>
      <c r="K2532" t="s">
        <v>2510</v>
      </c>
    </row>
    <row r="2533" spans="1:11" hidden="1">
      <c r="A2533" s="28">
        <v>46314</v>
      </c>
      <c r="B2533" t="s">
        <v>186</v>
      </c>
      <c r="C2533" t="s">
        <v>203</v>
      </c>
      <c r="D2533" t="s">
        <v>217</v>
      </c>
      <c r="E2533">
        <f>IF(LEFT(D2533,6)="CLIENT",IFERROR(VLOOKUP(C2533,Config_Carteiras!$A:$B,2,FALSE),1),"")</f>
        <v>1</v>
      </c>
      <c r="F2533" s="25">
        <v>1308.1300000000001</v>
      </c>
      <c r="G2533" s="28">
        <f>IF(LEFT(D2533,6)="CLIENT",IF(E2533=0,WORKDAY(A2533-1,1,Dias_Sem_Compensacao!$A$2:$A$500),WORKDAY(A2533,E2533,Dias_Sem_Compensacao!$A$2:$A$500)),"")</f>
        <v>46315</v>
      </c>
      <c r="H2533" s="25">
        <v>0</v>
      </c>
      <c r="I2533" s="28">
        <v>46314</v>
      </c>
      <c r="J2533" t="s">
        <v>1902</v>
      </c>
      <c r="K2533" t="s">
        <v>1903</v>
      </c>
    </row>
    <row r="2534" spans="1:11" hidden="1">
      <c r="A2534" s="28">
        <v>46314</v>
      </c>
      <c r="B2534" t="s">
        <v>186</v>
      </c>
      <c r="C2534" t="s">
        <v>203</v>
      </c>
      <c r="D2534" t="s">
        <v>217</v>
      </c>
      <c r="E2534">
        <f>IF(LEFT(D2534,6)="CLIENT",IFERROR(VLOOKUP(C2534,Config_Carteiras!$A:$B,2,FALSE),1),"")</f>
        <v>1</v>
      </c>
      <c r="F2534" s="25">
        <v>1006</v>
      </c>
      <c r="G2534" s="28">
        <f>IF(LEFT(D2534,6)="CLIENT",IF(E2534=0,WORKDAY(A2534-1,1,Dias_Sem_Compensacao!$A$2:$A$500),WORKDAY(A2534,E2534,Dias_Sem_Compensacao!$A$2:$A$500)),"")</f>
        <v>46315</v>
      </c>
      <c r="H2534" s="25">
        <v>0</v>
      </c>
      <c r="I2534" s="28">
        <v>46314</v>
      </c>
      <c r="J2534" t="s">
        <v>2974</v>
      </c>
      <c r="K2534" t="s">
        <v>2975</v>
      </c>
    </row>
    <row r="2535" spans="1:11" hidden="1">
      <c r="A2535" s="28">
        <v>46314</v>
      </c>
      <c r="B2535" t="s">
        <v>186</v>
      </c>
      <c r="C2535" t="s">
        <v>203</v>
      </c>
      <c r="D2535" t="s">
        <v>217</v>
      </c>
      <c r="E2535">
        <f>IF(LEFT(D2535,6)="CLIENT",IFERROR(VLOOKUP(C2535,Config_Carteiras!$A:$B,2,FALSE),1),"")</f>
        <v>1</v>
      </c>
      <c r="F2535" s="25">
        <v>1320</v>
      </c>
      <c r="G2535" s="28">
        <f>IF(LEFT(D2535,6)="CLIENT",IF(E2535=0,WORKDAY(A2535-1,1,Dias_Sem_Compensacao!$A$2:$A$500),WORKDAY(A2535,E2535,Dias_Sem_Compensacao!$A$2:$A$500)),"")</f>
        <v>46315</v>
      </c>
      <c r="H2535" s="25">
        <v>0</v>
      </c>
      <c r="I2535" s="28">
        <v>46314</v>
      </c>
      <c r="J2535" t="s">
        <v>1908</v>
      </c>
      <c r="K2535" t="s">
        <v>1909</v>
      </c>
    </row>
    <row r="2536" spans="1:11" hidden="1">
      <c r="A2536" s="28">
        <v>46314</v>
      </c>
      <c r="B2536" t="s">
        <v>186</v>
      </c>
      <c r="C2536" t="s">
        <v>203</v>
      </c>
      <c r="D2536" t="s">
        <v>217</v>
      </c>
      <c r="E2536">
        <f>IF(LEFT(D2536,6)="CLIENT",IFERROR(VLOOKUP(C2536,Config_Carteiras!$A:$B,2,FALSE),1),"")</f>
        <v>1</v>
      </c>
      <c r="F2536" s="25">
        <v>5266.63</v>
      </c>
      <c r="G2536" s="28">
        <f>IF(LEFT(D2536,6)="CLIENT",IF(E2536=0,WORKDAY(A2536-1,1,Dias_Sem_Compensacao!$A$2:$A$500),WORKDAY(A2536,E2536,Dias_Sem_Compensacao!$A$2:$A$500)),"")</f>
        <v>46315</v>
      </c>
      <c r="H2536" s="25">
        <v>0</v>
      </c>
      <c r="I2536" s="28">
        <v>46314</v>
      </c>
      <c r="J2536" t="s">
        <v>2976</v>
      </c>
      <c r="K2536" t="s">
        <v>2977</v>
      </c>
    </row>
    <row r="2537" spans="1:11" hidden="1">
      <c r="A2537" s="28">
        <v>46314</v>
      </c>
      <c r="B2537" t="s">
        <v>186</v>
      </c>
      <c r="C2537" t="s">
        <v>203</v>
      </c>
      <c r="D2537" t="s">
        <v>217</v>
      </c>
      <c r="E2537">
        <f>IF(LEFT(D2537,6)="CLIENT",IFERROR(VLOOKUP(C2537,Config_Carteiras!$A:$B,2,FALSE),1),"")</f>
        <v>1</v>
      </c>
      <c r="F2537" s="25">
        <v>3780.5</v>
      </c>
      <c r="G2537" s="28">
        <f>IF(LEFT(D2537,6)="CLIENT",IF(E2537=0,WORKDAY(A2537-1,1,Dias_Sem_Compensacao!$A$2:$A$500),WORKDAY(A2537,E2537,Dias_Sem_Compensacao!$A$2:$A$500)),"")</f>
        <v>46315</v>
      </c>
      <c r="H2537" s="25">
        <v>0</v>
      </c>
      <c r="I2537" s="28">
        <v>46314</v>
      </c>
      <c r="J2537" t="s">
        <v>918</v>
      </c>
      <c r="K2537" t="s">
        <v>2978</v>
      </c>
    </row>
    <row r="2538" spans="1:11" hidden="1">
      <c r="A2538" s="28">
        <v>46314</v>
      </c>
      <c r="B2538" t="s">
        <v>186</v>
      </c>
      <c r="C2538" t="s">
        <v>203</v>
      </c>
      <c r="D2538" t="s">
        <v>217</v>
      </c>
      <c r="E2538">
        <f>IF(LEFT(D2538,6)="CLIENT",IFERROR(VLOOKUP(C2538,Config_Carteiras!$A:$B,2,FALSE),1),"")</f>
        <v>1</v>
      </c>
      <c r="F2538" s="25">
        <v>1034</v>
      </c>
      <c r="G2538" s="28">
        <f>IF(LEFT(D2538,6)="CLIENT",IF(E2538=0,WORKDAY(A2538-1,1,Dias_Sem_Compensacao!$A$2:$A$500),WORKDAY(A2538,E2538,Dias_Sem_Compensacao!$A$2:$A$500)),"")</f>
        <v>46315</v>
      </c>
      <c r="H2538" s="25">
        <v>0</v>
      </c>
      <c r="I2538" s="28">
        <v>46314</v>
      </c>
      <c r="J2538" t="s">
        <v>2979</v>
      </c>
      <c r="K2538" t="s">
        <v>2980</v>
      </c>
    </row>
    <row r="2539" spans="1:11" hidden="1">
      <c r="A2539" s="28">
        <v>46314</v>
      </c>
      <c r="B2539" t="s">
        <v>186</v>
      </c>
      <c r="C2539" t="s">
        <v>203</v>
      </c>
      <c r="D2539" t="s">
        <v>217</v>
      </c>
      <c r="E2539">
        <f>IF(LEFT(D2539,6)="CLIENT",IFERROR(VLOOKUP(C2539,Config_Carteiras!$A:$B,2,FALSE),1),"")</f>
        <v>1</v>
      </c>
      <c r="F2539" s="25">
        <v>1225</v>
      </c>
      <c r="G2539" s="28">
        <f>IF(LEFT(D2539,6)="CLIENT",IF(E2539=0,WORKDAY(A2539-1,1,Dias_Sem_Compensacao!$A$2:$A$500),WORKDAY(A2539,E2539,Dias_Sem_Compensacao!$A$2:$A$500)),"")</f>
        <v>46315</v>
      </c>
      <c r="H2539" s="25">
        <v>0</v>
      </c>
      <c r="I2539" s="28">
        <v>46314</v>
      </c>
      <c r="J2539" t="s">
        <v>2518</v>
      </c>
      <c r="K2539" t="s">
        <v>2519</v>
      </c>
    </row>
    <row r="2540" spans="1:11" hidden="1">
      <c r="A2540" s="28">
        <v>46314</v>
      </c>
      <c r="B2540" t="s">
        <v>186</v>
      </c>
      <c r="C2540" t="s">
        <v>203</v>
      </c>
      <c r="D2540" t="s">
        <v>217</v>
      </c>
      <c r="E2540">
        <f>IF(LEFT(D2540,6)="CLIENT",IFERROR(VLOOKUP(C2540,Config_Carteiras!$A:$B,2,FALSE),1),"")</f>
        <v>1</v>
      </c>
      <c r="F2540" s="25">
        <v>672</v>
      </c>
      <c r="G2540" s="28">
        <f>IF(LEFT(D2540,6)="CLIENT",IF(E2540=0,WORKDAY(A2540-1,1,Dias_Sem_Compensacao!$A$2:$A$500),WORKDAY(A2540,E2540,Dias_Sem_Compensacao!$A$2:$A$500)),"")</f>
        <v>46315</v>
      </c>
      <c r="H2540" s="25">
        <v>0</v>
      </c>
      <c r="I2540" s="28">
        <v>46314</v>
      </c>
      <c r="J2540" t="s">
        <v>2981</v>
      </c>
      <c r="K2540" t="s">
        <v>2982</v>
      </c>
    </row>
    <row r="2541" spans="1:11" hidden="1">
      <c r="A2541" s="28">
        <v>46314</v>
      </c>
      <c r="B2541" t="s">
        <v>186</v>
      </c>
      <c r="C2541" t="s">
        <v>203</v>
      </c>
      <c r="D2541" t="s">
        <v>217</v>
      </c>
      <c r="E2541">
        <f>IF(LEFT(D2541,6)="CLIENT",IFERROR(VLOOKUP(C2541,Config_Carteiras!$A:$B,2,FALSE),1),"")</f>
        <v>1</v>
      </c>
      <c r="F2541" s="25">
        <v>636</v>
      </c>
      <c r="G2541" s="28">
        <f>IF(LEFT(D2541,6)="CLIENT",IF(E2541=0,WORKDAY(A2541-1,1,Dias_Sem_Compensacao!$A$2:$A$500),WORKDAY(A2541,E2541,Dias_Sem_Compensacao!$A$2:$A$500)),"")</f>
        <v>46315</v>
      </c>
      <c r="H2541" s="25">
        <v>0</v>
      </c>
      <c r="I2541" s="28">
        <v>46314</v>
      </c>
      <c r="J2541" t="s">
        <v>2983</v>
      </c>
      <c r="K2541" t="s">
        <v>2984</v>
      </c>
    </row>
    <row r="2542" spans="1:11" hidden="1">
      <c r="A2542" s="28">
        <v>46314</v>
      </c>
      <c r="B2542" t="s">
        <v>186</v>
      </c>
      <c r="C2542" t="s">
        <v>203</v>
      </c>
      <c r="D2542" t="s">
        <v>217</v>
      </c>
      <c r="E2542">
        <f>IF(LEFT(D2542,6)="CLIENT",IFERROR(VLOOKUP(C2542,Config_Carteiras!$A:$B,2,FALSE),1),"")</f>
        <v>1</v>
      </c>
      <c r="F2542" s="25">
        <v>308</v>
      </c>
      <c r="G2542" s="28">
        <f>IF(LEFT(D2542,6)="CLIENT",IF(E2542=0,WORKDAY(A2542-1,1,Dias_Sem_Compensacao!$A$2:$A$500),WORKDAY(A2542,E2542,Dias_Sem_Compensacao!$A$2:$A$500)),"")</f>
        <v>46315</v>
      </c>
      <c r="H2542" s="25">
        <v>0</v>
      </c>
      <c r="I2542" s="28">
        <v>46314</v>
      </c>
      <c r="J2542" t="s">
        <v>2524</v>
      </c>
      <c r="K2542" t="s">
        <v>2525</v>
      </c>
    </row>
    <row r="2543" spans="1:11" hidden="1">
      <c r="A2543" s="28">
        <v>46314</v>
      </c>
      <c r="B2543" t="s">
        <v>186</v>
      </c>
      <c r="C2543" t="s">
        <v>203</v>
      </c>
      <c r="D2543" t="s">
        <v>217</v>
      </c>
      <c r="E2543">
        <f>IF(LEFT(D2543,6)="CLIENT",IFERROR(VLOOKUP(C2543,Config_Carteiras!$A:$B,2,FALSE),1),"")</f>
        <v>1</v>
      </c>
      <c r="F2543" s="25">
        <v>606</v>
      </c>
      <c r="G2543" s="28">
        <f>IF(LEFT(D2543,6)="CLIENT",IF(E2543=0,WORKDAY(A2543-1,1,Dias_Sem_Compensacao!$A$2:$A$500),WORKDAY(A2543,E2543,Dias_Sem_Compensacao!$A$2:$A$500)),"")</f>
        <v>46315</v>
      </c>
      <c r="H2543" s="25">
        <v>0</v>
      </c>
      <c r="I2543" s="28">
        <v>46314</v>
      </c>
      <c r="J2543" t="s">
        <v>2985</v>
      </c>
      <c r="K2543" t="s">
        <v>2986</v>
      </c>
    </row>
    <row r="2544" spans="1:11" hidden="1">
      <c r="A2544" s="28">
        <v>46314</v>
      </c>
      <c r="B2544" t="s">
        <v>186</v>
      </c>
      <c r="C2544" t="s">
        <v>203</v>
      </c>
      <c r="D2544" t="s">
        <v>217</v>
      </c>
      <c r="E2544">
        <f>IF(LEFT(D2544,6)="CLIENT",IFERROR(VLOOKUP(C2544,Config_Carteiras!$A:$B,2,FALSE),1),"")</f>
        <v>1</v>
      </c>
      <c r="F2544" s="25">
        <v>771.4</v>
      </c>
      <c r="G2544" s="28">
        <f>IF(LEFT(D2544,6)="CLIENT",IF(E2544=0,WORKDAY(A2544-1,1,Dias_Sem_Compensacao!$A$2:$A$500),WORKDAY(A2544,E2544,Dias_Sem_Compensacao!$A$2:$A$500)),"")</f>
        <v>46315</v>
      </c>
      <c r="H2544" s="25">
        <v>0</v>
      </c>
      <c r="I2544" s="28">
        <v>46314</v>
      </c>
      <c r="J2544" t="s">
        <v>1414</v>
      </c>
      <c r="K2544" t="s">
        <v>1922</v>
      </c>
    </row>
    <row r="2545" spans="1:11" hidden="1">
      <c r="A2545" s="28">
        <v>46314</v>
      </c>
      <c r="B2545" t="s">
        <v>186</v>
      </c>
      <c r="C2545" t="s">
        <v>203</v>
      </c>
      <c r="D2545" t="s">
        <v>217</v>
      </c>
      <c r="E2545">
        <f>IF(LEFT(D2545,6)="CLIENT",IFERROR(VLOOKUP(C2545,Config_Carteiras!$A:$B,2,FALSE),1),"")</f>
        <v>1</v>
      </c>
      <c r="F2545" s="25">
        <v>537</v>
      </c>
      <c r="G2545" s="28">
        <f>IF(LEFT(D2545,6)="CLIENT",IF(E2545=0,WORKDAY(A2545-1,1,Dias_Sem_Compensacao!$A$2:$A$500),WORKDAY(A2545,E2545,Dias_Sem_Compensacao!$A$2:$A$500)),"")</f>
        <v>46315</v>
      </c>
      <c r="H2545" s="25">
        <v>0</v>
      </c>
      <c r="I2545" s="28">
        <v>46314</v>
      </c>
      <c r="J2545" t="s">
        <v>2987</v>
      </c>
      <c r="K2545" t="s">
        <v>2988</v>
      </c>
    </row>
    <row r="2546" spans="1:11" hidden="1">
      <c r="A2546" s="28">
        <v>46314</v>
      </c>
      <c r="B2546" t="s">
        <v>186</v>
      </c>
      <c r="C2546" t="s">
        <v>203</v>
      </c>
      <c r="D2546" t="s">
        <v>217</v>
      </c>
      <c r="E2546">
        <f>IF(LEFT(D2546,6)="CLIENT",IFERROR(VLOOKUP(C2546,Config_Carteiras!$A:$B,2,FALSE),1),"")</f>
        <v>1</v>
      </c>
      <c r="F2546" s="25">
        <v>2068.5300000000002</v>
      </c>
      <c r="G2546" s="28">
        <f>IF(LEFT(D2546,6)="CLIENT",IF(E2546=0,WORKDAY(A2546-1,1,Dias_Sem_Compensacao!$A$2:$A$500),WORKDAY(A2546,E2546,Dias_Sem_Compensacao!$A$2:$A$500)),"")</f>
        <v>46315</v>
      </c>
      <c r="H2546" s="25">
        <v>0</v>
      </c>
      <c r="I2546" s="28">
        <v>46314</v>
      </c>
      <c r="J2546" t="s">
        <v>2989</v>
      </c>
      <c r="K2546" t="s">
        <v>2990</v>
      </c>
    </row>
    <row r="2547" spans="1:11" hidden="1">
      <c r="A2547" s="28">
        <v>46314</v>
      </c>
      <c r="B2547" t="s">
        <v>186</v>
      </c>
      <c r="C2547" t="s">
        <v>203</v>
      </c>
      <c r="D2547" t="s">
        <v>217</v>
      </c>
      <c r="E2547">
        <f>IF(LEFT(D2547,6)="CLIENT",IFERROR(VLOOKUP(C2547,Config_Carteiras!$A:$B,2,FALSE),1),"")</f>
        <v>1</v>
      </c>
      <c r="F2547" s="25">
        <v>405.6</v>
      </c>
      <c r="G2547" s="28">
        <f>IF(LEFT(D2547,6)="CLIENT",IF(E2547=0,WORKDAY(A2547-1,1,Dias_Sem_Compensacao!$A$2:$A$500),WORKDAY(A2547,E2547,Dias_Sem_Compensacao!$A$2:$A$500)),"")</f>
        <v>46315</v>
      </c>
      <c r="H2547" s="25">
        <v>0</v>
      </c>
      <c r="I2547" s="28">
        <v>46314</v>
      </c>
      <c r="J2547" t="s">
        <v>1923</v>
      </c>
      <c r="K2547" t="s">
        <v>1924</v>
      </c>
    </row>
    <row r="2548" spans="1:11" hidden="1">
      <c r="A2548" s="28">
        <v>46314</v>
      </c>
      <c r="B2548" t="s">
        <v>186</v>
      </c>
      <c r="C2548" t="s">
        <v>203</v>
      </c>
      <c r="D2548" t="s">
        <v>217</v>
      </c>
      <c r="E2548">
        <f>IF(LEFT(D2548,6)="CLIENT",IFERROR(VLOOKUP(C2548,Config_Carteiras!$A:$B,2,FALSE),1),"")</f>
        <v>1</v>
      </c>
      <c r="F2548" s="25">
        <v>307</v>
      </c>
      <c r="G2548" s="28">
        <f>IF(LEFT(D2548,6)="CLIENT",IF(E2548=0,WORKDAY(A2548-1,1,Dias_Sem_Compensacao!$A$2:$A$500),WORKDAY(A2548,E2548,Dias_Sem_Compensacao!$A$2:$A$500)),"")</f>
        <v>46315</v>
      </c>
      <c r="H2548" s="25">
        <v>0</v>
      </c>
      <c r="I2548" s="28">
        <v>46314</v>
      </c>
      <c r="J2548" t="s">
        <v>2991</v>
      </c>
      <c r="K2548" t="s">
        <v>2992</v>
      </c>
    </row>
    <row r="2549" spans="1:11" hidden="1">
      <c r="A2549" s="28">
        <v>46314</v>
      </c>
      <c r="B2549" t="s">
        <v>186</v>
      </c>
      <c r="C2549" t="s">
        <v>203</v>
      </c>
      <c r="D2549" t="s">
        <v>217</v>
      </c>
      <c r="E2549">
        <f>IF(LEFT(D2549,6)="CLIENT",IFERROR(VLOOKUP(C2549,Config_Carteiras!$A:$B,2,FALSE),1),"")</f>
        <v>1</v>
      </c>
      <c r="F2549" s="25">
        <v>705</v>
      </c>
      <c r="G2549" s="28">
        <f>IF(LEFT(D2549,6)="CLIENT",IF(E2549=0,WORKDAY(A2549-1,1,Dias_Sem_Compensacao!$A$2:$A$500),WORKDAY(A2549,E2549,Dias_Sem_Compensacao!$A$2:$A$500)),"")</f>
        <v>46315</v>
      </c>
      <c r="H2549" s="25">
        <v>0</v>
      </c>
      <c r="I2549" s="28">
        <v>46314</v>
      </c>
      <c r="J2549" t="s">
        <v>2993</v>
      </c>
      <c r="K2549" t="s">
        <v>2994</v>
      </c>
    </row>
    <row r="2550" spans="1:11" hidden="1">
      <c r="A2550" s="28">
        <v>46314</v>
      </c>
      <c r="B2550" t="s">
        <v>186</v>
      </c>
      <c r="C2550" t="s">
        <v>203</v>
      </c>
      <c r="D2550" t="s">
        <v>217</v>
      </c>
      <c r="E2550">
        <f>IF(LEFT(D2550,6)="CLIENT",IFERROR(VLOOKUP(C2550,Config_Carteiras!$A:$B,2,FALSE),1),"")</f>
        <v>1</v>
      </c>
      <c r="F2550" s="25">
        <v>552</v>
      </c>
      <c r="G2550" s="28">
        <f>IF(LEFT(D2550,6)="CLIENT",IF(E2550=0,WORKDAY(A2550-1,1,Dias_Sem_Compensacao!$A$2:$A$500),WORKDAY(A2550,E2550,Dias_Sem_Compensacao!$A$2:$A$500)),"")</f>
        <v>46315</v>
      </c>
      <c r="H2550" s="25">
        <v>0</v>
      </c>
      <c r="I2550" s="28">
        <v>46314</v>
      </c>
      <c r="J2550" t="s">
        <v>2995</v>
      </c>
      <c r="K2550" t="s">
        <v>2996</v>
      </c>
    </row>
    <row r="2551" spans="1:11" hidden="1">
      <c r="A2551" s="28">
        <v>46314</v>
      </c>
      <c r="B2551" t="s">
        <v>186</v>
      </c>
      <c r="C2551" t="s">
        <v>203</v>
      </c>
      <c r="D2551" t="s">
        <v>217</v>
      </c>
      <c r="E2551">
        <f>IF(LEFT(D2551,6)="CLIENT",IFERROR(VLOOKUP(C2551,Config_Carteiras!$A:$B,2,FALSE),1),"")</f>
        <v>1</v>
      </c>
      <c r="F2551" s="25">
        <v>3924.63</v>
      </c>
      <c r="G2551" s="28">
        <f>IF(LEFT(D2551,6)="CLIENT",IF(E2551=0,WORKDAY(A2551-1,1,Dias_Sem_Compensacao!$A$2:$A$500),WORKDAY(A2551,E2551,Dias_Sem_Compensacao!$A$2:$A$500)),"")</f>
        <v>46315</v>
      </c>
      <c r="H2551" s="25">
        <v>0</v>
      </c>
      <c r="I2551" s="28">
        <v>46314</v>
      </c>
      <c r="J2551" t="s">
        <v>2543</v>
      </c>
      <c r="K2551" t="s">
        <v>2544</v>
      </c>
    </row>
    <row r="2552" spans="1:11" hidden="1">
      <c r="A2552" s="28">
        <v>46314</v>
      </c>
      <c r="B2552" t="s">
        <v>186</v>
      </c>
      <c r="C2552" t="s">
        <v>203</v>
      </c>
      <c r="D2552" t="s">
        <v>217</v>
      </c>
      <c r="E2552">
        <f>IF(LEFT(D2552,6)="CLIENT",IFERROR(VLOOKUP(C2552,Config_Carteiras!$A:$B,2,FALSE),1),"")</f>
        <v>1</v>
      </c>
      <c r="F2552" s="25">
        <v>6310.07</v>
      </c>
      <c r="G2552" s="28">
        <f>IF(LEFT(D2552,6)="CLIENT",IF(E2552=0,WORKDAY(A2552-1,1,Dias_Sem_Compensacao!$A$2:$A$500),WORKDAY(A2552,E2552,Dias_Sem_Compensacao!$A$2:$A$500)),"")</f>
        <v>46315</v>
      </c>
      <c r="H2552" s="25">
        <v>0</v>
      </c>
      <c r="I2552" s="28">
        <v>46314</v>
      </c>
      <c r="K2552" t="s">
        <v>2545</v>
      </c>
    </row>
    <row r="2553" spans="1:11" hidden="1">
      <c r="A2553" s="28">
        <v>46314</v>
      </c>
      <c r="B2553" t="s">
        <v>186</v>
      </c>
      <c r="C2553" t="s">
        <v>203</v>
      </c>
      <c r="D2553" t="s">
        <v>217</v>
      </c>
      <c r="E2553">
        <f>IF(LEFT(D2553,6)="CLIENT",IFERROR(VLOOKUP(C2553,Config_Carteiras!$A:$B,2,FALSE),1),"")</f>
        <v>1</v>
      </c>
      <c r="F2553" s="25">
        <v>6779.78</v>
      </c>
      <c r="G2553" s="28">
        <f>IF(LEFT(D2553,6)="CLIENT",IF(E2553=0,WORKDAY(A2553-1,1,Dias_Sem_Compensacao!$A$2:$A$500),WORKDAY(A2553,E2553,Dias_Sem_Compensacao!$A$2:$A$500)),"")</f>
        <v>46315</v>
      </c>
      <c r="H2553" s="25">
        <v>0</v>
      </c>
      <c r="I2553" s="28">
        <v>46314</v>
      </c>
      <c r="K2553" t="s">
        <v>2546</v>
      </c>
    </row>
    <row r="2554" spans="1:11" hidden="1">
      <c r="A2554" s="28">
        <v>46314</v>
      </c>
      <c r="B2554" t="s">
        <v>186</v>
      </c>
      <c r="C2554" t="s">
        <v>203</v>
      </c>
      <c r="D2554" t="s">
        <v>217</v>
      </c>
      <c r="E2554">
        <f>IF(LEFT(D2554,6)="CLIENT",IFERROR(VLOOKUP(C2554,Config_Carteiras!$A:$B,2,FALSE),1),"")</f>
        <v>1</v>
      </c>
      <c r="F2554" s="25">
        <v>494.35</v>
      </c>
      <c r="G2554" s="28">
        <f>IF(LEFT(D2554,6)="CLIENT",IF(E2554=0,WORKDAY(A2554-1,1,Dias_Sem_Compensacao!$A$2:$A$500),WORKDAY(A2554,E2554,Dias_Sem_Compensacao!$A$2:$A$500)),"")</f>
        <v>46315</v>
      </c>
      <c r="H2554" s="25">
        <v>0</v>
      </c>
      <c r="I2554" s="28">
        <v>46314</v>
      </c>
      <c r="K2554" t="s">
        <v>2547</v>
      </c>
    </row>
    <row r="2555" spans="1:11" hidden="1">
      <c r="A2555" s="28">
        <v>46314</v>
      </c>
      <c r="B2555" t="s">
        <v>186</v>
      </c>
      <c r="C2555" t="s">
        <v>203</v>
      </c>
      <c r="D2555" t="s">
        <v>217</v>
      </c>
      <c r="E2555">
        <f>IF(LEFT(D2555,6)="CLIENT",IFERROR(VLOOKUP(C2555,Config_Carteiras!$A:$B,2,FALSE),1),"")</f>
        <v>1</v>
      </c>
      <c r="F2555" s="25">
        <v>838.67</v>
      </c>
      <c r="G2555" s="28">
        <f>IF(LEFT(D2555,6)="CLIENT",IF(E2555=0,WORKDAY(A2555-1,1,Dias_Sem_Compensacao!$A$2:$A$500),WORKDAY(A2555,E2555,Dias_Sem_Compensacao!$A$2:$A$500)),"")</f>
        <v>46315</v>
      </c>
      <c r="H2555" s="25">
        <v>0</v>
      </c>
      <c r="I2555" s="28">
        <v>46314</v>
      </c>
      <c r="J2555" t="s">
        <v>2548</v>
      </c>
      <c r="K2555" t="s">
        <v>33</v>
      </c>
    </row>
    <row r="2556" spans="1:11" hidden="1">
      <c r="A2556" s="28">
        <v>46314</v>
      </c>
      <c r="B2556" t="s">
        <v>186</v>
      </c>
      <c r="C2556" t="s">
        <v>203</v>
      </c>
      <c r="D2556" t="s">
        <v>217</v>
      </c>
      <c r="E2556">
        <f>IF(LEFT(D2556,6)="CLIENT",IFERROR(VLOOKUP(C2556,Config_Carteiras!$A:$B,2,FALSE),1),"")</f>
        <v>1</v>
      </c>
      <c r="F2556" s="25">
        <v>390.97</v>
      </c>
      <c r="G2556" s="28">
        <f>IF(LEFT(D2556,6)="CLIENT",IF(E2556=0,WORKDAY(A2556-1,1,Dias_Sem_Compensacao!$A$2:$A$500),WORKDAY(A2556,E2556,Dias_Sem_Compensacao!$A$2:$A$500)),"")</f>
        <v>46315</v>
      </c>
      <c r="H2556" s="25">
        <v>0</v>
      </c>
      <c r="I2556" s="28">
        <v>46314</v>
      </c>
      <c r="J2556" t="s">
        <v>2549</v>
      </c>
      <c r="K2556" t="s">
        <v>2550</v>
      </c>
    </row>
    <row r="2557" spans="1:11" hidden="1">
      <c r="A2557" s="28">
        <v>46314</v>
      </c>
      <c r="B2557" t="s">
        <v>186</v>
      </c>
      <c r="C2557" t="s">
        <v>203</v>
      </c>
      <c r="D2557" t="s">
        <v>217</v>
      </c>
      <c r="E2557">
        <f>IF(LEFT(D2557,6)="CLIENT",IFERROR(VLOOKUP(C2557,Config_Carteiras!$A:$B,2,FALSE),1),"")</f>
        <v>1</v>
      </c>
      <c r="F2557" s="25">
        <v>765.07</v>
      </c>
      <c r="G2557" s="28">
        <f>IF(LEFT(D2557,6)="CLIENT",IF(E2557=0,WORKDAY(A2557-1,1,Dias_Sem_Compensacao!$A$2:$A$500),WORKDAY(A2557,E2557,Dias_Sem_Compensacao!$A$2:$A$500)),"")</f>
        <v>46315</v>
      </c>
      <c r="H2557" s="25">
        <v>0</v>
      </c>
      <c r="I2557" s="28">
        <v>46314</v>
      </c>
      <c r="J2557" t="s">
        <v>1929</v>
      </c>
      <c r="K2557" t="s">
        <v>1930</v>
      </c>
    </row>
    <row r="2558" spans="1:11" hidden="1">
      <c r="A2558" s="28">
        <v>46314</v>
      </c>
      <c r="B2558" t="s">
        <v>186</v>
      </c>
      <c r="C2558" t="s">
        <v>203</v>
      </c>
      <c r="D2558" t="s">
        <v>217</v>
      </c>
      <c r="E2558">
        <f>IF(LEFT(D2558,6)="CLIENT",IFERROR(VLOOKUP(C2558,Config_Carteiras!$A:$B,2,FALSE),1),"")</f>
        <v>1</v>
      </c>
      <c r="F2558" s="25">
        <v>696</v>
      </c>
      <c r="G2558" s="28">
        <f>IF(LEFT(D2558,6)="CLIENT",IF(E2558=0,WORKDAY(A2558-1,1,Dias_Sem_Compensacao!$A$2:$A$500),WORKDAY(A2558,E2558,Dias_Sem_Compensacao!$A$2:$A$500)),"")</f>
        <v>46315</v>
      </c>
      <c r="H2558" s="25">
        <v>0</v>
      </c>
      <c r="I2558" s="28">
        <v>46314</v>
      </c>
      <c r="J2558" t="s">
        <v>2997</v>
      </c>
      <c r="K2558" t="s">
        <v>2998</v>
      </c>
    </row>
    <row r="2559" spans="1:11" hidden="1">
      <c r="A2559" s="28">
        <v>46314</v>
      </c>
      <c r="B2559" t="s">
        <v>186</v>
      </c>
      <c r="C2559" t="s">
        <v>203</v>
      </c>
      <c r="D2559" t="s">
        <v>217</v>
      </c>
      <c r="E2559">
        <f>IF(LEFT(D2559,6)="CLIENT",IFERROR(VLOOKUP(C2559,Config_Carteiras!$A:$B,2,FALSE),1),"")</f>
        <v>1</v>
      </c>
      <c r="F2559" s="25">
        <v>474.55</v>
      </c>
      <c r="G2559" s="28">
        <f>IF(LEFT(D2559,6)="CLIENT",IF(E2559=0,WORKDAY(A2559-1,1,Dias_Sem_Compensacao!$A$2:$A$500),WORKDAY(A2559,E2559,Dias_Sem_Compensacao!$A$2:$A$500)),"")</f>
        <v>46315</v>
      </c>
      <c r="H2559" s="25">
        <v>0</v>
      </c>
      <c r="I2559" s="28">
        <v>46314</v>
      </c>
      <c r="J2559" t="s">
        <v>1933</v>
      </c>
      <c r="K2559" t="s">
        <v>1934</v>
      </c>
    </row>
    <row r="2560" spans="1:11" hidden="1">
      <c r="A2560" s="28">
        <v>46315</v>
      </c>
      <c r="B2560" t="s">
        <v>186</v>
      </c>
      <c r="C2560" t="s">
        <v>203</v>
      </c>
      <c r="D2560" t="s">
        <v>217</v>
      </c>
      <c r="E2560">
        <f>IF(LEFT(D2560,6)="CLIENT",IFERROR(VLOOKUP(C2560,Config_Carteiras!$A:$B,2,FALSE),1),"")</f>
        <v>1</v>
      </c>
      <c r="F2560" s="25">
        <v>805.73</v>
      </c>
      <c r="G2560" s="28">
        <f>IF(LEFT(D2560,6)="CLIENT",IF(E2560=0,WORKDAY(A2560-1,1,Dias_Sem_Compensacao!$A$2:$A$500),WORKDAY(A2560,E2560,Dias_Sem_Compensacao!$A$2:$A$500)),"")</f>
        <v>46316</v>
      </c>
      <c r="H2560" s="25">
        <v>0</v>
      </c>
      <c r="I2560" s="28">
        <v>46315</v>
      </c>
      <c r="J2560" t="s">
        <v>2327</v>
      </c>
      <c r="K2560" t="s">
        <v>2328</v>
      </c>
    </row>
    <row r="2561" spans="1:11" hidden="1">
      <c r="A2561" s="28">
        <v>46315</v>
      </c>
      <c r="B2561" t="s">
        <v>186</v>
      </c>
      <c r="C2561" t="s">
        <v>203</v>
      </c>
      <c r="D2561" t="s">
        <v>217</v>
      </c>
      <c r="E2561">
        <f>IF(LEFT(D2561,6)="CLIENT",IFERROR(VLOOKUP(C2561,Config_Carteiras!$A:$B,2,FALSE),1),"")</f>
        <v>1</v>
      </c>
      <c r="F2561" s="25">
        <v>346.61</v>
      </c>
      <c r="G2561" s="28">
        <f>IF(LEFT(D2561,6)="CLIENT",IF(E2561=0,WORKDAY(A2561-1,1,Dias_Sem_Compensacao!$A$2:$A$500),WORKDAY(A2561,E2561,Dias_Sem_Compensacao!$A$2:$A$500)),"")</f>
        <v>46316</v>
      </c>
      <c r="H2561" s="25">
        <v>0</v>
      </c>
      <c r="I2561" s="28">
        <v>46315</v>
      </c>
      <c r="K2561" t="s">
        <v>2329</v>
      </c>
    </row>
    <row r="2562" spans="1:11" hidden="1">
      <c r="A2562" s="28">
        <v>46315</v>
      </c>
      <c r="B2562" t="s">
        <v>186</v>
      </c>
      <c r="C2562" t="s">
        <v>203</v>
      </c>
      <c r="D2562" t="s">
        <v>217</v>
      </c>
      <c r="E2562">
        <f>IF(LEFT(D2562,6)="CLIENT",IFERROR(VLOOKUP(C2562,Config_Carteiras!$A:$B,2,FALSE),1),"")</f>
        <v>1</v>
      </c>
      <c r="F2562" s="25">
        <v>10896.6</v>
      </c>
      <c r="G2562" s="28">
        <f>IF(LEFT(D2562,6)="CLIENT",IF(E2562=0,WORKDAY(A2562-1,1,Dias_Sem_Compensacao!$A$2:$A$500),WORKDAY(A2562,E2562,Dias_Sem_Compensacao!$A$2:$A$500)),"")</f>
        <v>46316</v>
      </c>
      <c r="H2562" s="25">
        <v>0</v>
      </c>
      <c r="I2562" s="28">
        <v>46315</v>
      </c>
      <c r="J2562" t="s">
        <v>937</v>
      </c>
      <c r="K2562" t="s">
        <v>2999</v>
      </c>
    </row>
    <row r="2563" spans="1:11" hidden="1">
      <c r="A2563" s="28">
        <v>46315</v>
      </c>
      <c r="B2563" t="s">
        <v>186</v>
      </c>
      <c r="C2563" t="s">
        <v>203</v>
      </c>
      <c r="D2563" t="s">
        <v>217</v>
      </c>
      <c r="E2563">
        <f>IF(LEFT(D2563,6)="CLIENT",IFERROR(VLOOKUP(C2563,Config_Carteiras!$A:$B,2,FALSE),1),"")</f>
        <v>1</v>
      </c>
      <c r="F2563" s="25">
        <v>7797</v>
      </c>
      <c r="G2563" s="28">
        <f>IF(LEFT(D2563,6)="CLIENT",IF(E2563=0,WORKDAY(A2563-1,1,Dias_Sem_Compensacao!$A$2:$A$500),WORKDAY(A2563,E2563,Dias_Sem_Compensacao!$A$2:$A$500)),"")</f>
        <v>46316</v>
      </c>
      <c r="H2563" s="25">
        <v>0</v>
      </c>
      <c r="I2563" s="28">
        <v>46315</v>
      </c>
      <c r="J2563" t="s">
        <v>2333</v>
      </c>
      <c r="K2563" t="s">
        <v>2334</v>
      </c>
    </row>
    <row r="2564" spans="1:11" hidden="1">
      <c r="A2564" s="28">
        <v>46315</v>
      </c>
      <c r="B2564" t="s">
        <v>186</v>
      </c>
      <c r="C2564" t="s">
        <v>203</v>
      </c>
      <c r="D2564" t="s">
        <v>217</v>
      </c>
      <c r="E2564">
        <f>IF(LEFT(D2564,6)="CLIENT",IFERROR(VLOOKUP(C2564,Config_Carteiras!$A:$B,2,FALSE),1),"")</f>
        <v>1</v>
      </c>
      <c r="F2564" s="25">
        <v>5962</v>
      </c>
      <c r="G2564" s="28">
        <f>IF(LEFT(D2564,6)="CLIENT",IF(E2564=0,WORKDAY(A2564-1,1,Dias_Sem_Compensacao!$A$2:$A$500),WORKDAY(A2564,E2564,Dias_Sem_Compensacao!$A$2:$A$500)),"")</f>
        <v>46316</v>
      </c>
      <c r="H2564" s="25">
        <v>0</v>
      </c>
      <c r="I2564" s="28">
        <v>46315</v>
      </c>
      <c r="K2564" t="s">
        <v>2335</v>
      </c>
    </row>
    <row r="2565" spans="1:11" hidden="1">
      <c r="A2565" s="28">
        <v>46315</v>
      </c>
      <c r="B2565" t="s">
        <v>186</v>
      </c>
      <c r="C2565" t="s">
        <v>203</v>
      </c>
      <c r="D2565" t="s">
        <v>217</v>
      </c>
      <c r="E2565">
        <f>IF(LEFT(D2565,6)="CLIENT",IFERROR(VLOOKUP(C2565,Config_Carteiras!$A:$B,2,FALSE),1),"")</f>
        <v>1</v>
      </c>
      <c r="F2565" s="25">
        <v>843</v>
      </c>
      <c r="G2565" s="28">
        <f>IF(LEFT(D2565,6)="CLIENT",IF(E2565=0,WORKDAY(A2565-1,1,Dias_Sem_Compensacao!$A$2:$A$500),WORKDAY(A2565,E2565,Dias_Sem_Compensacao!$A$2:$A$500)),"")</f>
        <v>46316</v>
      </c>
      <c r="H2565" s="25">
        <v>0</v>
      </c>
      <c r="I2565" s="28">
        <v>46315</v>
      </c>
      <c r="J2565" t="s">
        <v>2341</v>
      </c>
      <c r="K2565" t="s">
        <v>2342</v>
      </c>
    </row>
    <row r="2566" spans="1:11" hidden="1">
      <c r="A2566" s="28">
        <v>46315</v>
      </c>
      <c r="B2566" t="s">
        <v>186</v>
      </c>
      <c r="C2566" t="s">
        <v>203</v>
      </c>
      <c r="D2566" t="s">
        <v>217</v>
      </c>
      <c r="E2566">
        <f>IF(LEFT(D2566,6)="CLIENT",IFERROR(VLOOKUP(C2566,Config_Carteiras!$A:$B,2,FALSE),1),"")</f>
        <v>1</v>
      </c>
      <c r="F2566" s="25">
        <v>1648</v>
      </c>
      <c r="G2566" s="28">
        <f>IF(LEFT(D2566,6)="CLIENT",IF(E2566=0,WORKDAY(A2566-1,1,Dias_Sem_Compensacao!$A$2:$A$500),WORKDAY(A2566,E2566,Dias_Sem_Compensacao!$A$2:$A$500)),"")</f>
        <v>46316</v>
      </c>
      <c r="H2566" s="25">
        <v>0</v>
      </c>
      <c r="I2566" s="28">
        <v>46315</v>
      </c>
      <c r="J2566" t="s">
        <v>2343</v>
      </c>
      <c r="K2566" t="s">
        <v>2344</v>
      </c>
    </row>
    <row r="2567" spans="1:11" hidden="1">
      <c r="A2567" s="28">
        <v>46315</v>
      </c>
      <c r="B2567" t="s">
        <v>186</v>
      </c>
      <c r="C2567" t="s">
        <v>203</v>
      </c>
      <c r="D2567" t="s">
        <v>217</v>
      </c>
      <c r="E2567">
        <f>IF(LEFT(D2567,6)="CLIENT",IFERROR(VLOOKUP(C2567,Config_Carteiras!$A:$B,2,FALSE),1),"")</f>
        <v>1</v>
      </c>
      <c r="F2567" s="25">
        <v>408</v>
      </c>
      <c r="G2567" s="28">
        <f>IF(LEFT(D2567,6)="CLIENT",IF(E2567=0,WORKDAY(A2567-1,1,Dias_Sem_Compensacao!$A$2:$A$500),WORKDAY(A2567,E2567,Dias_Sem_Compensacao!$A$2:$A$500)),"")</f>
        <v>46316</v>
      </c>
      <c r="H2567" s="25">
        <v>0</v>
      </c>
      <c r="I2567" s="28">
        <v>46315</v>
      </c>
      <c r="J2567" t="s">
        <v>2347</v>
      </c>
      <c r="K2567" t="s">
        <v>2348</v>
      </c>
    </row>
    <row r="2568" spans="1:11" hidden="1">
      <c r="A2568" s="28">
        <v>46315</v>
      </c>
      <c r="B2568" t="s">
        <v>186</v>
      </c>
      <c r="C2568" t="s">
        <v>203</v>
      </c>
      <c r="D2568" t="s">
        <v>217</v>
      </c>
      <c r="E2568">
        <f>IF(LEFT(D2568,6)="CLIENT",IFERROR(VLOOKUP(C2568,Config_Carteiras!$A:$B,2,FALSE),1),"")</f>
        <v>1</v>
      </c>
      <c r="F2568" s="25">
        <v>1193.05</v>
      </c>
      <c r="G2568" s="28">
        <f>IF(LEFT(D2568,6)="CLIENT",IF(E2568=0,WORKDAY(A2568-1,1,Dias_Sem_Compensacao!$A$2:$A$500),WORKDAY(A2568,E2568,Dias_Sem_Compensacao!$A$2:$A$500)),"")</f>
        <v>46316</v>
      </c>
      <c r="H2568" s="25">
        <v>0</v>
      </c>
      <c r="I2568" s="28">
        <v>46315</v>
      </c>
      <c r="J2568" t="s">
        <v>2349</v>
      </c>
      <c r="K2568" t="s">
        <v>2350</v>
      </c>
    </row>
    <row r="2569" spans="1:11" hidden="1">
      <c r="A2569" s="28">
        <v>46315</v>
      </c>
      <c r="B2569" t="s">
        <v>186</v>
      </c>
      <c r="C2569" t="s">
        <v>203</v>
      </c>
      <c r="D2569" t="s">
        <v>217</v>
      </c>
      <c r="E2569">
        <f>IF(LEFT(D2569,6)="CLIENT",IFERROR(VLOOKUP(C2569,Config_Carteiras!$A:$B,2,FALSE),1),"")</f>
        <v>1</v>
      </c>
      <c r="F2569" s="25">
        <v>371.77</v>
      </c>
      <c r="G2569" s="28">
        <f>IF(LEFT(D2569,6)="CLIENT",IF(E2569=0,WORKDAY(A2569-1,1,Dias_Sem_Compensacao!$A$2:$A$500),WORKDAY(A2569,E2569,Dias_Sem_Compensacao!$A$2:$A$500)),"")</f>
        <v>46316</v>
      </c>
      <c r="H2569" s="25">
        <v>0</v>
      </c>
      <c r="I2569" s="28">
        <v>46315</v>
      </c>
      <c r="J2569" t="s">
        <v>2351</v>
      </c>
      <c r="K2569" t="s">
        <v>2352</v>
      </c>
    </row>
    <row r="2570" spans="1:11" hidden="1">
      <c r="A2570" s="28">
        <v>46315</v>
      </c>
      <c r="B2570" t="s">
        <v>186</v>
      </c>
      <c r="C2570" t="s">
        <v>203</v>
      </c>
      <c r="D2570" t="s">
        <v>217</v>
      </c>
      <c r="E2570">
        <f>IF(LEFT(D2570,6)="CLIENT",IFERROR(VLOOKUP(C2570,Config_Carteiras!$A:$B,2,FALSE),1),"")</f>
        <v>1</v>
      </c>
      <c r="F2570" s="25">
        <v>832.44</v>
      </c>
      <c r="G2570" s="28">
        <f>IF(LEFT(D2570,6)="CLIENT",IF(E2570=0,WORKDAY(A2570-1,1,Dias_Sem_Compensacao!$A$2:$A$500),WORKDAY(A2570,E2570,Dias_Sem_Compensacao!$A$2:$A$500)),"")</f>
        <v>46316</v>
      </c>
      <c r="H2570" s="25">
        <v>0</v>
      </c>
      <c r="I2570" s="28">
        <v>46315</v>
      </c>
      <c r="J2570" t="s">
        <v>2353</v>
      </c>
      <c r="K2570" t="s">
        <v>2355</v>
      </c>
    </row>
    <row r="2571" spans="1:11" hidden="1">
      <c r="A2571" s="28">
        <v>46315</v>
      </c>
      <c r="B2571" t="s">
        <v>186</v>
      </c>
      <c r="C2571" t="s">
        <v>203</v>
      </c>
      <c r="D2571" t="s">
        <v>217</v>
      </c>
      <c r="E2571">
        <f>IF(LEFT(D2571,6)="CLIENT",IFERROR(VLOOKUP(C2571,Config_Carteiras!$A:$B,2,FALSE),1),"")</f>
        <v>1</v>
      </c>
      <c r="F2571" s="25">
        <v>736.46</v>
      </c>
      <c r="G2571" s="28">
        <f>IF(LEFT(D2571,6)="CLIENT",IF(E2571=0,WORKDAY(A2571-1,1,Dias_Sem_Compensacao!$A$2:$A$500),WORKDAY(A2571,E2571,Dias_Sem_Compensacao!$A$2:$A$500)),"")</f>
        <v>46316</v>
      </c>
      <c r="H2571" s="25">
        <v>0</v>
      </c>
      <c r="I2571" s="28">
        <v>46315</v>
      </c>
      <c r="K2571" t="s">
        <v>2356</v>
      </c>
    </row>
    <row r="2572" spans="1:11" hidden="1">
      <c r="A2572" s="28">
        <v>46315</v>
      </c>
      <c r="B2572" t="s">
        <v>186</v>
      </c>
      <c r="C2572" t="s">
        <v>203</v>
      </c>
      <c r="D2572" t="s">
        <v>217</v>
      </c>
      <c r="E2572">
        <f>IF(LEFT(D2572,6)="CLIENT",IFERROR(VLOOKUP(C2572,Config_Carteiras!$A:$B,2,FALSE),1),"")</f>
        <v>1</v>
      </c>
      <c r="F2572" s="25">
        <v>1025.3900000000001</v>
      </c>
      <c r="G2572" s="28">
        <f>IF(LEFT(D2572,6)="CLIENT",IF(E2572=0,WORKDAY(A2572-1,1,Dias_Sem_Compensacao!$A$2:$A$500),WORKDAY(A2572,E2572,Dias_Sem_Compensacao!$A$2:$A$500)),"")</f>
        <v>46316</v>
      </c>
      <c r="H2572" s="25">
        <v>0</v>
      </c>
      <c r="I2572" s="28">
        <v>46315</v>
      </c>
      <c r="K2572" t="s">
        <v>2357</v>
      </c>
    </row>
    <row r="2573" spans="1:11" hidden="1">
      <c r="A2573" s="28">
        <v>46315</v>
      </c>
      <c r="B2573" t="s">
        <v>186</v>
      </c>
      <c r="C2573" t="s">
        <v>203</v>
      </c>
      <c r="D2573" t="s">
        <v>217</v>
      </c>
      <c r="E2573">
        <f>IF(LEFT(D2573,6)="CLIENT",IFERROR(VLOOKUP(C2573,Config_Carteiras!$A:$B,2,FALSE),1),"")</f>
        <v>1</v>
      </c>
      <c r="F2573" s="25">
        <v>826.97</v>
      </c>
      <c r="G2573" s="28">
        <f>IF(LEFT(D2573,6)="CLIENT",IF(E2573=0,WORKDAY(A2573-1,1,Dias_Sem_Compensacao!$A$2:$A$500),WORKDAY(A2573,E2573,Dias_Sem_Compensacao!$A$2:$A$500)),"")</f>
        <v>46316</v>
      </c>
      <c r="H2573" s="25">
        <v>0</v>
      </c>
      <c r="I2573" s="28">
        <v>46315</v>
      </c>
      <c r="K2573" t="s">
        <v>2358</v>
      </c>
    </row>
    <row r="2574" spans="1:11" hidden="1">
      <c r="A2574" s="28">
        <v>46315</v>
      </c>
      <c r="B2574" t="s">
        <v>186</v>
      </c>
      <c r="C2574" t="s">
        <v>203</v>
      </c>
      <c r="D2574" t="s">
        <v>217</v>
      </c>
      <c r="E2574">
        <f>IF(LEFT(D2574,6)="CLIENT",IFERROR(VLOOKUP(C2574,Config_Carteiras!$A:$B,2,FALSE),1),"")</f>
        <v>1</v>
      </c>
      <c r="F2574" s="25">
        <v>872.71</v>
      </c>
      <c r="G2574" s="28">
        <f>IF(LEFT(D2574,6)="CLIENT",IF(E2574=0,WORKDAY(A2574-1,1,Dias_Sem_Compensacao!$A$2:$A$500),WORKDAY(A2574,E2574,Dias_Sem_Compensacao!$A$2:$A$500)),"")</f>
        <v>46316</v>
      </c>
      <c r="H2574" s="25">
        <v>0</v>
      </c>
      <c r="I2574" s="28">
        <v>46315</v>
      </c>
      <c r="K2574" t="s">
        <v>2359</v>
      </c>
    </row>
    <row r="2575" spans="1:11" hidden="1">
      <c r="A2575" s="28">
        <v>46315</v>
      </c>
      <c r="B2575" t="s">
        <v>186</v>
      </c>
      <c r="C2575" t="s">
        <v>203</v>
      </c>
      <c r="D2575" t="s">
        <v>217</v>
      </c>
      <c r="E2575">
        <f>IF(LEFT(D2575,6)="CLIENT",IFERROR(VLOOKUP(C2575,Config_Carteiras!$A:$B,2,FALSE),1),"")</f>
        <v>1</v>
      </c>
      <c r="F2575" s="25">
        <v>1122.3399999999999</v>
      </c>
      <c r="G2575" s="28">
        <f>IF(LEFT(D2575,6)="CLIENT",IF(E2575=0,WORKDAY(A2575-1,1,Dias_Sem_Compensacao!$A$2:$A$500),WORKDAY(A2575,E2575,Dias_Sem_Compensacao!$A$2:$A$500)),"")</f>
        <v>46316</v>
      </c>
      <c r="H2575" s="25">
        <v>0</v>
      </c>
      <c r="I2575" s="28">
        <v>46315</v>
      </c>
      <c r="K2575" t="s">
        <v>2360</v>
      </c>
    </row>
    <row r="2576" spans="1:11" hidden="1">
      <c r="A2576" s="28">
        <v>46315</v>
      </c>
      <c r="B2576" t="s">
        <v>186</v>
      </c>
      <c r="C2576" t="s">
        <v>203</v>
      </c>
      <c r="D2576" t="s">
        <v>217</v>
      </c>
      <c r="E2576">
        <f>IF(LEFT(D2576,6)="CLIENT",IFERROR(VLOOKUP(C2576,Config_Carteiras!$A:$B,2,FALSE),1),"")</f>
        <v>1</v>
      </c>
      <c r="F2576" s="25">
        <v>955.26</v>
      </c>
      <c r="G2576" s="28">
        <f>IF(LEFT(D2576,6)="CLIENT",IF(E2576=0,WORKDAY(A2576-1,1,Dias_Sem_Compensacao!$A$2:$A$500),WORKDAY(A2576,E2576,Dias_Sem_Compensacao!$A$2:$A$500)),"")</f>
        <v>46316</v>
      </c>
      <c r="H2576" s="25">
        <v>0</v>
      </c>
      <c r="I2576" s="28">
        <v>46315</v>
      </c>
      <c r="K2576" t="s">
        <v>2361</v>
      </c>
    </row>
    <row r="2577" spans="1:11" hidden="1">
      <c r="A2577" s="28">
        <v>46315</v>
      </c>
      <c r="B2577" t="s">
        <v>186</v>
      </c>
      <c r="C2577" t="s">
        <v>203</v>
      </c>
      <c r="D2577" t="s">
        <v>217</v>
      </c>
      <c r="E2577">
        <f>IF(LEFT(D2577,6)="CLIENT",IFERROR(VLOOKUP(C2577,Config_Carteiras!$A:$B,2,FALSE),1),"")</f>
        <v>1</v>
      </c>
      <c r="F2577" s="25">
        <v>1147.46</v>
      </c>
      <c r="G2577" s="28">
        <f>IF(LEFT(D2577,6)="CLIENT",IF(E2577=0,WORKDAY(A2577-1,1,Dias_Sem_Compensacao!$A$2:$A$500),WORKDAY(A2577,E2577,Dias_Sem_Compensacao!$A$2:$A$500)),"")</f>
        <v>46316</v>
      </c>
      <c r="H2577" s="25">
        <v>0</v>
      </c>
      <c r="I2577" s="28">
        <v>46315</v>
      </c>
      <c r="K2577" t="s">
        <v>2362</v>
      </c>
    </row>
    <row r="2578" spans="1:11" hidden="1">
      <c r="A2578" s="28">
        <v>46315</v>
      </c>
      <c r="B2578" t="s">
        <v>186</v>
      </c>
      <c r="C2578" t="s">
        <v>203</v>
      </c>
      <c r="D2578" t="s">
        <v>217</v>
      </c>
      <c r="E2578">
        <f>IF(LEFT(D2578,6)="CLIENT",IFERROR(VLOOKUP(C2578,Config_Carteiras!$A:$B,2,FALSE),1),"")</f>
        <v>1</v>
      </c>
      <c r="F2578" s="25">
        <v>1038.81</v>
      </c>
      <c r="G2578" s="28">
        <f>IF(LEFT(D2578,6)="CLIENT",IF(E2578=0,WORKDAY(A2578-1,1,Dias_Sem_Compensacao!$A$2:$A$500),WORKDAY(A2578,E2578,Dias_Sem_Compensacao!$A$2:$A$500)),"")</f>
        <v>46316</v>
      </c>
      <c r="H2578" s="25">
        <v>0</v>
      </c>
      <c r="I2578" s="28">
        <v>46315</v>
      </c>
      <c r="K2578" t="s">
        <v>2363</v>
      </c>
    </row>
    <row r="2579" spans="1:11" hidden="1">
      <c r="A2579" s="28">
        <v>46315</v>
      </c>
      <c r="B2579" t="s">
        <v>186</v>
      </c>
      <c r="C2579" t="s">
        <v>203</v>
      </c>
      <c r="D2579" t="s">
        <v>217</v>
      </c>
      <c r="E2579">
        <f>IF(LEFT(D2579,6)="CLIENT",IFERROR(VLOOKUP(C2579,Config_Carteiras!$A:$B,2,FALSE),1),"")</f>
        <v>1</v>
      </c>
      <c r="F2579" s="25">
        <v>1449.06</v>
      </c>
      <c r="G2579" s="28">
        <f>IF(LEFT(D2579,6)="CLIENT",IF(E2579=0,WORKDAY(A2579-1,1,Dias_Sem_Compensacao!$A$2:$A$500),WORKDAY(A2579,E2579,Dias_Sem_Compensacao!$A$2:$A$500)),"")</f>
        <v>46316</v>
      </c>
      <c r="H2579" s="25">
        <v>0</v>
      </c>
      <c r="I2579" s="28">
        <v>46315</v>
      </c>
      <c r="K2579" t="s">
        <v>2364</v>
      </c>
    </row>
    <row r="2580" spans="1:11" hidden="1">
      <c r="A2580" s="28">
        <v>46315</v>
      </c>
      <c r="B2580" t="s">
        <v>186</v>
      </c>
      <c r="C2580" t="s">
        <v>203</v>
      </c>
      <c r="D2580" t="s">
        <v>217</v>
      </c>
      <c r="E2580">
        <f>IF(LEFT(D2580,6)="CLIENT",IFERROR(VLOOKUP(C2580,Config_Carteiras!$A:$B,2,FALSE),1),"")</f>
        <v>1</v>
      </c>
      <c r="F2580" s="25">
        <v>939</v>
      </c>
      <c r="G2580" s="28">
        <f>IF(LEFT(D2580,6)="CLIENT",IF(E2580=0,WORKDAY(A2580-1,1,Dias_Sem_Compensacao!$A$2:$A$500),WORKDAY(A2580,E2580,Dias_Sem_Compensacao!$A$2:$A$500)),"")</f>
        <v>46316</v>
      </c>
      <c r="H2580" s="25">
        <v>0</v>
      </c>
      <c r="I2580" s="28">
        <v>46315</v>
      </c>
      <c r="J2580" t="s">
        <v>2365</v>
      </c>
      <c r="K2580" t="s">
        <v>2366</v>
      </c>
    </row>
    <row r="2581" spans="1:11" hidden="1">
      <c r="A2581" s="28">
        <v>46315</v>
      </c>
      <c r="B2581" t="s">
        <v>186</v>
      </c>
      <c r="C2581" t="s">
        <v>203</v>
      </c>
      <c r="D2581" t="s">
        <v>217</v>
      </c>
      <c r="E2581">
        <f>IF(LEFT(D2581,6)="CLIENT",IFERROR(VLOOKUP(C2581,Config_Carteiras!$A:$B,2,FALSE),1),"")</f>
        <v>1</v>
      </c>
      <c r="F2581" s="25">
        <v>6493.26</v>
      </c>
      <c r="G2581" s="28">
        <f>IF(LEFT(D2581,6)="CLIENT",IF(E2581=0,WORKDAY(A2581-1,1,Dias_Sem_Compensacao!$A$2:$A$500),WORKDAY(A2581,E2581,Dias_Sem_Compensacao!$A$2:$A$500)),"")</f>
        <v>46316</v>
      </c>
      <c r="H2581" s="25">
        <v>0</v>
      </c>
      <c r="I2581" s="28">
        <v>46315</v>
      </c>
      <c r="J2581" t="s">
        <v>3000</v>
      </c>
      <c r="K2581" t="s">
        <v>3001</v>
      </c>
    </row>
    <row r="2582" spans="1:11" hidden="1">
      <c r="A2582" s="28">
        <v>46315</v>
      </c>
      <c r="B2582" t="s">
        <v>186</v>
      </c>
      <c r="C2582" t="s">
        <v>203</v>
      </c>
      <c r="D2582" t="s">
        <v>217</v>
      </c>
      <c r="E2582">
        <f>IF(LEFT(D2582,6)="CLIENT",IFERROR(VLOOKUP(C2582,Config_Carteiras!$A:$B,2,FALSE),1),"")</f>
        <v>1</v>
      </c>
      <c r="F2582" s="25">
        <v>785</v>
      </c>
      <c r="G2582" s="28">
        <f>IF(LEFT(D2582,6)="CLIENT",IF(E2582=0,WORKDAY(A2582-1,1,Dias_Sem_Compensacao!$A$2:$A$500),WORKDAY(A2582,E2582,Dias_Sem_Compensacao!$A$2:$A$500)),"")</f>
        <v>46316</v>
      </c>
      <c r="H2582" s="25">
        <v>0</v>
      </c>
      <c r="I2582" s="28">
        <v>46315</v>
      </c>
      <c r="J2582" t="s">
        <v>3002</v>
      </c>
      <c r="K2582" t="s">
        <v>3003</v>
      </c>
    </row>
    <row r="2583" spans="1:11" hidden="1">
      <c r="A2583" s="28">
        <v>46315</v>
      </c>
      <c r="B2583" t="s">
        <v>186</v>
      </c>
      <c r="C2583" t="s">
        <v>203</v>
      </c>
      <c r="D2583" t="s">
        <v>217</v>
      </c>
      <c r="E2583">
        <f>IF(LEFT(D2583,6)="CLIENT",IFERROR(VLOOKUP(C2583,Config_Carteiras!$A:$B,2,FALSE),1),"")</f>
        <v>1</v>
      </c>
      <c r="F2583" s="25">
        <v>2238</v>
      </c>
      <c r="G2583" s="28">
        <f>IF(LEFT(D2583,6)="CLIENT",IF(E2583=0,WORKDAY(A2583-1,1,Dias_Sem_Compensacao!$A$2:$A$500),WORKDAY(A2583,E2583,Dias_Sem_Compensacao!$A$2:$A$500)),"")</f>
        <v>46316</v>
      </c>
      <c r="H2583" s="25">
        <v>0</v>
      </c>
      <c r="I2583" s="28">
        <v>46315</v>
      </c>
      <c r="J2583" t="s">
        <v>3004</v>
      </c>
      <c r="K2583" t="s">
        <v>3005</v>
      </c>
    </row>
    <row r="2584" spans="1:11" hidden="1">
      <c r="A2584" s="28">
        <v>46315</v>
      </c>
      <c r="B2584" t="s">
        <v>186</v>
      </c>
      <c r="C2584" t="s">
        <v>203</v>
      </c>
      <c r="D2584" t="s">
        <v>217</v>
      </c>
      <c r="E2584">
        <f>IF(LEFT(D2584,6)="CLIENT",IFERROR(VLOOKUP(C2584,Config_Carteiras!$A:$B,2,FALSE),1),"")</f>
        <v>1</v>
      </c>
      <c r="F2584" s="25">
        <v>27230.3</v>
      </c>
      <c r="G2584" s="28">
        <f>IF(LEFT(D2584,6)="CLIENT",IF(E2584=0,WORKDAY(A2584-1,1,Dias_Sem_Compensacao!$A$2:$A$500),WORKDAY(A2584,E2584,Dias_Sem_Compensacao!$A$2:$A$500)),"")</f>
        <v>46316</v>
      </c>
      <c r="H2584" s="25">
        <v>0</v>
      </c>
      <c r="I2584" s="28">
        <v>46315</v>
      </c>
      <c r="J2584" t="s">
        <v>1138</v>
      </c>
      <c r="K2584" t="s">
        <v>1942</v>
      </c>
    </row>
    <row r="2585" spans="1:11" hidden="1">
      <c r="A2585" s="28">
        <v>46315</v>
      </c>
      <c r="B2585" t="s">
        <v>186</v>
      </c>
      <c r="C2585" t="s">
        <v>203</v>
      </c>
      <c r="D2585" t="s">
        <v>217</v>
      </c>
      <c r="E2585">
        <f>IF(LEFT(D2585,6)="CLIENT",IFERROR(VLOOKUP(C2585,Config_Carteiras!$A:$B,2,FALSE),1),"")</f>
        <v>1</v>
      </c>
      <c r="F2585" s="25">
        <v>26087</v>
      </c>
      <c r="G2585" s="28">
        <f>IF(LEFT(D2585,6)="CLIENT",IF(E2585=0,WORKDAY(A2585-1,1,Dias_Sem_Compensacao!$A$2:$A$500),WORKDAY(A2585,E2585,Dias_Sem_Compensacao!$A$2:$A$500)),"")</f>
        <v>46316</v>
      </c>
      <c r="H2585" s="25">
        <v>0</v>
      </c>
      <c r="I2585" s="28">
        <v>46315</v>
      </c>
      <c r="K2585" t="s">
        <v>2367</v>
      </c>
    </row>
    <row r="2586" spans="1:11" hidden="1">
      <c r="A2586" s="28">
        <v>46315</v>
      </c>
      <c r="B2586" t="s">
        <v>186</v>
      </c>
      <c r="C2586" t="s">
        <v>203</v>
      </c>
      <c r="D2586" t="s">
        <v>217</v>
      </c>
      <c r="E2586">
        <f>IF(LEFT(D2586,6)="CLIENT",IFERROR(VLOOKUP(C2586,Config_Carteiras!$A:$B,2,FALSE),1),"")</f>
        <v>1</v>
      </c>
      <c r="F2586" s="25">
        <v>516.41999999999996</v>
      </c>
      <c r="G2586" s="28">
        <f>IF(LEFT(D2586,6)="CLIENT",IF(E2586=0,WORKDAY(A2586-1,1,Dias_Sem_Compensacao!$A$2:$A$500),WORKDAY(A2586,E2586,Dias_Sem_Compensacao!$A$2:$A$500)),"")</f>
        <v>46316</v>
      </c>
      <c r="H2586" s="25">
        <v>0</v>
      </c>
      <c r="I2586" s="28">
        <v>46315</v>
      </c>
      <c r="J2586" t="s">
        <v>2375</v>
      </c>
      <c r="K2586" t="s">
        <v>2376</v>
      </c>
    </row>
    <row r="2587" spans="1:11" hidden="1">
      <c r="A2587" s="28">
        <v>46315</v>
      </c>
      <c r="B2587" t="s">
        <v>186</v>
      </c>
      <c r="C2587" t="s">
        <v>203</v>
      </c>
      <c r="D2587" t="s">
        <v>217</v>
      </c>
      <c r="E2587">
        <f>IF(LEFT(D2587,6)="CLIENT",IFERROR(VLOOKUP(C2587,Config_Carteiras!$A:$B,2,FALSE),1),"")</f>
        <v>1</v>
      </c>
      <c r="F2587" s="25">
        <v>704</v>
      </c>
      <c r="G2587" s="28">
        <f>IF(LEFT(D2587,6)="CLIENT",IF(E2587=0,WORKDAY(A2587-1,1,Dias_Sem_Compensacao!$A$2:$A$500),WORKDAY(A2587,E2587,Dias_Sem_Compensacao!$A$2:$A$500)),"")</f>
        <v>46316</v>
      </c>
      <c r="H2587" s="25">
        <v>0</v>
      </c>
      <c r="I2587" s="28">
        <v>46315</v>
      </c>
      <c r="J2587" t="s">
        <v>3006</v>
      </c>
      <c r="K2587" t="s">
        <v>3007</v>
      </c>
    </row>
    <row r="2588" spans="1:11" hidden="1">
      <c r="A2588" s="28">
        <v>46315</v>
      </c>
      <c r="B2588" t="s">
        <v>186</v>
      </c>
      <c r="C2588" t="s">
        <v>203</v>
      </c>
      <c r="D2588" t="s">
        <v>217</v>
      </c>
      <c r="E2588">
        <f>IF(LEFT(D2588,6)="CLIENT",IFERROR(VLOOKUP(C2588,Config_Carteiras!$A:$B,2,FALSE),1),"")</f>
        <v>1</v>
      </c>
      <c r="F2588" s="25">
        <v>1111.44</v>
      </c>
      <c r="G2588" s="28">
        <f>IF(LEFT(D2588,6)="CLIENT",IF(E2588=0,WORKDAY(A2588-1,1,Dias_Sem_Compensacao!$A$2:$A$500),WORKDAY(A2588,E2588,Dias_Sem_Compensacao!$A$2:$A$500)),"")</f>
        <v>46316</v>
      </c>
      <c r="H2588" s="25">
        <v>0</v>
      </c>
      <c r="I2588" s="28">
        <v>46315</v>
      </c>
      <c r="J2588" t="s">
        <v>1945</v>
      </c>
      <c r="K2588" t="s">
        <v>1946</v>
      </c>
    </row>
    <row r="2589" spans="1:11" hidden="1">
      <c r="A2589" s="28">
        <v>46315</v>
      </c>
      <c r="B2589" t="s">
        <v>186</v>
      </c>
      <c r="C2589" t="s">
        <v>203</v>
      </c>
      <c r="D2589" t="s">
        <v>217</v>
      </c>
      <c r="E2589">
        <f>IF(LEFT(D2589,6)="CLIENT",IFERROR(VLOOKUP(C2589,Config_Carteiras!$A:$B,2,FALSE),1),"")</f>
        <v>1</v>
      </c>
      <c r="F2589" s="25">
        <v>1116</v>
      </c>
      <c r="G2589" s="28">
        <f>IF(LEFT(D2589,6)="CLIENT",IF(E2589=0,WORKDAY(A2589-1,1,Dias_Sem_Compensacao!$A$2:$A$500),WORKDAY(A2589,E2589,Dias_Sem_Compensacao!$A$2:$A$500)),"")</f>
        <v>46316</v>
      </c>
      <c r="H2589" s="25">
        <v>0</v>
      </c>
      <c r="I2589" s="28">
        <v>46315</v>
      </c>
      <c r="J2589" t="s">
        <v>1325</v>
      </c>
      <c r="K2589" t="s">
        <v>1947</v>
      </c>
    </row>
    <row r="2590" spans="1:11" hidden="1">
      <c r="A2590" s="28">
        <v>46315</v>
      </c>
      <c r="B2590" t="s">
        <v>186</v>
      </c>
      <c r="C2590" t="s">
        <v>203</v>
      </c>
      <c r="D2590" t="s">
        <v>217</v>
      </c>
      <c r="E2590">
        <f>IF(LEFT(D2590,6)="CLIENT",IFERROR(VLOOKUP(C2590,Config_Carteiras!$A:$B,2,FALSE),1),"")</f>
        <v>1</v>
      </c>
      <c r="F2590" s="25">
        <v>1646.5</v>
      </c>
      <c r="G2590" s="28">
        <f>IF(LEFT(D2590,6)="CLIENT",IF(E2590=0,WORKDAY(A2590-1,1,Dias_Sem_Compensacao!$A$2:$A$500),WORKDAY(A2590,E2590,Dias_Sem_Compensacao!$A$2:$A$500)),"")</f>
        <v>46316</v>
      </c>
      <c r="H2590" s="25">
        <v>0</v>
      </c>
      <c r="I2590" s="28">
        <v>46315</v>
      </c>
      <c r="J2590" t="s">
        <v>2377</v>
      </c>
      <c r="K2590" t="s">
        <v>2378</v>
      </c>
    </row>
    <row r="2591" spans="1:11" hidden="1">
      <c r="A2591" s="28">
        <v>46315</v>
      </c>
      <c r="B2591" t="s">
        <v>186</v>
      </c>
      <c r="C2591" t="s">
        <v>203</v>
      </c>
      <c r="D2591" t="s">
        <v>217</v>
      </c>
      <c r="E2591">
        <f>IF(LEFT(D2591,6)="CLIENT",IFERROR(VLOOKUP(C2591,Config_Carteiras!$A:$B,2,FALSE),1),"")</f>
        <v>1</v>
      </c>
      <c r="F2591" s="25">
        <v>1385</v>
      </c>
      <c r="G2591" s="28">
        <f>IF(LEFT(D2591,6)="CLIENT",IF(E2591=0,WORKDAY(A2591-1,1,Dias_Sem_Compensacao!$A$2:$A$500),WORKDAY(A2591,E2591,Dias_Sem_Compensacao!$A$2:$A$500)),"")</f>
        <v>46316</v>
      </c>
      <c r="H2591" s="25">
        <v>0</v>
      </c>
      <c r="I2591" s="28">
        <v>46315</v>
      </c>
      <c r="J2591" t="s">
        <v>2379</v>
      </c>
      <c r="K2591" t="s">
        <v>2380</v>
      </c>
    </row>
    <row r="2592" spans="1:11" hidden="1">
      <c r="A2592" s="28">
        <v>46315</v>
      </c>
      <c r="B2592" t="s">
        <v>186</v>
      </c>
      <c r="C2592" t="s">
        <v>203</v>
      </c>
      <c r="D2592" t="s">
        <v>217</v>
      </c>
      <c r="E2592">
        <f>IF(LEFT(D2592,6)="CLIENT",IFERROR(VLOOKUP(C2592,Config_Carteiras!$A:$B,2,FALSE),1),"")</f>
        <v>1</v>
      </c>
      <c r="F2592" s="25">
        <v>1708</v>
      </c>
      <c r="G2592" s="28">
        <f>IF(LEFT(D2592,6)="CLIENT",IF(E2592=0,WORKDAY(A2592-1,1,Dias_Sem_Compensacao!$A$2:$A$500),WORKDAY(A2592,E2592,Dias_Sem_Compensacao!$A$2:$A$500)),"")</f>
        <v>46316</v>
      </c>
      <c r="H2592" s="25">
        <v>0</v>
      </c>
      <c r="I2592" s="28">
        <v>46315</v>
      </c>
      <c r="J2592" t="s">
        <v>2385</v>
      </c>
      <c r="K2592" t="s">
        <v>2386</v>
      </c>
    </row>
    <row r="2593" spans="1:11" hidden="1">
      <c r="A2593" s="28">
        <v>46315</v>
      </c>
      <c r="B2593" t="s">
        <v>186</v>
      </c>
      <c r="C2593" t="s">
        <v>203</v>
      </c>
      <c r="D2593" t="s">
        <v>217</v>
      </c>
      <c r="E2593">
        <f>IF(LEFT(D2593,6)="CLIENT",IFERROR(VLOOKUP(C2593,Config_Carteiras!$A:$B,2,FALSE),1),"")</f>
        <v>1</v>
      </c>
      <c r="F2593" s="25">
        <v>2545</v>
      </c>
      <c r="G2593" s="28">
        <f>IF(LEFT(D2593,6)="CLIENT",IF(E2593=0,WORKDAY(A2593-1,1,Dias_Sem_Compensacao!$A$2:$A$500),WORKDAY(A2593,E2593,Dias_Sem_Compensacao!$A$2:$A$500)),"")</f>
        <v>46316</v>
      </c>
      <c r="H2593" s="25">
        <v>0</v>
      </c>
      <c r="I2593" s="28">
        <v>46315</v>
      </c>
      <c r="J2593" t="s">
        <v>2389</v>
      </c>
      <c r="K2593" t="s">
        <v>2390</v>
      </c>
    </row>
    <row r="2594" spans="1:11" hidden="1">
      <c r="A2594" s="28">
        <v>46315</v>
      </c>
      <c r="B2594" t="s">
        <v>186</v>
      </c>
      <c r="C2594" t="s">
        <v>203</v>
      </c>
      <c r="D2594" t="s">
        <v>217</v>
      </c>
      <c r="E2594">
        <f>IF(LEFT(D2594,6)="CLIENT",IFERROR(VLOOKUP(C2594,Config_Carteiras!$A:$B,2,FALSE),1),"")</f>
        <v>1</v>
      </c>
      <c r="F2594" s="25">
        <v>630.91999999999996</v>
      </c>
      <c r="G2594" s="28">
        <f>IF(LEFT(D2594,6)="CLIENT",IF(E2594=0,WORKDAY(A2594-1,1,Dias_Sem_Compensacao!$A$2:$A$500),WORKDAY(A2594,E2594,Dias_Sem_Compensacao!$A$2:$A$500)),"")</f>
        <v>46316</v>
      </c>
      <c r="H2594" s="25">
        <v>0</v>
      </c>
      <c r="I2594" s="28">
        <v>46315</v>
      </c>
      <c r="J2594" t="s">
        <v>1157</v>
      </c>
      <c r="K2594" t="s">
        <v>1158</v>
      </c>
    </row>
    <row r="2595" spans="1:11" hidden="1">
      <c r="A2595" s="28">
        <v>46315</v>
      </c>
      <c r="B2595" t="s">
        <v>186</v>
      </c>
      <c r="C2595" t="s">
        <v>203</v>
      </c>
      <c r="D2595" t="s">
        <v>217</v>
      </c>
      <c r="E2595">
        <f>IF(LEFT(D2595,6)="CLIENT",IFERROR(VLOOKUP(C2595,Config_Carteiras!$A:$B,2,FALSE),1),"")</f>
        <v>1</v>
      </c>
      <c r="F2595" s="25">
        <v>1044.03</v>
      </c>
      <c r="G2595" s="28">
        <f>IF(LEFT(D2595,6)="CLIENT",IF(E2595=0,WORKDAY(A2595-1,1,Dias_Sem_Compensacao!$A$2:$A$500),WORKDAY(A2595,E2595,Dias_Sem_Compensacao!$A$2:$A$500)),"")</f>
        <v>46316</v>
      </c>
      <c r="H2595" s="25">
        <v>0</v>
      </c>
      <c r="I2595" s="28">
        <v>46315</v>
      </c>
      <c r="J2595" t="s">
        <v>3008</v>
      </c>
      <c r="K2595" t="s">
        <v>3009</v>
      </c>
    </row>
    <row r="2596" spans="1:11" hidden="1">
      <c r="A2596" s="28">
        <v>46315</v>
      </c>
      <c r="B2596" t="s">
        <v>186</v>
      </c>
      <c r="C2596" t="s">
        <v>203</v>
      </c>
      <c r="D2596" t="s">
        <v>217</v>
      </c>
      <c r="E2596">
        <f>IF(LEFT(D2596,6)="CLIENT",IFERROR(VLOOKUP(C2596,Config_Carteiras!$A:$B,2,FALSE),1),"")</f>
        <v>1</v>
      </c>
      <c r="F2596" s="25">
        <v>1267</v>
      </c>
      <c r="G2596" s="28">
        <f>IF(LEFT(D2596,6)="CLIENT",IF(E2596=0,WORKDAY(A2596-1,1,Dias_Sem_Compensacao!$A$2:$A$500),WORKDAY(A2596,E2596,Dias_Sem_Compensacao!$A$2:$A$500)),"")</f>
        <v>46316</v>
      </c>
      <c r="H2596" s="25">
        <v>0</v>
      </c>
      <c r="I2596" s="28">
        <v>46315</v>
      </c>
      <c r="J2596" t="s">
        <v>2587</v>
      </c>
      <c r="K2596" t="s">
        <v>3010</v>
      </c>
    </row>
    <row r="2597" spans="1:11" hidden="1">
      <c r="A2597" s="28">
        <v>46315</v>
      </c>
      <c r="B2597" t="s">
        <v>186</v>
      </c>
      <c r="C2597" t="s">
        <v>203</v>
      </c>
      <c r="D2597" t="s">
        <v>217</v>
      </c>
      <c r="E2597">
        <f>IF(LEFT(D2597,6)="CLIENT",IFERROR(VLOOKUP(C2597,Config_Carteiras!$A:$B,2,FALSE),1),"")</f>
        <v>1</v>
      </c>
      <c r="F2597" s="25">
        <v>5126.9799999999996</v>
      </c>
      <c r="G2597" s="28">
        <f>IF(LEFT(D2597,6)="CLIENT",IF(E2597=0,WORKDAY(A2597-1,1,Dias_Sem_Compensacao!$A$2:$A$500),WORKDAY(A2597,E2597,Dias_Sem_Compensacao!$A$2:$A$500)),"")</f>
        <v>46316</v>
      </c>
      <c r="H2597" s="25">
        <v>0</v>
      </c>
      <c r="I2597" s="28">
        <v>46315</v>
      </c>
      <c r="J2597" t="s">
        <v>3011</v>
      </c>
      <c r="K2597" t="s">
        <v>3012</v>
      </c>
    </row>
    <row r="2598" spans="1:11" hidden="1">
      <c r="A2598" s="28">
        <v>46315</v>
      </c>
      <c r="B2598" t="s">
        <v>186</v>
      </c>
      <c r="C2598" t="s">
        <v>203</v>
      </c>
      <c r="D2598" t="s">
        <v>217</v>
      </c>
      <c r="E2598">
        <f>IF(LEFT(D2598,6)="CLIENT",IFERROR(VLOOKUP(C2598,Config_Carteiras!$A:$B,2,FALSE),1),"")</f>
        <v>1</v>
      </c>
      <c r="F2598" s="25">
        <v>2243</v>
      </c>
      <c r="G2598" s="28">
        <f>IF(LEFT(D2598,6)="CLIENT",IF(E2598=0,WORKDAY(A2598-1,1,Dias_Sem_Compensacao!$A$2:$A$500),WORKDAY(A2598,E2598,Dias_Sem_Compensacao!$A$2:$A$500)),"")</f>
        <v>46316</v>
      </c>
      <c r="H2598" s="25">
        <v>0</v>
      </c>
      <c r="I2598" s="28">
        <v>46315</v>
      </c>
      <c r="J2598" t="s">
        <v>2400</v>
      </c>
      <c r="K2598" t="s">
        <v>2401</v>
      </c>
    </row>
    <row r="2599" spans="1:11" hidden="1">
      <c r="A2599" s="28">
        <v>46315</v>
      </c>
      <c r="B2599" t="s">
        <v>186</v>
      </c>
      <c r="C2599" t="s">
        <v>203</v>
      </c>
      <c r="D2599" t="s">
        <v>217</v>
      </c>
      <c r="E2599">
        <f>IF(LEFT(D2599,6)="CLIENT",IFERROR(VLOOKUP(C2599,Config_Carteiras!$A:$B,2,FALSE),1),"")</f>
        <v>1</v>
      </c>
      <c r="F2599" s="25">
        <v>39655</v>
      </c>
      <c r="G2599" s="28">
        <f>IF(LEFT(D2599,6)="CLIENT",IF(E2599=0,WORKDAY(A2599-1,1,Dias_Sem_Compensacao!$A$2:$A$500),WORKDAY(A2599,E2599,Dias_Sem_Compensacao!$A$2:$A$500)),"")</f>
        <v>46316</v>
      </c>
      <c r="H2599" s="25">
        <v>0</v>
      </c>
      <c r="I2599" s="28">
        <v>46315</v>
      </c>
      <c r="J2599" t="s">
        <v>1162</v>
      </c>
      <c r="K2599" t="s">
        <v>3013</v>
      </c>
    </row>
    <row r="2600" spans="1:11" hidden="1">
      <c r="A2600" s="28">
        <v>46315</v>
      </c>
      <c r="B2600" t="s">
        <v>186</v>
      </c>
      <c r="C2600" t="s">
        <v>203</v>
      </c>
      <c r="D2600" t="s">
        <v>217</v>
      </c>
      <c r="E2600">
        <f>IF(LEFT(D2600,6)="CLIENT",IFERROR(VLOOKUP(C2600,Config_Carteiras!$A:$B,2,FALSE),1),"")</f>
        <v>1</v>
      </c>
      <c r="F2600" s="25">
        <v>429.14</v>
      </c>
      <c r="G2600" s="28">
        <f>IF(LEFT(D2600,6)="CLIENT",IF(E2600=0,WORKDAY(A2600-1,1,Dias_Sem_Compensacao!$A$2:$A$500),WORKDAY(A2600,E2600,Dias_Sem_Compensacao!$A$2:$A$500)),"")</f>
        <v>46316</v>
      </c>
      <c r="H2600" s="25">
        <v>0</v>
      </c>
      <c r="I2600" s="28">
        <v>46315</v>
      </c>
      <c r="J2600" t="s">
        <v>1956</v>
      </c>
      <c r="K2600" t="s">
        <v>1957</v>
      </c>
    </row>
    <row r="2601" spans="1:11" hidden="1">
      <c r="A2601" s="28">
        <v>46315</v>
      </c>
      <c r="B2601" t="s">
        <v>186</v>
      </c>
      <c r="C2601" t="s">
        <v>203</v>
      </c>
      <c r="D2601" t="s">
        <v>217</v>
      </c>
      <c r="E2601">
        <f>IF(LEFT(D2601,6)="CLIENT",IFERROR(VLOOKUP(C2601,Config_Carteiras!$A:$B,2,FALSE),1),"")</f>
        <v>1</v>
      </c>
      <c r="F2601" s="25">
        <v>725.46</v>
      </c>
      <c r="G2601" s="28">
        <f>IF(LEFT(D2601,6)="CLIENT",IF(E2601=0,WORKDAY(A2601-1,1,Dias_Sem_Compensacao!$A$2:$A$500),WORKDAY(A2601,E2601,Dias_Sem_Compensacao!$A$2:$A$500)),"")</f>
        <v>46316</v>
      </c>
      <c r="H2601" s="25">
        <v>0</v>
      </c>
      <c r="I2601" s="28">
        <v>46315</v>
      </c>
      <c r="J2601" t="s">
        <v>1958</v>
      </c>
      <c r="K2601" t="s">
        <v>1959</v>
      </c>
    </row>
    <row r="2602" spans="1:11" hidden="1">
      <c r="A2602" s="28">
        <v>46315</v>
      </c>
      <c r="B2602" t="s">
        <v>186</v>
      </c>
      <c r="C2602" t="s">
        <v>203</v>
      </c>
      <c r="D2602" t="s">
        <v>217</v>
      </c>
      <c r="E2602">
        <f>IF(LEFT(D2602,6)="CLIENT",IFERROR(VLOOKUP(C2602,Config_Carteiras!$A:$B,2,FALSE),1),"")</f>
        <v>1</v>
      </c>
      <c r="F2602" s="25">
        <v>725.98</v>
      </c>
      <c r="G2602" s="28">
        <f>IF(LEFT(D2602,6)="CLIENT",IF(E2602=0,WORKDAY(A2602-1,1,Dias_Sem_Compensacao!$A$2:$A$500),WORKDAY(A2602,E2602,Dias_Sem_Compensacao!$A$2:$A$500)),"")</f>
        <v>46316</v>
      </c>
      <c r="H2602" s="25">
        <v>0</v>
      </c>
      <c r="I2602" s="28">
        <v>46315</v>
      </c>
      <c r="J2602" t="s">
        <v>1960</v>
      </c>
      <c r="K2602" t="s">
        <v>1961</v>
      </c>
    </row>
    <row r="2603" spans="1:11" hidden="1">
      <c r="A2603" s="28">
        <v>46315</v>
      </c>
      <c r="B2603" t="s">
        <v>186</v>
      </c>
      <c r="C2603" t="s">
        <v>203</v>
      </c>
      <c r="D2603" t="s">
        <v>217</v>
      </c>
      <c r="E2603">
        <f>IF(LEFT(D2603,6)="CLIENT",IFERROR(VLOOKUP(C2603,Config_Carteiras!$A:$B,2,FALSE),1),"")</f>
        <v>1</v>
      </c>
      <c r="F2603" s="25">
        <v>1448</v>
      </c>
      <c r="G2603" s="28">
        <f>IF(LEFT(D2603,6)="CLIENT",IF(E2603=0,WORKDAY(A2603-1,1,Dias_Sem_Compensacao!$A$2:$A$500),WORKDAY(A2603,E2603,Dias_Sem_Compensacao!$A$2:$A$500)),"")</f>
        <v>46316</v>
      </c>
      <c r="H2603" s="25">
        <v>0</v>
      </c>
      <c r="I2603" s="28">
        <v>46315</v>
      </c>
      <c r="J2603" t="s">
        <v>2409</v>
      </c>
      <c r="K2603" t="s">
        <v>2410</v>
      </c>
    </row>
    <row r="2604" spans="1:11" hidden="1">
      <c r="A2604" s="28">
        <v>46315</v>
      </c>
      <c r="B2604" t="s">
        <v>186</v>
      </c>
      <c r="C2604" t="s">
        <v>203</v>
      </c>
      <c r="D2604" t="s">
        <v>217</v>
      </c>
      <c r="E2604">
        <f>IF(LEFT(D2604,6)="CLIENT",IFERROR(VLOOKUP(C2604,Config_Carteiras!$A:$B,2,FALSE),1),"")</f>
        <v>1</v>
      </c>
      <c r="F2604" s="25">
        <v>1154.23</v>
      </c>
      <c r="G2604" s="28">
        <f>IF(LEFT(D2604,6)="CLIENT",IF(E2604=0,WORKDAY(A2604-1,1,Dias_Sem_Compensacao!$A$2:$A$500),WORKDAY(A2604,E2604,Dias_Sem_Compensacao!$A$2:$A$500)),"")</f>
        <v>46316</v>
      </c>
      <c r="H2604" s="25">
        <v>0</v>
      </c>
      <c r="I2604" s="28">
        <v>46315</v>
      </c>
      <c r="J2604" t="s">
        <v>3014</v>
      </c>
      <c r="K2604" t="s">
        <v>3015</v>
      </c>
    </row>
    <row r="2605" spans="1:11" hidden="1">
      <c r="A2605" s="28">
        <v>46315</v>
      </c>
      <c r="B2605" t="s">
        <v>186</v>
      </c>
      <c r="C2605" t="s">
        <v>203</v>
      </c>
      <c r="D2605" t="s">
        <v>217</v>
      </c>
      <c r="E2605">
        <f>IF(LEFT(D2605,6)="CLIENT",IFERROR(VLOOKUP(C2605,Config_Carteiras!$A:$B,2,FALSE),1),"")</f>
        <v>1</v>
      </c>
      <c r="F2605" s="25">
        <v>1377.29</v>
      </c>
      <c r="G2605" s="28">
        <f>IF(LEFT(D2605,6)="CLIENT",IF(E2605=0,WORKDAY(A2605-1,1,Dias_Sem_Compensacao!$A$2:$A$500),WORKDAY(A2605,E2605,Dias_Sem_Compensacao!$A$2:$A$500)),"")</f>
        <v>46316</v>
      </c>
      <c r="H2605" s="25">
        <v>0</v>
      </c>
      <c r="I2605" s="28">
        <v>46315</v>
      </c>
      <c r="J2605" t="s">
        <v>3016</v>
      </c>
      <c r="K2605" t="s">
        <v>3017</v>
      </c>
    </row>
    <row r="2606" spans="1:11" hidden="1">
      <c r="A2606" s="28">
        <v>46315</v>
      </c>
      <c r="B2606" t="s">
        <v>186</v>
      </c>
      <c r="C2606" t="s">
        <v>203</v>
      </c>
      <c r="D2606" t="s">
        <v>217</v>
      </c>
      <c r="E2606">
        <f>IF(LEFT(D2606,6)="CLIENT",IFERROR(VLOOKUP(C2606,Config_Carteiras!$A:$B,2,FALSE),1),"")</f>
        <v>1</v>
      </c>
      <c r="F2606" s="25">
        <v>381</v>
      </c>
      <c r="G2606" s="28">
        <f>IF(LEFT(D2606,6)="CLIENT",IF(E2606=0,WORKDAY(A2606-1,1,Dias_Sem_Compensacao!$A$2:$A$500),WORKDAY(A2606,E2606,Dias_Sem_Compensacao!$A$2:$A$500)),"")</f>
        <v>46316</v>
      </c>
      <c r="H2606" s="25">
        <v>0</v>
      </c>
      <c r="I2606" s="28">
        <v>46315</v>
      </c>
      <c r="J2606" t="s">
        <v>3018</v>
      </c>
      <c r="K2606" t="s">
        <v>3019</v>
      </c>
    </row>
    <row r="2607" spans="1:11" hidden="1">
      <c r="A2607" s="28">
        <v>46315</v>
      </c>
      <c r="B2607" t="s">
        <v>186</v>
      </c>
      <c r="C2607" t="s">
        <v>203</v>
      </c>
      <c r="D2607" t="s">
        <v>217</v>
      </c>
      <c r="E2607">
        <f>IF(LEFT(D2607,6)="CLIENT",IFERROR(VLOOKUP(C2607,Config_Carteiras!$A:$B,2,FALSE),1),"")</f>
        <v>1</v>
      </c>
      <c r="F2607" s="25">
        <v>1436</v>
      </c>
      <c r="G2607" s="28">
        <f>IF(LEFT(D2607,6)="CLIENT",IF(E2607=0,WORKDAY(A2607-1,1,Dias_Sem_Compensacao!$A$2:$A$500),WORKDAY(A2607,E2607,Dias_Sem_Compensacao!$A$2:$A$500)),"")</f>
        <v>46316</v>
      </c>
      <c r="H2607" s="25">
        <v>0</v>
      </c>
      <c r="I2607" s="28">
        <v>46315</v>
      </c>
      <c r="J2607" t="s">
        <v>1962</v>
      </c>
      <c r="K2607" t="s">
        <v>1963</v>
      </c>
    </row>
    <row r="2608" spans="1:11" hidden="1">
      <c r="A2608" s="28">
        <v>46315</v>
      </c>
      <c r="B2608" t="s">
        <v>186</v>
      </c>
      <c r="C2608" t="s">
        <v>203</v>
      </c>
      <c r="D2608" t="s">
        <v>217</v>
      </c>
      <c r="E2608">
        <f>IF(LEFT(D2608,6)="CLIENT",IFERROR(VLOOKUP(C2608,Config_Carteiras!$A:$B,2,FALSE),1),"")</f>
        <v>1</v>
      </c>
      <c r="F2608" s="25">
        <v>1446</v>
      </c>
      <c r="G2608" s="28">
        <f>IF(LEFT(D2608,6)="CLIENT",IF(E2608=0,WORKDAY(A2608-1,1,Dias_Sem_Compensacao!$A$2:$A$500),WORKDAY(A2608,E2608,Dias_Sem_Compensacao!$A$2:$A$500)),"")</f>
        <v>46316</v>
      </c>
      <c r="H2608" s="25">
        <v>0</v>
      </c>
      <c r="I2608" s="28">
        <v>46315</v>
      </c>
      <c r="J2608" t="s">
        <v>3020</v>
      </c>
      <c r="K2608" t="s">
        <v>3021</v>
      </c>
    </row>
    <row r="2609" spans="1:11" hidden="1">
      <c r="A2609" s="28">
        <v>46315</v>
      </c>
      <c r="B2609" t="s">
        <v>186</v>
      </c>
      <c r="C2609" t="s">
        <v>203</v>
      </c>
      <c r="D2609" t="s">
        <v>217</v>
      </c>
      <c r="E2609">
        <f>IF(LEFT(D2609,6)="CLIENT",IFERROR(VLOOKUP(C2609,Config_Carteiras!$A:$B,2,FALSE),1),"")</f>
        <v>1</v>
      </c>
      <c r="F2609" s="25">
        <v>975</v>
      </c>
      <c r="G2609" s="28">
        <f>IF(LEFT(D2609,6)="CLIENT",IF(E2609=0,WORKDAY(A2609-1,1,Dias_Sem_Compensacao!$A$2:$A$500),WORKDAY(A2609,E2609,Dias_Sem_Compensacao!$A$2:$A$500)),"")</f>
        <v>46316</v>
      </c>
      <c r="H2609" s="25">
        <v>0</v>
      </c>
      <c r="I2609" s="28">
        <v>46315</v>
      </c>
      <c r="J2609" t="s">
        <v>3022</v>
      </c>
      <c r="K2609" t="s">
        <v>3023</v>
      </c>
    </row>
    <row r="2610" spans="1:11" hidden="1">
      <c r="A2610" s="28">
        <v>46315</v>
      </c>
      <c r="B2610" t="s">
        <v>186</v>
      </c>
      <c r="C2610" t="s">
        <v>203</v>
      </c>
      <c r="D2610" t="s">
        <v>217</v>
      </c>
      <c r="E2610">
        <f>IF(LEFT(D2610,6)="CLIENT",IFERROR(VLOOKUP(C2610,Config_Carteiras!$A:$B,2,FALSE),1),"")</f>
        <v>1</v>
      </c>
      <c r="F2610" s="25">
        <v>1102</v>
      </c>
      <c r="G2610" s="28">
        <f>IF(LEFT(D2610,6)="CLIENT",IF(E2610=0,WORKDAY(A2610-1,1,Dias_Sem_Compensacao!$A$2:$A$500),WORKDAY(A2610,E2610,Dias_Sem_Compensacao!$A$2:$A$500)),"")</f>
        <v>46316</v>
      </c>
      <c r="H2610" s="25">
        <v>0</v>
      </c>
      <c r="I2610" s="28">
        <v>46315</v>
      </c>
      <c r="J2610" t="s">
        <v>284</v>
      </c>
      <c r="K2610" t="s">
        <v>2420</v>
      </c>
    </row>
    <row r="2611" spans="1:11" hidden="1">
      <c r="A2611" s="28">
        <v>46315</v>
      </c>
      <c r="B2611" t="s">
        <v>186</v>
      </c>
      <c r="C2611" t="s">
        <v>203</v>
      </c>
      <c r="D2611" t="s">
        <v>217</v>
      </c>
      <c r="E2611">
        <f>IF(LEFT(D2611,6)="CLIENT",IFERROR(VLOOKUP(C2611,Config_Carteiras!$A:$B,2,FALSE),1),"")</f>
        <v>1</v>
      </c>
      <c r="F2611" s="25">
        <v>660</v>
      </c>
      <c r="G2611" s="28">
        <f>IF(LEFT(D2611,6)="CLIENT",IF(E2611=0,WORKDAY(A2611-1,1,Dias_Sem_Compensacao!$A$2:$A$500),WORKDAY(A2611,E2611,Dias_Sem_Compensacao!$A$2:$A$500)),"")</f>
        <v>46316</v>
      </c>
      <c r="H2611" s="25">
        <v>0</v>
      </c>
      <c r="I2611" s="28">
        <v>46315</v>
      </c>
      <c r="J2611" t="s">
        <v>2421</v>
      </c>
      <c r="K2611" t="s">
        <v>2422</v>
      </c>
    </row>
    <row r="2612" spans="1:11" hidden="1">
      <c r="A2612" s="28">
        <v>46315</v>
      </c>
      <c r="B2612" t="s">
        <v>186</v>
      </c>
      <c r="C2612" t="s">
        <v>203</v>
      </c>
      <c r="D2612" t="s">
        <v>217</v>
      </c>
      <c r="E2612">
        <f>IF(LEFT(D2612,6)="CLIENT",IFERROR(VLOOKUP(C2612,Config_Carteiras!$A:$B,2,FALSE),1),"")</f>
        <v>1</v>
      </c>
      <c r="F2612" s="25">
        <v>1056</v>
      </c>
      <c r="G2612" s="28">
        <f>IF(LEFT(D2612,6)="CLIENT",IF(E2612=0,WORKDAY(A2612-1,1,Dias_Sem_Compensacao!$A$2:$A$500),WORKDAY(A2612,E2612,Dias_Sem_Compensacao!$A$2:$A$500)),"")</f>
        <v>46316</v>
      </c>
      <c r="H2612" s="25">
        <v>0</v>
      </c>
      <c r="I2612" s="28">
        <v>46315</v>
      </c>
      <c r="J2612" t="s">
        <v>718</v>
      </c>
      <c r="K2612" t="s">
        <v>1978</v>
      </c>
    </row>
    <row r="2613" spans="1:11" hidden="1">
      <c r="A2613" s="28">
        <v>46315</v>
      </c>
      <c r="B2613" t="s">
        <v>186</v>
      </c>
      <c r="C2613" t="s">
        <v>203</v>
      </c>
      <c r="D2613" t="s">
        <v>217</v>
      </c>
      <c r="E2613">
        <f>IF(LEFT(D2613,6)="CLIENT",IFERROR(VLOOKUP(C2613,Config_Carteiras!$A:$B,2,FALSE),1),"")</f>
        <v>1</v>
      </c>
      <c r="F2613" s="25">
        <v>686.52</v>
      </c>
      <c r="G2613" s="28">
        <f>IF(LEFT(D2613,6)="CLIENT",IF(E2613=0,WORKDAY(A2613-1,1,Dias_Sem_Compensacao!$A$2:$A$500),WORKDAY(A2613,E2613,Dias_Sem_Compensacao!$A$2:$A$500)),"")</f>
        <v>46316</v>
      </c>
      <c r="H2613" s="25">
        <v>0</v>
      </c>
      <c r="I2613" s="28">
        <v>46315</v>
      </c>
      <c r="J2613" t="s">
        <v>3024</v>
      </c>
      <c r="K2613" t="s">
        <v>3025</v>
      </c>
    </row>
    <row r="2614" spans="1:11" hidden="1">
      <c r="A2614" s="28">
        <v>46315</v>
      </c>
      <c r="B2614" t="s">
        <v>186</v>
      </c>
      <c r="C2614" t="s">
        <v>203</v>
      </c>
      <c r="D2614" t="s">
        <v>217</v>
      </c>
      <c r="E2614">
        <f>IF(LEFT(D2614,6)="CLIENT",IFERROR(VLOOKUP(C2614,Config_Carteiras!$A:$B,2,FALSE),1),"")</f>
        <v>1</v>
      </c>
      <c r="F2614" s="25">
        <v>697.94</v>
      </c>
      <c r="G2614" s="28">
        <f>IF(LEFT(D2614,6)="CLIENT",IF(E2614=0,WORKDAY(A2614-1,1,Dias_Sem_Compensacao!$A$2:$A$500),WORKDAY(A2614,E2614,Dias_Sem_Compensacao!$A$2:$A$500)),"")</f>
        <v>46316</v>
      </c>
      <c r="H2614" s="25">
        <v>0</v>
      </c>
      <c r="I2614" s="28">
        <v>46315</v>
      </c>
      <c r="J2614" t="s">
        <v>2433</v>
      </c>
      <c r="K2614" t="s">
        <v>2434</v>
      </c>
    </row>
    <row r="2615" spans="1:11" hidden="1">
      <c r="A2615" s="28">
        <v>46315</v>
      </c>
      <c r="B2615" t="s">
        <v>186</v>
      </c>
      <c r="C2615" t="s">
        <v>203</v>
      </c>
      <c r="D2615" t="s">
        <v>217</v>
      </c>
      <c r="E2615">
        <f>IF(LEFT(D2615,6)="CLIENT",IFERROR(VLOOKUP(C2615,Config_Carteiras!$A:$B,2,FALSE),1),"")</f>
        <v>1</v>
      </c>
      <c r="F2615" s="25">
        <v>2972.93</v>
      </c>
      <c r="G2615" s="28">
        <f>IF(LEFT(D2615,6)="CLIENT",IF(E2615=0,WORKDAY(A2615-1,1,Dias_Sem_Compensacao!$A$2:$A$500),WORKDAY(A2615,E2615,Dias_Sem_Compensacao!$A$2:$A$500)),"")</f>
        <v>46316</v>
      </c>
      <c r="H2615" s="25">
        <v>0</v>
      </c>
      <c r="I2615" s="28">
        <v>46315</v>
      </c>
      <c r="J2615" t="s">
        <v>3026</v>
      </c>
      <c r="K2615" t="s">
        <v>3027</v>
      </c>
    </row>
    <row r="2616" spans="1:11" hidden="1">
      <c r="A2616" s="28">
        <v>46315</v>
      </c>
      <c r="B2616" t="s">
        <v>186</v>
      </c>
      <c r="C2616" t="s">
        <v>203</v>
      </c>
      <c r="D2616" t="s">
        <v>217</v>
      </c>
      <c r="E2616">
        <f>IF(LEFT(D2616,6)="CLIENT",IFERROR(VLOOKUP(C2616,Config_Carteiras!$A:$B,2,FALSE),1),"")</f>
        <v>1</v>
      </c>
      <c r="F2616" s="25">
        <v>678</v>
      </c>
      <c r="G2616" s="28">
        <f>IF(LEFT(D2616,6)="CLIENT",IF(E2616=0,WORKDAY(A2616-1,1,Dias_Sem_Compensacao!$A$2:$A$500),WORKDAY(A2616,E2616,Dias_Sem_Compensacao!$A$2:$A$500)),"")</f>
        <v>46316</v>
      </c>
      <c r="H2616" s="25">
        <v>0</v>
      </c>
      <c r="I2616" s="28">
        <v>46315</v>
      </c>
      <c r="J2616" t="s">
        <v>2437</v>
      </c>
      <c r="K2616" t="s">
        <v>2438</v>
      </c>
    </row>
    <row r="2617" spans="1:11" hidden="1">
      <c r="A2617" s="28">
        <v>46315</v>
      </c>
      <c r="B2617" t="s">
        <v>186</v>
      </c>
      <c r="C2617" t="s">
        <v>203</v>
      </c>
      <c r="D2617" t="s">
        <v>217</v>
      </c>
      <c r="E2617">
        <f>IF(LEFT(D2617,6)="CLIENT",IFERROR(VLOOKUP(C2617,Config_Carteiras!$A:$B,2,FALSE),1),"")</f>
        <v>1</v>
      </c>
      <c r="F2617" s="25">
        <v>1226</v>
      </c>
      <c r="G2617" s="28">
        <f>IF(LEFT(D2617,6)="CLIENT",IF(E2617=0,WORKDAY(A2617-1,1,Dias_Sem_Compensacao!$A$2:$A$500),WORKDAY(A2617,E2617,Dias_Sem_Compensacao!$A$2:$A$500)),"")</f>
        <v>46316</v>
      </c>
      <c r="H2617" s="25">
        <v>0</v>
      </c>
      <c r="I2617" s="28">
        <v>46315</v>
      </c>
      <c r="J2617" t="s">
        <v>3028</v>
      </c>
      <c r="K2617" t="s">
        <v>3029</v>
      </c>
    </row>
    <row r="2618" spans="1:11" hidden="1">
      <c r="A2618" s="28">
        <v>46315</v>
      </c>
      <c r="B2618" t="s">
        <v>186</v>
      </c>
      <c r="C2618" t="s">
        <v>203</v>
      </c>
      <c r="D2618" t="s">
        <v>217</v>
      </c>
      <c r="E2618">
        <f>IF(LEFT(D2618,6)="CLIENT",IFERROR(VLOOKUP(C2618,Config_Carteiras!$A:$B,2,FALSE),1),"")</f>
        <v>1</v>
      </c>
      <c r="F2618" s="25">
        <v>1220</v>
      </c>
      <c r="G2618" s="28">
        <f>IF(LEFT(D2618,6)="CLIENT",IF(E2618=0,WORKDAY(A2618-1,1,Dias_Sem_Compensacao!$A$2:$A$500),WORKDAY(A2618,E2618,Dias_Sem_Compensacao!$A$2:$A$500)),"")</f>
        <v>46316</v>
      </c>
      <c r="H2618" s="25">
        <v>0</v>
      </c>
      <c r="I2618" s="28">
        <v>46315</v>
      </c>
      <c r="J2618" t="s">
        <v>2717</v>
      </c>
      <c r="K2618" t="s">
        <v>3030</v>
      </c>
    </row>
    <row r="2619" spans="1:11" hidden="1">
      <c r="A2619" s="28">
        <v>46315</v>
      </c>
      <c r="B2619" t="s">
        <v>186</v>
      </c>
      <c r="C2619" t="s">
        <v>203</v>
      </c>
      <c r="D2619" t="s">
        <v>217</v>
      </c>
      <c r="E2619">
        <f>IF(LEFT(D2619,6)="CLIENT",IFERROR(VLOOKUP(C2619,Config_Carteiras!$A:$B,2,FALSE),1),"")</f>
        <v>1</v>
      </c>
      <c r="F2619" s="25">
        <v>1758</v>
      </c>
      <c r="G2619" s="28">
        <f>IF(LEFT(D2619,6)="CLIENT",IF(E2619=0,WORKDAY(A2619-1,1,Dias_Sem_Compensacao!$A$2:$A$500),WORKDAY(A2619,E2619,Dias_Sem_Compensacao!$A$2:$A$500)),"")</f>
        <v>46316</v>
      </c>
      <c r="H2619" s="25">
        <v>0</v>
      </c>
      <c r="I2619" s="28">
        <v>46315</v>
      </c>
      <c r="J2619" t="s">
        <v>3031</v>
      </c>
      <c r="K2619" t="s">
        <v>3032</v>
      </c>
    </row>
    <row r="2620" spans="1:11" hidden="1">
      <c r="A2620" s="28">
        <v>46315</v>
      </c>
      <c r="B2620" t="s">
        <v>186</v>
      </c>
      <c r="C2620" t="s">
        <v>203</v>
      </c>
      <c r="D2620" t="s">
        <v>217</v>
      </c>
      <c r="E2620">
        <f>IF(LEFT(D2620,6)="CLIENT",IFERROR(VLOOKUP(C2620,Config_Carteiras!$A:$B,2,FALSE),1),"")</f>
        <v>1</v>
      </c>
      <c r="F2620" s="25">
        <v>264.05</v>
      </c>
      <c r="G2620" s="28">
        <f>IF(LEFT(D2620,6)="CLIENT",IF(E2620=0,WORKDAY(A2620-1,1,Dias_Sem_Compensacao!$A$2:$A$500),WORKDAY(A2620,E2620,Dias_Sem_Compensacao!$A$2:$A$500)),"")</f>
        <v>46316</v>
      </c>
      <c r="H2620" s="25">
        <v>0</v>
      </c>
      <c r="I2620" s="28">
        <v>46315</v>
      </c>
      <c r="J2620" t="s">
        <v>1195</v>
      </c>
      <c r="K2620" t="s">
        <v>1196</v>
      </c>
    </row>
    <row r="2621" spans="1:11" hidden="1">
      <c r="A2621" s="28">
        <v>46315</v>
      </c>
      <c r="B2621" t="s">
        <v>186</v>
      </c>
      <c r="C2621" t="s">
        <v>203</v>
      </c>
      <c r="D2621" t="s">
        <v>217</v>
      </c>
      <c r="E2621">
        <f>IF(LEFT(D2621,6)="CLIENT",IFERROR(VLOOKUP(C2621,Config_Carteiras!$A:$B,2,FALSE),1),"")</f>
        <v>1</v>
      </c>
      <c r="F2621" s="25">
        <v>15925</v>
      </c>
      <c r="G2621" s="28">
        <f>IF(LEFT(D2621,6)="CLIENT",IF(E2621=0,WORKDAY(A2621-1,1,Dias_Sem_Compensacao!$A$2:$A$500),WORKDAY(A2621,E2621,Dias_Sem_Compensacao!$A$2:$A$500)),"")</f>
        <v>46316</v>
      </c>
      <c r="H2621" s="25">
        <v>0</v>
      </c>
      <c r="I2621" s="28">
        <v>46315</v>
      </c>
      <c r="J2621" t="s">
        <v>1201</v>
      </c>
      <c r="K2621" t="s">
        <v>1203</v>
      </c>
    </row>
    <row r="2622" spans="1:11" hidden="1">
      <c r="A2622" s="28">
        <v>46315</v>
      </c>
      <c r="B2622" t="s">
        <v>186</v>
      </c>
      <c r="C2622" t="s">
        <v>203</v>
      </c>
      <c r="D2622" t="s">
        <v>217</v>
      </c>
      <c r="E2622">
        <f>IF(LEFT(D2622,6)="CLIENT",IFERROR(VLOOKUP(C2622,Config_Carteiras!$A:$B,2,FALSE),1),"")</f>
        <v>1</v>
      </c>
      <c r="F2622" s="25">
        <v>16850</v>
      </c>
      <c r="G2622" s="28">
        <f>IF(LEFT(D2622,6)="CLIENT",IF(E2622=0,WORKDAY(A2622-1,1,Dias_Sem_Compensacao!$A$2:$A$500),WORKDAY(A2622,E2622,Dias_Sem_Compensacao!$A$2:$A$500)),"")</f>
        <v>46316</v>
      </c>
      <c r="H2622" s="25">
        <v>0</v>
      </c>
      <c r="I2622" s="28">
        <v>46315</v>
      </c>
      <c r="K2622" t="s">
        <v>3033</v>
      </c>
    </row>
    <row r="2623" spans="1:11" hidden="1">
      <c r="A2623" s="28">
        <v>46315</v>
      </c>
      <c r="B2623" t="s">
        <v>186</v>
      </c>
      <c r="C2623" t="s">
        <v>203</v>
      </c>
      <c r="D2623" t="s">
        <v>217</v>
      </c>
      <c r="E2623">
        <f>IF(LEFT(D2623,6)="CLIENT",IFERROR(VLOOKUP(C2623,Config_Carteiras!$A:$B,2,FALSE),1),"")</f>
        <v>1</v>
      </c>
      <c r="F2623" s="25">
        <v>1962.55</v>
      </c>
      <c r="G2623" s="28">
        <f>IF(LEFT(D2623,6)="CLIENT",IF(E2623=0,WORKDAY(A2623-1,1,Dias_Sem_Compensacao!$A$2:$A$500),WORKDAY(A2623,E2623,Dias_Sem_Compensacao!$A$2:$A$500)),"")</f>
        <v>46316</v>
      </c>
      <c r="H2623" s="25">
        <v>0</v>
      </c>
      <c r="I2623" s="28">
        <v>46315</v>
      </c>
      <c r="J2623" t="s">
        <v>2441</v>
      </c>
      <c r="K2623" t="s">
        <v>2442</v>
      </c>
    </row>
    <row r="2624" spans="1:11" hidden="1">
      <c r="A2624" s="28">
        <v>46315</v>
      </c>
      <c r="B2624" t="s">
        <v>186</v>
      </c>
      <c r="C2624" t="s">
        <v>203</v>
      </c>
      <c r="D2624" t="s">
        <v>217</v>
      </c>
      <c r="E2624">
        <f>IF(LEFT(D2624,6)="CLIENT",IFERROR(VLOOKUP(C2624,Config_Carteiras!$A:$B,2,FALSE),1),"")</f>
        <v>1</v>
      </c>
      <c r="F2624" s="25">
        <v>937</v>
      </c>
      <c r="G2624" s="28">
        <f>IF(LEFT(D2624,6)="CLIENT",IF(E2624=0,WORKDAY(A2624-1,1,Dias_Sem_Compensacao!$A$2:$A$500),WORKDAY(A2624,E2624,Dias_Sem_Compensacao!$A$2:$A$500)),"")</f>
        <v>46316</v>
      </c>
      <c r="H2624" s="25">
        <v>0</v>
      </c>
      <c r="I2624" s="28">
        <v>46315</v>
      </c>
      <c r="J2624" t="s">
        <v>2443</v>
      </c>
      <c r="K2624" t="s">
        <v>2444</v>
      </c>
    </row>
    <row r="2625" spans="1:11" hidden="1">
      <c r="A2625" s="28">
        <v>46315</v>
      </c>
      <c r="B2625" t="s">
        <v>186</v>
      </c>
      <c r="C2625" t="s">
        <v>203</v>
      </c>
      <c r="D2625" t="s">
        <v>217</v>
      </c>
      <c r="E2625">
        <f>IF(LEFT(D2625,6)="CLIENT",IFERROR(VLOOKUP(C2625,Config_Carteiras!$A:$B,2,FALSE),1),"")</f>
        <v>1</v>
      </c>
      <c r="F2625" s="25">
        <v>637</v>
      </c>
      <c r="G2625" s="28">
        <f>IF(LEFT(D2625,6)="CLIENT",IF(E2625=0,WORKDAY(A2625-1,1,Dias_Sem_Compensacao!$A$2:$A$500),WORKDAY(A2625,E2625,Dias_Sem_Compensacao!$A$2:$A$500)),"")</f>
        <v>46316</v>
      </c>
      <c r="H2625" s="25">
        <v>0</v>
      </c>
      <c r="I2625" s="28">
        <v>46315</v>
      </c>
      <c r="J2625" t="s">
        <v>3034</v>
      </c>
      <c r="K2625" t="s">
        <v>3035</v>
      </c>
    </row>
    <row r="2626" spans="1:11" hidden="1">
      <c r="A2626" s="28">
        <v>46315</v>
      </c>
      <c r="B2626" t="s">
        <v>186</v>
      </c>
      <c r="C2626" t="s">
        <v>203</v>
      </c>
      <c r="D2626" t="s">
        <v>217</v>
      </c>
      <c r="E2626">
        <f>IF(LEFT(D2626,6)="CLIENT",IFERROR(VLOOKUP(C2626,Config_Carteiras!$A:$B,2,FALSE),1),"")</f>
        <v>1</v>
      </c>
      <c r="F2626" s="25">
        <v>952.63</v>
      </c>
      <c r="G2626" s="28">
        <f>IF(LEFT(D2626,6)="CLIENT",IF(E2626=0,WORKDAY(A2626-1,1,Dias_Sem_Compensacao!$A$2:$A$500),WORKDAY(A2626,E2626,Dias_Sem_Compensacao!$A$2:$A$500)),"")</f>
        <v>46316</v>
      </c>
      <c r="H2626" s="25">
        <v>0</v>
      </c>
      <c r="I2626" s="28">
        <v>46315</v>
      </c>
      <c r="J2626" t="s">
        <v>1989</v>
      </c>
      <c r="K2626" t="s">
        <v>1990</v>
      </c>
    </row>
    <row r="2627" spans="1:11" hidden="1">
      <c r="A2627" s="28">
        <v>46315</v>
      </c>
      <c r="B2627" t="s">
        <v>186</v>
      </c>
      <c r="C2627" t="s">
        <v>203</v>
      </c>
      <c r="D2627" t="s">
        <v>217</v>
      </c>
      <c r="E2627">
        <f>IF(LEFT(D2627,6)="CLIENT",IFERROR(VLOOKUP(C2627,Config_Carteiras!$A:$B,2,FALSE),1),"")</f>
        <v>1</v>
      </c>
      <c r="F2627" s="25">
        <v>632</v>
      </c>
      <c r="G2627" s="28">
        <f>IF(LEFT(D2627,6)="CLIENT",IF(E2627=0,WORKDAY(A2627-1,1,Dias_Sem_Compensacao!$A$2:$A$500),WORKDAY(A2627,E2627,Dias_Sem_Compensacao!$A$2:$A$500)),"")</f>
        <v>46316</v>
      </c>
      <c r="H2627" s="25">
        <v>0</v>
      </c>
      <c r="I2627" s="28">
        <v>46315</v>
      </c>
      <c r="J2627" t="s">
        <v>3036</v>
      </c>
      <c r="K2627" t="s">
        <v>3037</v>
      </c>
    </row>
    <row r="2628" spans="1:11" hidden="1">
      <c r="A2628" s="28">
        <v>46315</v>
      </c>
      <c r="B2628" t="s">
        <v>186</v>
      </c>
      <c r="C2628" t="s">
        <v>203</v>
      </c>
      <c r="D2628" t="s">
        <v>217</v>
      </c>
      <c r="E2628">
        <f>IF(LEFT(D2628,6)="CLIENT",IFERROR(VLOOKUP(C2628,Config_Carteiras!$A:$B,2,FALSE),1),"")</f>
        <v>1</v>
      </c>
      <c r="F2628" s="25">
        <v>1076</v>
      </c>
      <c r="G2628" s="28">
        <f>IF(LEFT(D2628,6)="CLIENT",IF(E2628=0,WORKDAY(A2628-1,1,Dias_Sem_Compensacao!$A$2:$A$500),WORKDAY(A2628,E2628,Dias_Sem_Compensacao!$A$2:$A$500)),"")</f>
        <v>46316</v>
      </c>
      <c r="H2628" s="25">
        <v>0</v>
      </c>
      <c r="I2628" s="28">
        <v>46315</v>
      </c>
      <c r="J2628" t="s">
        <v>3038</v>
      </c>
      <c r="K2628" t="s">
        <v>3039</v>
      </c>
    </row>
    <row r="2629" spans="1:11" hidden="1">
      <c r="A2629" s="28">
        <v>46315</v>
      </c>
      <c r="B2629" t="s">
        <v>186</v>
      </c>
      <c r="C2629" t="s">
        <v>203</v>
      </c>
      <c r="D2629" t="s">
        <v>217</v>
      </c>
      <c r="E2629">
        <f>IF(LEFT(D2629,6)="CLIENT",IFERROR(VLOOKUP(C2629,Config_Carteiras!$A:$B,2,FALSE),1),"")</f>
        <v>1</v>
      </c>
      <c r="F2629" s="25">
        <v>2056</v>
      </c>
      <c r="G2629" s="28">
        <f>IF(LEFT(D2629,6)="CLIENT",IF(E2629=0,WORKDAY(A2629-1,1,Dias_Sem_Compensacao!$A$2:$A$500),WORKDAY(A2629,E2629,Dias_Sem_Compensacao!$A$2:$A$500)),"")</f>
        <v>46316</v>
      </c>
      <c r="H2629" s="25">
        <v>0</v>
      </c>
      <c r="I2629" s="28">
        <v>46315</v>
      </c>
      <c r="J2629" t="s">
        <v>2458</v>
      </c>
      <c r="K2629" t="s">
        <v>2459</v>
      </c>
    </row>
    <row r="2630" spans="1:11" hidden="1">
      <c r="A2630" s="28">
        <v>46315</v>
      </c>
      <c r="B2630" t="s">
        <v>186</v>
      </c>
      <c r="C2630" t="s">
        <v>203</v>
      </c>
      <c r="D2630" t="s">
        <v>217</v>
      </c>
      <c r="E2630">
        <f>IF(LEFT(D2630,6)="CLIENT",IFERROR(VLOOKUP(C2630,Config_Carteiras!$A:$B,2,FALSE),1),"")</f>
        <v>1</v>
      </c>
      <c r="F2630" s="25">
        <v>927.47</v>
      </c>
      <c r="G2630" s="28">
        <f>IF(LEFT(D2630,6)="CLIENT",IF(E2630=0,WORKDAY(A2630-1,1,Dias_Sem_Compensacao!$A$2:$A$500),WORKDAY(A2630,E2630,Dias_Sem_Compensacao!$A$2:$A$500)),"")</f>
        <v>46316</v>
      </c>
      <c r="H2630" s="25">
        <v>0</v>
      </c>
      <c r="I2630" s="28">
        <v>46315</v>
      </c>
      <c r="J2630" t="s">
        <v>1991</v>
      </c>
      <c r="K2630" t="s">
        <v>1992</v>
      </c>
    </row>
    <row r="2631" spans="1:11" hidden="1">
      <c r="A2631" s="28">
        <v>46315</v>
      </c>
      <c r="B2631" t="s">
        <v>186</v>
      </c>
      <c r="C2631" t="s">
        <v>203</v>
      </c>
      <c r="D2631" t="s">
        <v>217</v>
      </c>
      <c r="E2631">
        <f>IF(LEFT(D2631,6)="CLIENT",IFERROR(VLOOKUP(C2631,Config_Carteiras!$A:$B,2,FALSE),1),"")</f>
        <v>1</v>
      </c>
      <c r="F2631" s="25">
        <v>566</v>
      </c>
      <c r="G2631" s="28">
        <f>IF(LEFT(D2631,6)="CLIENT",IF(E2631=0,WORKDAY(A2631-1,1,Dias_Sem_Compensacao!$A$2:$A$500),WORKDAY(A2631,E2631,Dias_Sem_Compensacao!$A$2:$A$500)),"")</f>
        <v>46316</v>
      </c>
      <c r="H2631" s="25">
        <v>0</v>
      </c>
      <c r="I2631" s="28">
        <v>46315</v>
      </c>
      <c r="J2631" t="s">
        <v>3040</v>
      </c>
      <c r="K2631" t="s">
        <v>3041</v>
      </c>
    </row>
    <row r="2632" spans="1:11" hidden="1">
      <c r="A2632" s="28">
        <v>46315</v>
      </c>
      <c r="B2632" t="s">
        <v>186</v>
      </c>
      <c r="C2632" t="s">
        <v>203</v>
      </c>
      <c r="D2632" t="s">
        <v>217</v>
      </c>
      <c r="E2632">
        <f>IF(LEFT(D2632,6)="CLIENT",IFERROR(VLOOKUP(C2632,Config_Carteiras!$A:$B,2,FALSE),1),"")</f>
        <v>1</v>
      </c>
      <c r="F2632" s="25">
        <v>6140</v>
      </c>
      <c r="G2632" s="28">
        <f>IF(LEFT(D2632,6)="CLIENT",IF(E2632=0,WORKDAY(A2632-1,1,Dias_Sem_Compensacao!$A$2:$A$500),WORKDAY(A2632,E2632,Dias_Sem_Compensacao!$A$2:$A$500)),"")</f>
        <v>46316</v>
      </c>
      <c r="H2632" s="25">
        <v>0</v>
      </c>
      <c r="I2632" s="28">
        <v>46315</v>
      </c>
      <c r="J2632" t="s">
        <v>316</v>
      </c>
      <c r="K2632" t="s">
        <v>2472</v>
      </c>
    </row>
    <row r="2633" spans="1:11" hidden="1">
      <c r="A2633" s="28">
        <v>46315</v>
      </c>
      <c r="B2633" t="s">
        <v>186</v>
      </c>
      <c r="C2633" t="s">
        <v>203</v>
      </c>
      <c r="D2633" t="s">
        <v>217</v>
      </c>
      <c r="E2633">
        <f>IF(LEFT(D2633,6)="CLIENT",IFERROR(VLOOKUP(C2633,Config_Carteiras!$A:$B,2,FALSE),1),"")</f>
        <v>1</v>
      </c>
      <c r="F2633" s="25">
        <v>559</v>
      </c>
      <c r="G2633" s="28">
        <f>IF(LEFT(D2633,6)="CLIENT",IF(E2633=0,WORKDAY(A2633-1,1,Dias_Sem_Compensacao!$A$2:$A$500),WORKDAY(A2633,E2633,Dias_Sem_Compensacao!$A$2:$A$500)),"")</f>
        <v>46316</v>
      </c>
      <c r="H2633" s="25">
        <v>0</v>
      </c>
      <c r="I2633" s="28">
        <v>46315</v>
      </c>
      <c r="J2633" t="s">
        <v>2473</v>
      </c>
      <c r="K2633" t="s">
        <v>2474</v>
      </c>
    </row>
    <row r="2634" spans="1:11" hidden="1">
      <c r="A2634" s="28">
        <v>46315</v>
      </c>
      <c r="B2634" t="s">
        <v>186</v>
      </c>
      <c r="C2634" t="s">
        <v>203</v>
      </c>
      <c r="D2634" t="s">
        <v>217</v>
      </c>
      <c r="E2634">
        <f>IF(LEFT(D2634,6)="CLIENT",IFERROR(VLOOKUP(C2634,Config_Carteiras!$A:$B,2,FALSE),1),"")</f>
        <v>1</v>
      </c>
      <c r="F2634" s="25">
        <v>416.2</v>
      </c>
      <c r="G2634" s="28">
        <f>IF(LEFT(D2634,6)="CLIENT",IF(E2634=0,WORKDAY(A2634-1,1,Dias_Sem_Compensacao!$A$2:$A$500),WORKDAY(A2634,E2634,Dias_Sem_Compensacao!$A$2:$A$500)),"")</f>
        <v>46316</v>
      </c>
      <c r="H2634" s="25">
        <v>0</v>
      </c>
      <c r="I2634" s="28">
        <v>46315</v>
      </c>
      <c r="J2634" t="s">
        <v>423</v>
      </c>
      <c r="K2634" t="s">
        <v>2477</v>
      </c>
    </row>
    <row r="2635" spans="1:11" hidden="1">
      <c r="A2635" s="28">
        <v>46315</v>
      </c>
      <c r="B2635" t="s">
        <v>186</v>
      </c>
      <c r="C2635" t="s">
        <v>203</v>
      </c>
      <c r="D2635" t="s">
        <v>217</v>
      </c>
      <c r="E2635">
        <f>IF(LEFT(D2635,6)="CLIENT",IFERROR(VLOOKUP(C2635,Config_Carteiras!$A:$B,2,FALSE),1),"")</f>
        <v>1</v>
      </c>
      <c r="F2635" s="25">
        <v>341.87</v>
      </c>
      <c r="G2635" s="28">
        <f>IF(LEFT(D2635,6)="CLIENT",IF(E2635=0,WORKDAY(A2635-1,1,Dias_Sem_Compensacao!$A$2:$A$500),WORKDAY(A2635,E2635,Dias_Sem_Compensacao!$A$2:$A$500)),"")</f>
        <v>46316</v>
      </c>
      <c r="H2635" s="25">
        <v>0</v>
      </c>
      <c r="I2635" s="28">
        <v>46315</v>
      </c>
      <c r="J2635" t="s">
        <v>2479</v>
      </c>
      <c r="K2635" t="s">
        <v>2480</v>
      </c>
    </row>
    <row r="2636" spans="1:11" hidden="1">
      <c r="A2636" s="28">
        <v>46315</v>
      </c>
      <c r="B2636" t="s">
        <v>186</v>
      </c>
      <c r="C2636" t="s">
        <v>203</v>
      </c>
      <c r="D2636" t="s">
        <v>217</v>
      </c>
      <c r="E2636">
        <f>IF(LEFT(D2636,6)="CLIENT",IFERROR(VLOOKUP(C2636,Config_Carteiras!$A:$B,2,FALSE),1),"")</f>
        <v>1</v>
      </c>
      <c r="F2636" s="25">
        <v>2782</v>
      </c>
      <c r="G2636" s="28">
        <f>IF(LEFT(D2636,6)="CLIENT",IF(E2636=0,WORKDAY(A2636-1,1,Dias_Sem_Compensacao!$A$2:$A$500),WORKDAY(A2636,E2636,Dias_Sem_Compensacao!$A$2:$A$500)),"")</f>
        <v>46316</v>
      </c>
      <c r="H2636" s="25">
        <v>0</v>
      </c>
      <c r="I2636" s="28">
        <v>46315</v>
      </c>
      <c r="J2636" t="s">
        <v>1227</v>
      </c>
      <c r="K2636" t="s">
        <v>3042</v>
      </c>
    </row>
    <row r="2637" spans="1:11" hidden="1">
      <c r="A2637" s="28">
        <v>46315</v>
      </c>
      <c r="B2637" t="s">
        <v>186</v>
      </c>
      <c r="C2637" t="s">
        <v>203</v>
      </c>
      <c r="D2637" t="s">
        <v>217</v>
      </c>
      <c r="E2637">
        <f>IF(LEFT(D2637,6)="CLIENT",IFERROR(VLOOKUP(C2637,Config_Carteiras!$A:$B,2,FALSE),1),"")</f>
        <v>1</v>
      </c>
      <c r="F2637" s="25">
        <v>421</v>
      </c>
      <c r="G2637" s="28">
        <f>IF(LEFT(D2637,6)="CLIENT",IF(E2637=0,WORKDAY(A2637-1,1,Dias_Sem_Compensacao!$A$2:$A$500),WORKDAY(A2637,E2637,Dias_Sem_Compensacao!$A$2:$A$500)),"")</f>
        <v>46316</v>
      </c>
      <c r="H2637" s="25">
        <v>0</v>
      </c>
      <c r="I2637" s="28">
        <v>46315</v>
      </c>
      <c r="J2637" t="s">
        <v>3043</v>
      </c>
      <c r="K2637" t="s">
        <v>3044</v>
      </c>
    </row>
    <row r="2638" spans="1:11" hidden="1">
      <c r="A2638" s="28">
        <v>46315</v>
      </c>
      <c r="B2638" t="s">
        <v>186</v>
      </c>
      <c r="C2638" t="s">
        <v>203</v>
      </c>
      <c r="D2638" t="s">
        <v>217</v>
      </c>
      <c r="E2638">
        <f>IF(LEFT(D2638,6)="CLIENT",IFERROR(VLOOKUP(C2638,Config_Carteiras!$A:$B,2,FALSE),1),"")</f>
        <v>1</v>
      </c>
      <c r="F2638" s="25">
        <v>801</v>
      </c>
      <c r="G2638" s="28">
        <f>IF(LEFT(D2638,6)="CLIENT",IF(E2638=0,WORKDAY(A2638-1,1,Dias_Sem_Compensacao!$A$2:$A$500),WORKDAY(A2638,E2638,Dias_Sem_Compensacao!$A$2:$A$500)),"")</f>
        <v>46316</v>
      </c>
      <c r="H2638" s="25">
        <v>0</v>
      </c>
      <c r="I2638" s="28">
        <v>46315</v>
      </c>
      <c r="J2638" t="s">
        <v>3045</v>
      </c>
      <c r="K2638" t="s">
        <v>3046</v>
      </c>
    </row>
    <row r="2639" spans="1:11" hidden="1">
      <c r="A2639" s="28">
        <v>46315</v>
      </c>
      <c r="B2639" t="s">
        <v>186</v>
      </c>
      <c r="C2639" t="s">
        <v>203</v>
      </c>
      <c r="D2639" t="s">
        <v>217</v>
      </c>
      <c r="E2639">
        <f>IF(LEFT(D2639,6)="CLIENT",IFERROR(VLOOKUP(C2639,Config_Carteiras!$A:$B,2,FALSE),1),"")</f>
        <v>1</v>
      </c>
      <c r="F2639" s="25">
        <v>995.5</v>
      </c>
      <c r="G2639" s="28">
        <f>IF(LEFT(D2639,6)="CLIENT",IF(E2639=0,WORKDAY(A2639-1,1,Dias_Sem_Compensacao!$A$2:$A$500),WORKDAY(A2639,E2639,Dias_Sem_Compensacao!$A$2:$A$500)),"")</f>
        <v>46316</v>
      </c>
      <c r="H2639" s="25">
        <v>0</v>
      </c>
      <c r="I2639" s="28">
        <v>46315</v>
      </c>
      <c r="J2639" t="s">
        <v>328</v>
      </c>
      <c r="K2639" t="s">
        <v>2487</v>
      </c>
    </row>
    <row r="2640" spans="1:11" hidden="1">
      <c r="A2640" s="28">
        <v>46315</v>
      </c>
      <c r="B2640" t="s">
        <v>186</v>
      </c>
      <c r="C2640" t="s">
        <v>203</v>
      </c>
      <c r="D2640" t="s">
        <v>217</v>
      </c>
      <c r="E2640">
        <f>IF(LEFT(D2640,6)="CLIENT",IFERROR(VLOOKUP(C2640,Config_Carteiras!$A:$B,2,FALSE),1),"")</f>
        <v>1</v>
      </c>
      <c r="F2640" s="25">
        <v>1093.83</v>
      </c>
      <c r="G2640" s="28">
        <f>IF(LEFT(D2640,6)="CLIENT",IF(E2640=0,WORKDAY(A2640-1,1,Dias_Sem_Compensacao!$A$2:$A$500),WORKDAY(A2640,E2640,Dias_Sem_Compensacao!$A$2:$A$500)),"")</f>
        <v>46316</v>
      </c>
      <c r="H2640" s="25">
        <v>0</v>
      </c>
      <c r="I2640" s="28">
        <v>46315</v>
      </c>
      <c r="J2640" t="s">
        <v>2488</v>
      </c>
      <c r="K2640" t="s">
        <v>2489</v>
      </c>
    </row>
    <row r="2641" spans="1:11" hidden="1">
      <c r="A2641" s="28">
        <v>46315</v>
      </c>
      <c r="B2641" t="s">
        <v>186</v>
      </c>
      <c r="C2641" t="s">
        <v>203</v>
      </c>
      <c r="D2641" t="s">
        <v>217</v>
      </c>
      <c r="E2641">
        <f>IF(LEFT(D2641,6)="CLIENT",IFERROR(VLOOKUP(C2641,Config_Carteiras!$A:$B,2,FALSE),1),"")</f>
        <v>1</v>
      </c>
      <c r="F2641" s="25">
        <v>708</v>
      </c>
      <c r="G2641" s="28">
        <f>IF(LEFT(D2641,6)="CLIENT",IF(E2641=0,WORKDAY(A2641-1,1,Dias_Sem_Compensacao!$A$2:$A$500),WORKDAY(A2641,E2641,Dias_Sem_Compensacao!$A$2:$A$500)),"")</f>
        <v>46316</v>
      </c>
      <c r="H2641" s="25">
        <v>0</v>
      </c>
      <c r="I2641" s="28">
        <v>46315</v>
      </c>
      <c r="J2641" t="s">
        <v>3047</v>
      </c>
      <c r="K2641" t="s">
        <v>3048</v>
      </c>
    </row>
    <row r="2642" spans="1:11" hidden="1">
      <c r="A2642" s="28">
        <v>46315</v>
      </c>
      <c r="B2642" t="s">
        <v>186</v>
      </c>
      <c r="C2642" t="s">
        <v>203</v>
      </c>
      <c r="D2642" t="s">
        <v>217</v>
      </c>
      <c r="E2642">
        <f>IF(LEFT(D2642,6)="CLIENT",IFERROR(VLOOKUP(C2642,Config_Carteiras!$A:$B,2,FALSE),1),"")</f>
        <v>1</v>
      </c>
      <c r="F2642" s="25">
        <v>759</v>
      </c>
      <c r="G2642" s="28">
        <f>IF(LEFT(D2642,6)="CLIENT",IF(E2642=0,WORKDAY(A2642-1,1,Dias_Sem_Compensacao!$A$2:$A$500),WORKDAY(A2642,E2642,Dias_Sem_Compensacao!$A$2:$A$500)),"")</f>
        <v>46316</v>
      </c>
      <c r="H2642" s="25">
        <v>0</v>
      </c>
      <c r="I2642" s="28">
        <v>46315</v>
      </c>
      <c r="J2642" t="s">
        <v>2490</v>
      </c>
      <c r="K2642" t="s">
        <v>2491</v>
      </c>
    </row>
    <row r="2643" spans="1:11" hidden="1">
      <c r="A2643" s="28">
        <v>46315</v>
      </c>
      <c r="B2643" t="s">
        <v>186</v>
      </c>
      <c r="C2643" t="s">
        <v>203</v>
      </c>
      <c r="D2643" t="s">
        <v>217</v>
      </c>
      <c r="E2643">
        <f>IF(LEFT(D2643,6)="CLIENT",IFERROR(VLOOKUP(C2643,Config_Carteiras!$A:$B,2,FALSE),1),"")</f>
        <v>1</v>
      </c>
      <c r="F2643" s="25">
        <v>664.98</v>
      </c>
      <c r="G2643" s="28">
        <f>IF(LEFT(D2643,6)="CLIENT",IF(E2643=0,WORKDAY(A2643-1,1,Dias_Sem_Compensacao!$A$2:$A$500),WORKDAY(A2643,E2643,Dias_Sem_Compensacao!$A$2:$A$500)),"")</f>
        <v>46316</v>
      </c>
      <c r="H2643" s="25">
        <v>0</v>
      </c>
      <c r="I2643" s="28">
        <v>46315</v>
      </c>
      <c r="J2643" t="s">
        <v>427</v>
      </c>
      <c r="K2643" t="s">
        <v>3049</v>
      </c>
    </row>
    <row r="2644" spans="1:11" hidden="1">
      <c r="A2644" s="28">
        <v>46315</v>
      </c>
      <c r="B2644" t="s">
        <v>186</v>
      </c>
      <c r="C2644" t="s">
        <v>203</v>
      </c>
      <c r="D2644" t="s">
        <v>217</v>
      </c>
      <c r="E2644">
        <f>IF(LEFT(D2644,6)="CLIENT",IFERROR(VLOOKUP(C2644,Config_Carteiras!$A:$B,2,FALSE),1),"")</f>
        <v>1</v>
      </c>
      <c r="F2644" s="25">
        <v>681.96</v>
      </c>
      <c r="G2644" s="28">
        <f>IF(LEFT(D2644,6)="CLIENT",IF(E2644=0,WORKDAY(A2644-1,1,Dias_Sem_Compensacao!$A$2:$A$500),WORKDAY(A2644,E2644,Dias_Sem_Compensacao!$A$2:$A$500)),"")</f>
        <v>46316</v>
      </c>
      <c r="H2644" s="25">
        <v>0</v>
      </c>
      <c r="I2644" s="28">
        <v>46315</v>
      </c>
      <c r="J2644" t="s">
        <v>952</v>
      </c>
      <c r="K2644" t="s">
        <v>3050</v>
      </c>
    </row>
    <row r="2645" spans="1:11" hidden="1">
      <c r="A2645" s="28">
        <v>46315</v>
      </c>
      <c r="B2645" t="s">
        <v>186</v>
      </c>
      <c r="C2645" t="s">
        <v>203</v>
      </c>
      <c r="D2645" t="s">
        <v>217</v>
      </c>
      <c r="E2645">
        <f>IF(LEFT(D2645,6)="CLIENT",IFERROR(VLOOKUP(C2645,Config_Carteiras!$A:$B,2,FALSE),1),"")</f>
        <v>1</v>
      </c>
      <c r="F2645" s="25">
        <v>430</v>
      </c>
      <c r="G2645" s="28">
        <f>IF(LEFT(D2645,6)="CLIENT",IF(E2645=0,WORKDAY(A2645-1,1,Dias_Sem_Compensacao!$A$2:$A$500),WORKDAY(A2645,E2645,Dias_Sem_Compensacao!$A$2:$A$500)),"")</f>
        <v>46316</v>
      </c>
      <c r="H2645" s="25">
        <v>0</v>
      </c>
      <c r="I2645" s="28">
        <v>46315</v>
      </c>
      <c r="J2645" t="s">
        <v>3051</v>
      </c>
      <c r="K2645" t="s">
        <v>3052</v>
      </c>
    </row>
    <row r="2646" spans="1:11" hidden="1">
      <c r="A2646" s="28">
        <v>46315</v>
      </c>
      <c r="B2646" t="s">
        <v>186</v>
      </c>
      <c r="C2646" t="s">
        <v>203</v>
      </c>
      <c r="D2646" t="s">
        <v>217</v>
      </c>
      <c r="E2646">
        <f>IF(LEFT(D2646,6)="CLIENT",IFERROR(VLOOKUP(C2646,Config_Carteiras!$A:$B,2,FALSE),1),"")</f>
        <v>1</v>
      </c>
      <c r="F2646" s="25">
        <v>1819</v>
      </c>
      <c r="G2646" s="28">
        <f>IF(LEFT(D2646,6)="CLIENT",IF(E2646=0,WORKDAY(A2646-1,1,Dias_Sem_Compensacao!$A$2:$A$500),WORKDAY(A2646,E2646,Dias_Sem_Compensacao!$A$2:$A$500)),"")</f>
        <v>46316</v>
      </c>
      <c r="H2646" s="25">
        <v>0</v>
      </c>
      <c r="I2646" s="28">
        <v>46315</v>
      </c>
      <c r="J2646" t="s">
        <v>2494</v>
      </c>
      <c r="K2646" t="s">
        <v>2495</v>
      </c>
    </row>
    <row r="2647" spans="1:11" hidden="1">
      <c r="A2647" s="28">
        <v>46315</v>
      </c>
      <c r="B2647" t="s">
        <v>186</v>
      </c>
      <c r="C2647" t="s">
        <v>203</v>
      </c>
      <c r="D2647" t="s">
        <v>217</v>
      </c>
      <c r="E2647">
        <f>IF(LEFT(D2647,6)="CLIENT",IFERROR(VLOOKUP(C2647,Config_Carteiras!$A:$B,2,FALSE),1),"")</f>
        <v>1</v>
      </c>
      <c r="F2647" s="25">
        <v>2373</v>
      </c>
      <c r="G2647" s="28">
        <f>IF(LEFT(D2647,6)="CLIENT",IF(E2647=0,WORKDAY(A2647-1,1,Dias_Sem_Compensacao!$A$2:$A$500),WORKDAY(A2647,E2647,Dias_Sem_Compensacao!$A$2:$A$500)),"")</f>
        <v>46316</v>
      </c>
      <c r="H2647" s="25">
        <v>0</v>
      </c>
      <c r="I2647" s="28">
        <v>46315</v>
      </c>
      <c r="J2647" t="s">
        <v>2496</v>
      </c>
      <c r="K2647" t="s">
        <v>2497</v>
      </c>
    </row>
    <row r="2648" spans="1:11" hidden="1">
      <c r="A2648" s="28">
        <v>46315</v>
      </c>
      <c r="B2648" t="s">
        <v>186</v>
      </c>
      <c r="C2648" t="s">
        <v>203</v>
      </c>
      <c r="D2648" t="s">
        <v>217</v>
      </c>
      <c r="E2648">
        <f>IF(LEFT(D2648,6)="CLIENT",IFERROR(VLOOKUP(C2648,Config_Carteiras!$A:$B,2,FALSE),1),"")</f>
        <v>1</v>
      </c>
      <c r="F2648" s="25">
        <v>559</v>
      </c>
      <c r="G2648" s="28">
        <f>IF(LEFT(D2648,6)="CLIENT",IF(E2648=0,WORKDAY(A2648-1,1,Dias_Sem_Compensacao!$A$2:$A$500),WORKDAY(A2648,E2648,Dias_Sem_Compensacao!$A$2:$A$500)),"")</f>
        <v>46316</v>
      </c>
      <c r="H2648" s="25">
        <v>0</v>
      </c>
      <c r="I2648" s="28">
        <v>46315</v>
      </c>
      <c r="J2648" t="s">
        <v>1255</v>
      </c>
      <c r="K2648" t="s">
        <v>2498</v>
      </c>
    </row>
    <row r="2649" spans="1:11" hidden="1">
      <c r="A2649" s="28">
        <v>46315</v>
      </c>
      <c r="B2649" t="s">
        <v>186</v>
      </c>
      <c r="C2649" t="s">
        <v>203</v>
      </c>
      <c r="D2649" t="s">
        <v>217</v>
      </c>
      <c r="E2649">
        <f>IF(LEFT(D2649,6)="CLIENT",IFERROR(VLOOKUP(C2649,Config_Carteiras!$A:$B,2,FALSE),1),"")</f>
        <v>1</v>
      </c>
      <c r="F2649" s="25">
        <v>410</v>
      </c>
      <c r="G2649" s="28">
        <f>IF(LEFT(D2649,6)="CLIENT",IF(E2649=0,WORKDAY(A2649-1,1,Dias_Sem_Compensacao!$A$2:$A$500),WORKDAY(A2649,E2649,Dias_Sem_Compensacao!$A$2:$A$500)),"")</f>
        <v>46316</v>
      </c>
      <c r="H2649" s="25">
        <v>0</v>
      </c>
      <c r="I2649" s="28">
        <v>46315</v>
      </c>
      <c r="J2649" t="s">
        <v>2499</v>
      </c>
      <c r="K2649" t="s">
        <v>2500</v>
      </c>
    </row>
    <row r="2650" spans="1:11" hidden="1">
      <c r="A2650" s="28">
        <v>46315</v>
      </c>
      <c r="B2650" t="s">
        <v>186</v>
      </c>
      <c r="C2650" t="s">
        <v>203</v>
      </c>
      <c r="D2650" t="s">
        <v>217</v>
      </c>
      <c r="E2650">
        <f>IF(LEFT(D2650,6)="CLIENT",IFERROR(VLOOKUP(C2650,Config_Carteiras!$A:$B,2,FALSE),1),"")</f>
        <v>1</v>
      </c>
      <c r="F2650" s="25">
        <v>685</v>
      </c>
      <c r="G2650" s="28">
        <f>IF(LEFT(D2650,6)="CLIENT",IF(E2650=0,WORKDAY(A2650-1,1,Dias_Sem_Compensacao!$A$2:$A$500),WORKDAY(A2650,E2650,Dias_Sem_Compensacao!$A$2:$A$500)),"")</f>
        <v>46316</v>
      </c>
      <c r="H2650" s="25">
        <v>0</v>
      </c>
      <c r="I2650" s="28">
        <v>46315</v>
      </c>
      <c r="J2650" t="s">
        <v>2501</v>
      </c>
      <c r="K2650" t="s">
        <v>2502</v>
      </c>
    </row>
    <row r="2651" spans="1:11" hidden="1">
      <c r="A2651" s="28">
        <v>46315</v>
      </c>
      <c r="B2651" t="s">
        <v>186</v>
      </c>
      <c r="C2651" t="s">
        <v>203</v>
      </c>
      <c r="D2651" t="s">
        <v>217</v>
      </c>
      <c r="E2651">
        <f>IF(LEFT(D2651,6)="CLIENT",IFERROR(VLOOKUP(C2651,Config_Carteiras!$A:$B,2,FALSE),1),"")</f>
        <v>1</v>
      </c>
      <c r="F2651" s="25">
        <v>1075</v>
      </c>
      <c r="G2651" s="28">
        <f>IF(LEFT(D2651,6)="CLIENT",IF(E2651=0,WORKDAY(A2651-1,1,Dias_Sem_Compensacao!$A$2:$A$500),WORKDAY(A2651,E2651,Dias_Sem_Compensacao!$A$2:$A$500)),"")</f>
        <v>46316</v>
      </c>
      <c r="H2651" s="25">
        <v>0</v>
      </c>
      <c r="I2651" s="28">
        <v>46315</v>
      </c>
      <c r="J2651" t="s">
        <v>2008</v>
      </c>
      <c r="K2651" t="s">
        <v>2009</v>
      </c>
    </row>
    <row r="2652" spans="1:11" hidden="1">
      <c r="A2652" s="28">
        <v>46315</v>
      </c>
      <c r="B2652" t="s">
        <v>186</v>
      </c>
      <c r="C2652" t="s">
        <v>203</v>
      </c>
      <c r="D2652" t="s">
        <v>217</v>
      </c>
      <c r="E2652">
        <f>IF(LEFT(D2652,6)="CLIENT",IFERROR(VLOOKUP(C2652,Config_Carteiras!$A:$B,2,FALSE),1),"")</f>
        <v>1</v>
      </c>
      <c r="F2652" s="25">
        <v>774.8</v>
      </c>
      <c r="G2652" s="28">
        <f>IF(LEFT(D2652,6)="CLIENT",IF(E2652=0,WORKDAY(A2652-1,1,Dias_Sem_Compensacao!$A$2:$A$500),WORKDAY(A2652,E2652,Dias_Sem_Compensacao!$A$2:$A$500)),"")</f>
        <v>46316</v>
      </c>
      <c r="H2652" s="25">
        <v>0</v>
      </c>
      <c r="I2652" s="28">
        <v>46315</v>
      </c>
      <c r="J2652" t="s">
        <v>2507</v>
      </c>
      <c r="K2652" t="s">
        <v>2508</v>
      </c>
    </row>
    <row r="2653" spans="1:11" hidden="1">
      <c r="A2653" s="28">
        <v>46315</v>
      </c>
      <c r="B2653" t="s">
        <v>186</v>
      </c>
      <c r="C2653" t="s">
        <v>203</v>
      </c>
      <c r="D2653" t="s">
        <v>217</v>
      </c>
      <c r="E2653">
        <f>IF(LEFT(D2653,6)="CLIENT",IFERROR(VLOOKUP(C2653,Config_Carteiras!$A:$B,2,FALSE),1),"")</f>
        <v>1</v>
      </c>
      <c r="F2653" s="25">
        <v>660</v>
      </c>
      <c r="G2653" s="28">
        <f>IF(LEFT(D2653,6)="CLIENT",IF(E2653=0,WORKDAY(A2653-1,1,Dias_Sem_Compensacao!$A$2:$A$500),WORKDAY(A2653,E2653,Dias_Sem_Compensacao!$A$2:$A$500)),"")</f>
        <v>46316</v>
      </c>
      <c r="H2653" s="25">
        <v>0</v>
      </c>
      <c r="I2653" s="28">
        <v>46315</v>
      </c>
      <c r="J2653" t="s">
        <v>1910</v>
      </c>
      <c r="K2653" t="s">
        <v>3053</v>
      </c>
    </row>
    <row r="2654" spans="1:11" hidden="1">
      <c r="A2654" s="28">
        <v>46315</v>
      </c>
      <c r="B2654" t="s">
        <v>186</v>
      </c>
      <c r="C2654" t="s">
        <v>203</v>
      </c>
      <c r="D2654" t="s">
        <v>217</v>
      </c>
      <c r="E2654">
        <f>IF(LEFT(D2654,6)="CLIENT",IFERROR(VLOOKUP(C2654,Config_Carteiras!$A:$B,2,FALSE),1),"")</f>
        <v>1</v>
      </c>
      <c r="F2654" s="25">
        <v>1271</v>
      </c>
      <c r="G2654" s="28">
        <f>IF(LEFT(D2654,6)="CLIENT",IF(E2654=0,WORKDAY(A2654-1,1,Dias_Sem_Compensacao!$A$2:$A$500),WORKDAY(A2654,E2654,Dias_Sem_Compensacao!$A$2:$A$500)),"")</f>
        <v>46316</v>
      </c>
      <c r="H2654" s="25">
        <v>0</v>
      </c>
      <c r="I2654" s="28">
        <v>46315</v>
      </c>
      <c r="J2654" t="s">
        <v>2512</v>
      </c>
      <c r="K2654" t="s">
        <v>2513</v>
      </c>
    </row>
    <row r="2655" spans="1:11" hidden="1">
      <c r="A2655" s="28">
        <v>46315</v>
      </c>
      <c r="B2655" t="s">
        <v>186</v>
      </c>
      <c r="C2655" t="s">
        <v>203</v>
      </c>
      <c r="D2655" t="s">
        <v>217</v>
      </c>
      <c r="E2655">
        <f>IF(LEFT(D2655,6)="CLIENT",IFERROR(VLOOKUP(C2655,Config_Carteiras!$A:$B,2,FALSE),1),"")</f>
        <v>1</v>
      </c>
      <c r="F2655" s="25">
        <v>471</v>
      </c>
      <c r="G2655" s="28">
        <f>IF(LEFT(D2655,6)="CLIENT",IF(E2655=0,WORKDAY(A2655-1,1,Dias_Sem_Compensacao!$A$2:$A$500),WORKDAY(A2655,E2655,Dias_Sem_Compensacao!$A$2:$A$500)),"")</f>
        <v>46316</v>
      </c>
      <c r="H2655" s="25">
        <v>0</v>
      </c>
      <c r="I2655" s="28">
        <v>46315</v>
      </c>
      <c r="J2655" t="s">
        <v>2012</v>
      </c>
      <c r="K2655" t="s">
        <v>2013</v>
      </c>
    </row>
    <row r="2656" spans="1:11" hidden="1">
      <c r="A2656" s="28">
        <v>46315</v>
      </c>
      <c r="B2656" t="s">
        <v>186</v>
      </c>
      <c r="C2656" t="s">
        <v>203</v>
      </c>
      <c r="D2656" t="s">
        <v>217</v>
      </c>
      <c r="E2656">
        <f>IF(LEFT(D2656,6)="CLIENT",IFERROR(VLOOKUP(C2656,Config_Carteiras!$A:$B,2,FALSE),1),"")</f>
        <v>1</v>
      </c>
      <c r="F2656" s="25">
        <v>2902.27</v>
      </c>
      <c r="G2656" s="28">
        <f>IF(LEFT(D2656,6)="CLIENT",IF(E2656=0,WORKDAY(A2656-1,1,Dias_Sem_Compensacao!$A$2:$A$500),WORKDAY(A2656,E2656,Dias_Sem_Compensacao!$A$2:$A$500)),"")</f>
        <v>46316</v>
      </c>
      <c r="H2656" s="25">
        <v>0</v>
      </c>
      <c r="I2656" s="28">
        <v>46315</v>
      </c>
      <c r="J2656" t="s">
        <v>3054</v>
      </c>
      <c r="K2656" t="s">
        <v>3055</v>
      </c>
    </row>
    <row r="2657" spans="1:11" hidden="1">
      <c r="A2657" s="28">
        <v>46315</v>
      </c>
      <c r="B2657" t="s">
        <v>186</v>
      </c>
      <c r="C2657" t="s">
        <v>203</v>
      </c>
      <c r="D2657" t="s">
        <v>217</v>
      </c>
      <c r="E2657">
        <f>IF(LEFT(D2657,6)="CLIENT",IFERROR(VLOOKUP(C2657,Config_Carteiras!$A:$B,2,FALSE),1),"")</f>
        <v>1</v>
      </c>
      <c r="F2657" s="25">
        <v>889.13</v>
      </c>
      <c r="G2657" s="28">
        <f>IF(LEFT(D2657,6)="CLIENT",IF(E2657=0,WORKDAY(A2657-1,1,Dias_Sem_Compensacao!$A$2:$A$500),WORKDAY(A2657,E2657,Dias_Sem_Compensacao!$A$2:$A$500)),"")</f>
        <v>46316</v>
      </c>
      <c r="H2657" s="25">
        <v>0</v>
      </c>
      <c r="I2657" s="28">
        <v>46315</v>
      </c>
      <c r="J2657" t="s">
        <v>2014</v>
      </c>
      <c r="K2657" t="s">
        <v>2015</v>
      </c>
    </row>
    <row r="2658" spans="1:11" hidden="1">
      <c r="A2658" s="28">
        <v>46315</v>
      </c>
      <c r="B2658" t="s">
        <v>186</v>
      </c>
      <c r="C2658" t="s">
        <v>203</v>
      </c>
      <c r="D2658" t="s">
        <v>217</v>
      </c>
      <c r="E2658">
        <f>IF(LEFT(D2658,6)="CLIENT",IFERROR(VLOOKUP(C2658,Config_Carteiras!$A:$B,2,FALSE),1),"")</f>
        <v>1</v>
      </c>
      <c r="F2658" s="25">
        <v>401.5</v>
      </c>
      <c r="G2658" s="28">
        <f>IF(LEFT(D2658,6)="CLIENT",IF(E2658=0,WORKDAY(A2658-1,1,Dias_Sem_Compensacao!$A$2:$A$500),WORKDAY(A2658,E2658,Dias_Sem_Compensacao!$A$2:$A$500)),"")</f>
        <v>46316</v>
      </c>
      <c r="H2658" s="25">
        <v>0</v>
      </c>
      <c r="I2658" s="28">
        <v>46315</v>
      </c>
      <c r="J2658" t="s">
        <v>2516</v>
      </c>
      <c r="K2658" t="s">
        <v>2517</v>
      </c>
    </row>
    <row r="2659" spans="1:11" hidden="1">
      <c r="A2659" s="28">
        <v>46315</v>
      </c>
      <c r="B2659" t="s">
        <v>186</v>
      </c>
      <c r="C2659" t="s">
        <v>203</v>
      </c>
      <c r="D2659" t="s">
        <v>217</v>
      </c>
      <c r="E2659">
        <f>IF(LEFT(D2659,6)="CLIENT",IFERROR(VLOOKUP(C2659,Config_Carteiras!$A:$B,2,FALSE),1),"")</f>
        <v>1</v>
      </c>
      <c r="F2659" s="25">
        <v>825.59</v>
      </c>
      <c r="G2659" s="28">
        <f>IF(LEFT(D2659,6)="CLIENT",IF(E2659=0,WORKDAY(A2659-1,1,Dias_Sem_Compensacao!$A$2:$A$500),WORKDAY(A2659,E2659,Dias_Sem_Compensacao!$A$2:$A$500)),"")</f>
        <v>46316</v>
      </c>
      <c r="H2659" s="25">
        <v>0</v>
      </c>
      <c r="I2659" s="28">
        <v>46315</v>
      </c>
      <c r="J2659" t="s">
        <v>2016</v>
      </c>
      <c r="K2659" t="s">
        <v>2017</v>
      </c>
    </row>
    <row r="2660" spans="1:11" hidden="1">
      <c r="A2660" s="28">
        <v>46315</v>
      </c>
      <c r="B2660" t="s">
        <v>186</v>
      </c>
      <c r="C2660" t="s">
        <v>203</v>
      </c>
      <c r="D2660" t="s">
        <v>217</v>
      </c>
      <c r="E2660">
        <f>IF(LEFT(D2660,6)="CLIENT",IFERROR(VLOOKUP(C2660,Config_Carteiras!$A:$B,2,FALSE),1),"")</f>
        <v>1</v>
      </c>
      <c r="F2660" s="25">
        <v>1720</v>
      </c>
      <c r="G2660" s="28">
        <f>IF(LEFT(D2660,6)="CLIENT",IF(E2660=0,WORKDAY(A2660-1,1,Dias_Sem_Compensacao!$A$2:$A$500),WORKDAY(A2660,E2660,Dias_Sem_Compensacao!$A$2:$A$500)),"")</f>
        <v>46316</v>
      </c>
      <c r="H2660" s="25">
        <v>0</v>
      </c>
      <c r="I2660" s="28">
        <v>46315</v>
      </c>
      <c r="J2660" t="s">
        <v>2018</v>
      </c>
      <c r="K2660" t="s">
        <v>2019</v>
      </c>
    </row>
    <row r="2661" spans="1:11" hidden="1">
      <c r="A2661" s="28">
        <v>46315</v>
      </c>
      <c r="B2661" t="s">
        <v>186</v>
      </c>
      <c r="C2661" t="s">
        <v>203</v>
      </c>
      <c r="D2661" t="s">
        <v>217</v>
      </c>
      <c r="E2661">
        <f>IF(LEFT(D2661,6)="CLIENT",IFERROR(VLOOKUP(C2661,Config_Carteiras!$A:$B,2,FALSE),1),"")</f>
        <v>1</v>
      </c>
      <c r="F2661" s="25">
        <v>803</v>
      </c>
      <c r="G2661" s="28">
        <f>IF(LEFT(D2661,6)="CLIENT",IF(E2661=0,WORKDAY(A2661-1,1,Dias_Sem_Compensacao!$A$2:$A$500),WORKDAY(A2661,E2661,Dias_Sem_Compensacao!$A$2:$A$500)),"")</f>
        <v>46316</v>
      </c>
      <c r="H2661" s="25">
        <v>0</v>
      </c>
      <c r="I2661" s="28">
        <v>46315</v>
      </c>
      <c r="J2661" t="s">
        <v>1414</v>
      </c>
      <c r="K2661" t="s">
        <v>2022</v>
      </c>
    </row>
    <row r="2662" spans="1:11" hidden="1">
      <c r="A2662" s="28">
        <v>46315</v>
      </c>
      <c r="B2662" t="s">
        <v>186</v>
      </c>
      <c r="C2662" t="s">
        <v>203</v>
      </c>
      <c r="D2662" t="s">
        <v>217</v>
      </c>
      <c r="E2662">
        <f>IF(LEFT(D2662,6)="CLIENT",IFERROR(VLOOKUP(C2662,Config_Carteiras!$A:$B,2,FALSE),1),"")</f>
        <v>1</v>
      </c>
      <c r="F2662" s="25">
        <v>539.63</v>
      </c>
      <c r="G2662" s="28">
        <f>IF(LEFT(D2662,6)="CLIENT",IF(E2662=0,WORKDAY(A2662-1,1,Dias_Sem_Compensacao!$A$2:$A$500),WORKDAY(A2662,E2662,Dias_Sem_Compensacao!$A$2:$A$500)),"")</f>
        <v>46316</v>
      </c>
      <c r="H2662" s="25">
        <v>0</v>
      </c>
      <c r="I2662" s="28">
        <v>46315</v>
      </c>
      <c r="J2662" t="s">
        <v>698</v>
      </c>
      <c r="K2662" t="s">
        <v>2023</v>
      </c>
    </row>
    <row r="2663" spans="1:11" hidden="1">
      <c r="A2663" s="28">
        <v>46315</v>
      </c>
      <c r="B2663" t="s">
        <v>186</v>
      </c>
      <c r="C2663" t="s">
        <v>203</v>
      </c>
      <c r="D2663" t="s">
        <v>217</v>
      </c>
      <c r="E2663">
        <f>IF(LEFT(D2663,6)="CLIENT",IFERROR(VLOOKUP(C2663,Config_Carteiras!$A:$B,2,FALSE),1),"")</f>
        <v>1</v>
      </c>
      <c r="F2663" s="25">
        <v>403</v>
      </c>
      <c r="G2663" s="28">
        <f>IF(LEFT(D2663,6)="CLIENT",IF(E2663=0,WORKDAY(A2663-1,1,Dias_Sem_Compensacao!$A$2:$A$500),WORKDAY(A2663,E2663,Dias_Sem_Compensacao!$A$2:$A$500)),"")</f>
        <v>46316</v>
      </c>
      <c r="H2663" s="25">
        <v>0</v>
      </c>
      <c r="I2663" s="28">
        <v>46315</v>
      </c>
      <c r="J2663" t="s">
        <v>792</v>
      </c>
      <c r="K2663" t="s">
        <v>3056</v>
      </c>
    </row>
    <row r="2664" spans="1:11" hidden="1">
      <c r="A2664" s="28">
        <v>46315</v>
      </c>
      <c r="B2664" t="s">
        <v>186</v>
      </c>
      <c r="C2664" t="s">
        <v>203</v>
      </c>
      <c r="D2664" t="s">
        <v>217</v>
      </c>
      <c r="E2664">
        <f>IF(LEFT(D2664,6)="CLIENT",IFERROR(VLOOKUP(C2664,Config_Carteiras!$A:$B,2,FALSE),1),"")</f>
        <v>1</v>
      </c>
      <c r="F2664" s="25">
        <v>2043</v>
      </c>
      <c r="G2664" s="28">
        <f>IF(LEFT(D2664,6)="CLIENT",IF(E2664=0,WORKDAY(A2664-1,1,Dias_Sem_Compensacao!$A$2:$A$500),WORKDAY(A2664,E2664,Dias_Sem_Compensacao!$A$2:$A$500)),"")</f>
        <v>46316</v>
      </c>
      <c r="H2664" s="25">
        <v>0</v>
      </c>
      <c r="I2664" s="28">
        <v>46315</v>
      </c>
      <c r="J2664" t="s">
        <v>3057</v>
      </c>
      <c r="K2664" t="s">
        <v>3058</v>
      </c>
    </row>
    <row r="2665" spans="1:11" hidden="1">
      <c r="A2665" s="28">
        <v>46315</v>
      </c>
      <c r="B2665" t="s">
        <v>186</v>
      </c>
      <c r="C2665" t="s">
        <v>203</v>
      </c>
      <c r="D2665" t="s">
        <v>217</v>
      </c>
      <c r="E2665">
        <f>IF(LEFT(D2665,6)="CLIENT",IFERROR(VLOOKUP(C2665,Config_Carteiras!$A:$B,2,FALSE),1),"")</f>
        <v>1</v>
      </c>
      <c r="F2665" s="25">
        <v>1668</v>
      </c>
      <c r="G2665" s="28">
        <f>IF(LEFT(D2665,6)="CLIENT",IF(E2665=0,WORKDAY(A2665-1,1,Dias_Sem_Compensacao!$A$2:$A$500),WORKDAY(A2665,E2665,Dias_Sem_Compensacao!$A$2:$A$500)),"")</f>
        <v>46316</v>
      </c>
      <c r="H2665" s="25">
        <v>0</v>
      </c>
      <c r="I2665" s="28">
        <v>46315</v>
      </c>
      <c r="J2665" t="s">
        <v>1020</v>
      </c>
      <c r="K2665" t="s">
        <v>2539</v>
      </c>
    </row>
    <row r="2666" spans="1:11" hidden="1">
      <c r="A2666" s="28">
        <v>46315</v>
      </c>
      <c r="B2666" t="s">
        <v>186</v>
      </c>
      <c r="C2666" t="s">
        <v>203</v>
      </c>
      <c r="D2666" t="s">
        <v>217</v>
      </c>
      <c r="E2666">
        <f>IF(LEFT(D2666,6)="CLIENT",IFERROR(VLOOKUP(C2666,Config_Carteiras!$A:$B,2,FALSE),1),"")</f>
        <v>1</v>
      </c>
      <c r="F2666" s="25">
        <v>372.94</v>
      </c>
      <c r="G2666" s="28">
        <f>IF(LEFT(D2666,6)="CLIENT",IF(E2666=0,WORKDAY(A2666-1,1,Dias_Sem_Compensacao!$A$2:$A$500),WORKDAY(A2666,E2666,Dias_Sem_Compensacao!$A$2:$A$500)),"")</f>
        <v>46316</v>
      </c>
      <c r="H2666" s="25">
        <v>0</v>
      </c>
      <c r="I2666" s="28">
        <v>46315</v>
      </c>
      <c r="J2666" t="s">
        <v>2026</v>
      </c>
      <c r="K2666" t="s">
        <v>3059</v>
      </c>
    </row>
    <row r="2667" spans="1:11" hidden="1">
      <c r="A2667" s="28">
        <v>46315</v>
      </c>
      <c r="B2667" t="s">
        <v>186</v>
      </c>
      <c r="C2667" t="s">
        <v>203</v>
      </c>
      <c r="D2667" t="s">
        <v>217</v>
      </c>
      <c r="E2667">
        <f>IF(LEFT(D2667,6)="CLIENT",IFERROR(VLOOKUP(C2667,Config_Carteiras!$A:$B,2,FALSE),1),"")</f>
        <v>1</v>
      </c>
      <c r="F2667" s="25">
        <v>1157.74</v>
      </c>
      <c r="G2667" s="28">
        <f>IF(LEFT(D2667,6)="CLIENT",IF(E2667=0,WORKDAY(A2667-1,1,Dias_Sem_Compensacao!$A$2:$A$500),WORKDAY(A2667,E2667,Dias_Sem_Compensacao!$A$2:$A$500)),"")</f>
        <v>46316</v>
      </c>
      <c r="H2667" s="25">
        <v>0</v>
      </c>
      <c r="I2667" s="28">
        <v>46315</v>
      </c>
      <c r="J2667" t="s">
        <v>3060</v>
      </c>
      <c r="K2667" t="s">
        <v>3061</v>
      </c>
    </row>
    <row r="2668" spans="1:11" hidden="1">
      <c r="A2668" s="28">
        <v>46315</v>
      </c>
      <c r="B2668" t="s">
        <v>186</v>
      </c>
      <c r="C2668" t="s">
        <v>203</v>
      </c>
      <c r="D2668" t="s">
        <v>217</v>
      </c>
      <c r="E2668">
        <f>IF(LEFT(D2668,6)="CLIENT",IFERROR(VLOOKUP(C2668,Config_Carteiras!$A:$B,2,FALSE),1),"")</f>
        <v>1</v>
      </c>
      <c r="F2668" s="25">
        <v>1440</v>
      </c>
      <c r="G2668" s="28">
        <f>IF(LEFT(D2668,6)="CLIENT",IF(E2668=0,WORKDAY(A2668-1,1,Dias_Sem_Compensacao!$A$2:$A$500),WORKDAY(A2668,E2668,Dias_Sem_Compensacao!$A$2:$A$500)),"")</f>
        <v>46316</v>
      </c>
      <c r="H2668" s="25">
        <v>0</v>
      </c>
      <c r="I2668" s="28">
        <v>46315</v>
      </c>
      <c r="J2668" t="s">
        <v>3062</v>
      </c>
      <c r="K2668" t="s">
        <v>3063</v>
      </c>
    </row>
    <row r="2669" spans="1:11" hidden="1">
      <c r="A2669" s="28">
        <v>46315</v>
      </c>
      <c r="B2669" t="s">
        <v>186</v>
      </c>
      <c r="C2669" t="s">
        <v>203</v>
      </c>
      <c r="D2669" t="s">
        <v>217</v>
      </c>
      <c r="E2669">
        <f>IF(LEFT(D2669,6)="CLIENT",IFERROR(VLOOKUP(C2669,Config_Carteiras!$A:$B,2,FALSE),1),"")</f>
        <v>1</v>
      </c>
      <c r="F2669" s="25">
        <v>867.4</v>
      </c>
      <c r="G2669" s="28">
        <f>IF(LEFT(D2669,6)="CLIENT",IF(E2669=0,WORKDAY(A2669-1,1,Dias_Sem_Compensacao!$A$2:$A$500),WORKDAY(A2669,E2669,Dias_Sem_Compensacao!$A$2:$A$500)),"")</f>
        <v>46316</v>
      </c>
      <c r="H2669" s="25">
        <v>0</v>
      </c>
      <c r="I2669" s="28">
        <v>46315</v>
      </c>
      <c r="J2669" t="s">
        <v>2028</v>
      </c>
      <c r="K2669" t="s">
        <v>2029</v>
      </c>
    </row>
    <row r="2670" spans="1:11" hidden="1">
      <c r="A2670" s="28">
        <v>46315</v>
      </c>
      <c r="B2670" t="s">
        <v>186</v>
      </c>
      <c r="C2670" t="s">
        <v>203</v>
      </c>
      <c r="D2670" t="s">
        <v>217</v>
      </c>
      <c r="E2670">
        <f>IF(LEFT(D2670,6)="CLIENT",IFERROR(VLOOKUP(C2670,Config_Carteiras!$A:$B,2,FALSE),1),"")</f>
        <v>1</v>
      </c>
      <c r="F2670" s="25">
        <v>666</v>
      </c>
      <c r="G2670" s="28">
        <f>IF(LEFT(D2670,6)="CLIENT",IF(E2670=0,WORKDAY(A2670-1,1,Dias_Sem_Compensacao!$A$2:$A$500),WORKDAY(A2670,E2670,Dias_Sem_Compensacao!$A$2:$A$500)),"")</f>
        <v>46316</v>
      </c>
      <c r="H2670" s="25">
        <v>0</v>
      </c>
      <c r="I2670" s="28">
        <v>46315</v>
      </c>
      <c r="J2670" t="s">
        <v>467</v>
      </c>
      <c r="K2670" t="s">
        <v>2540</v>
      </c>
    </row>
    <row r="2671" spans="1:11" hidden="1">
      <c r="A2671" s="28">
        <v>46315</v>
      </c>
      <c r="B2671" t="s">
        <v>186</v>
      </c>
      <c r="C2671" t="s">
        <v>203</v>
      </c>
      <c r="D2671" t="s">
        <v>217</v>
      </c>
      <c r="E2671">
        <f>IF(LEFT(D2671,6)="CLIENT",IFERROR(VLOOKUP(C2671,Config_Carteiras!$A:$B,2,FALSE),1),"")</f>
        <v>1</v>
      </c>
      <c r="F2671" s="25">
        <v>844</v>
      </c>
      <c r="G2671" s="28">
        <f>IF(LEFT(D2671,6)="CLIENT",IF(E2671=0,WORKDAY(A2671-1,1,Dias_Sem_Compensacao!$A$2:$A$500),WORKDAY(A2671,E2671,Dias_Sem_Compensacao!$A$2:$A$500)),"")</f>
        <v>46316</v>
      </c>
      <c r="H2671" s="25">
        <v>0</v>
      </c>
      <c r="I2671" s="28">
        <v>46315</v>
      </c>
      <c r="J2671" t="s">
        <v>2541</v>
      </c>
      <c r="K2671" t="s">
        <v>2542</v>
      </c>
    </row>
    <row r="2672" spans="1:11" hidden="1">
      <c r="A2672" s="28">
        <v>46315</v>
      </c>
      <c r="B2672" t="s">
        <v>186</v>
      </c>
      <c r="C2672" t="s">
        <v>203</v>
      </c>
      <c r="D2672" t="s">
        <v>217</v>
      </c>
      <c r="E2672">
        <f>IF(LEFT(D2672,6)="CLIENT",IFERROR(VLOOKUP(C2672,Config_Carteiras!$A:$B,2,FALSE),1),"")</f>
        <v>1</v>
      </c>
      <c r="F2672" s="25">
        <v>2266.75</v>
      </c>
      <c r="G2672" s="28">
        <f>IF(LEFT(D2672,6)="CLIENT",IF(E2672=0,WORKDAY(A2672-1,1,Dias_Sem_Compensacao!$A$2:$A$500),WORKDAY(A2672,E2672,Dias_Sem_Compensacao!$A$2:$A$500)),"")</f>
        <v>46316</v>
      </c>
      <c r="H2672" s="25">
        <v>0</v>
      </c>
      <c r="I2672" s="28">
        <v>46315</v>
      </c>
      <c r="J2672" t="s">
        <v>1925</v>
      </c>
      <c r="K2672" t="s">
        <v>1926</v>
      </c>
    </row>
    <row r="2673" spans="1:11" hidden="1">
      <c r="A2673" s="28">
        <v>46315</v>
      </c>
      <c r="B2673" t="s">
        <v>186</v>
      </c>
      <c r="C2673" t="s">
        <v>203</v>
      </c>
      <c r="D2673" t="s">
        <v>217</v>
      </c>
      <c r="E2673">
        <f>IF(LEFT(D2673,6)="CLIENT",IFERROR(VLOOKUP(C2673,Config_Carteiras!$A:$B,2,FALSE),1),"")</f>
        <v>1</v>
      </c>
      <c r="F2673" s="25">
        <v>882.94</v>
      </c>
      <c r="G2673" s="28">
        <f>IF(LEFT(D2673,6)="CLIENT",IF(E2673=0,WORKDAY(A2673-1,1,Dias_Sem_Compensacao!$A$2:$A$500),WORKDAY(A2673,E2673,Dias_Sem_Compensacao!$A$2:$A$500)),"")</f>
        <v>46316</v>
      </c>
      <c r="H2673" s="25">
        <v>0</v>
      </c>
      <c r="I2673" s="28">
        <v>46315</v>
      </c>
      <c r="J2673" t="s">
        <v>2034</v>
      </c>
      <c r="K2673" t="s">
        <v>2035</v>
      </c>
    </row>
    <row r="2674" spans="1:11" hidden="1">
      <c r="A2674" s="28">
        <v>46315</v>
      </c>
      <c r="B2674" t="s">
        <v>186</v>
      </c>
      <c r="C2674" t="s">
        <v>203</v>
      </c>
      <c r="D2674" t="s">
        <v>217</v>
      </c>
      <c r="E2674">
        <f>IF(LEFT(D2674,6)="CLIENT",IFERROR(VLOOKUP(C2674,Config_Carteiras!$A:$B,2,FALSE),1),"")</f>
        <v>1</v>
      </c>
      <c r="F2674" s="25">
        <v>1434.36</v>
      </c>
      <c r="G2674" s="28">
        <f>IF(LEFT(D2674,6)="CLIENT",IF(E2674=0,WORKDAY(A2674-1,1,Dias_Sem_Compensacao!$A$2:$A$500),WORKDAY(A2674,E2674,Dias_Sem_Compensacao!$A$2:$A$500)),"")</f>
        <v>46316</v>
      </c>
      <c r="H2674" s="25">
        <v>0</v>
      </c>
      <c r="I2674" s="28">
        <v>46315</v>
      </c>
      <c r="J2674" t="s">
        <v>2036</v>
      </c>
      <c r="K2674" t="s">
        <v>2037</v>
      </c>
    </row>
    <row r="2675" spans="1:11" hidden="1">
      <c r="A2675" s="28">
        <v>46315</v>
      </c>
      <c r="B2675" t="s">
        <v>186</v>
      </c>
      <c r="C2675" t="s">
        <v>203</v>
      </c>
      <c r="D2675" t="s">
        <v>217</v>
      </c>
      <c r="E2675">
        <f>IF(LEFT(D2675,6)="CLIENT",IFERROR(VLOOKUP(C2675,Config_Carteiras!$A:$B,2,FALSE),1),"")</f>
        <v>1</v>
      </c>
      <c r="F2675" s="25">
        <v>1321</v>
      </c>
      <c r="G2675" s="28">
        <f>IF(LEFT(D2675,6)="CLIENT",IF(E2675=0,WORKDAY(A2675-1,1,Dias_Sem_Compensacao!$A$2:$A$500),WORKDAY(A2675,E2675,Dias_Sem_Compensacao!$A$2:$A$500)),"")</f>
        <v>46316</v>
      </c>
      <c r="H2675" s="25">
        <v>0</v>
      </c>
      <c r="I2675" s="28">
        <v>46315</v>
      </c>
      <c r="J2675" t="s">
        <v>2993</v>
      </c>
      <c r="K2675" t="s">
        <v>3064</v>
      </c>
    </row>
    <row r="2676" spans="1:11" hidden="1">
      <c r="A2676" s="28">
        <v>46315</v>
      </c>
      <c r="B2676" t="s">
        <v>186</v>
      </c>
      <c r="C2676" t="s">
        <v>203</v>
      </c>
      <c r="D2676" t="s">
        <v>217</v>
      </c>
      <c r="E2676">
        <f>IF(LEFT(D2676,6)="CLIENT",IFERROR(VLOOKUP(C2676,Config_Carteiras!$A:$B,2,FALSE),1),"")</f>
        <v>1</v>
      </c>
      <c r="F2676" s="25">
        <v>761.16</v>
      </c>
      <c r="G2676" s="28">
        <f>IF(LEFT(D2676,6)="CLIENT",IF(E2676=0,WORKDAY(A2676-1,1,Dias_Sem_Compensacao!$A$2:$A$500),WORKDAY(A2676,E2676,Dias_Sem_Compensacao!$A$2:$A$500)),"")</f>
        <v>46316</v>
      </c>
      <c r="H2676" s="25">
        <v>0</v>
      </c>
      <c r="I2676" s="28">
        <v>46315</v>
      </c>
      <c r="J2676" t="s">
        <v>2038</v>
      </c>
      <c r="K2676" t="s">
        <v>2039</v>
      </c>
    </row>
    <row r="2677" spans="1:11" hidden="1">
      <c r="A2677" s="28">
        <v>46315</v>
      </c>
      <c r="B2677" t="s">
        <v>186</v>
      </c>
      <c r="C2677" t="s">
        <v>203</v>
      </c>
      <c r="D2677" t="s">
        <v>217</v>
      </c>
      <c r="E2677">
        <f>IF(LEFT(D2677,6)="CLIENT",IFERROR(VLOOKUP(C2677,Config_Carteiras!$A:$B,2,FALSE),1),"")</f>
        <v>1</v>
      </c>
      <c r="F2677" s="25">
        <v>3893</v>
      </c>
      <c r="G2677" s="28">
        <f>IF(LEFT(D2677,6)="CLIENT",IF(E2677=0,WORKDAY(A2677-1,1,Dias_Sem_Compensacao!$A$2:$A$500),WORKDAY(A2677,E2677,Dias_Sem_Compensacao!$A$2:$A$500)),"")</f>
        <v>46316</v>
      </c>
      <c r="H2677" s="25">
        <v>0</v>
      </c>
      <c r="I2677" s="28">
        <v>46315</v>
      </c>
      <c r="J2677" t="s">
        <v>3065</v>
      </c>
      <c r="K2677" t="s">
        <v>3066</v>
      </c>
    </row>
    <row r="2678" spans="1:11" hidden="1">
      <c r="A2678" s="28">
        <v>46315</v>
      </c>
      <c r="B2678" t="s">
        <v>186</v>
      </c>
      <c r="C2678" t="s">
        <v>203</v>
      </c>
      <c r="D2678" t="s">
        <v>217</v>
      </c>
      <c r="E2678">
        <f>IF(LEFT(D2678,6)="CLIENT",IFERROR(VLOOKUP(C2678,Config_Carteiras!$A:$B,2,FALSE),1),"")</f>
        <v>1</v>
      </c>
      <c r="F2678" s="25">
        <v>588</v>
      </c>
      <c r="G2678" s="28">
        <f>IF(LEFT(D2678,6)="CLIENT",IF(E2678=0,WORKDAY(A2678-1,1,Dias_Sem_Compensacao!$A$2:$A$500),WORKDAY(A2678,E2678,Dias_Sem_Compensacao!$A$2:$A$500)),"")</f>
        <v>46316</v>
      </c>
      <c r="H2678" s="25">
        <v>0</v>
      </c>
      <c r="I2678" s="28">
        <v>46315</v>
      </c>
      <c r="J2678" t="s">
        <v>3067</v>
      </c>
      <c r="K2678" t="s">
        <v>3068</v>
      </c>
    </row>
    <row r="2679" spans="1:11" hidden="1">
      <c r="A2679" s="28">
        <v>46315</v>
      </c>
      <c r="B2679" t="s">
        <v>186</v>
      </c>
      <c r="C2679" t="s">
        <v>203</v>
      </c>
      <c r="D2679" t="s">
        <v>217</v>
      </c>
      <c r="E2679">
        <f>IF(LEFT(D2679,6)="CLIENT",IFERROR(VLOOKUP(C2679,Config_Carteiras!$A:$B,2,FALSE),1),"")</f>
        <v>1</v>
      </c>
      <c r="F2679" s="25">
        <v>987.57</v>
      </c>
      <c r="G2679" s="28">
        <f>IF(LEFT(D2679,6)="CLIENT",IF(E2679=0,WORKDAY(A2679-1,1,Dias_Sem_Compensacao!$A$2:$A$500),WORKDAY(A2679,E2679,Dias_Sem_Compensacao!$A$2:$A$500)),"")</f>
        <v>46316</v>
      </c>
      <c r="H2679" s="25">
        <v>0</v>
      </c>
      <c r="I2679" s="28">
        <v>46315</v>
      </c>
      <c r="J2679" t="s">
        <v>3069</v>
      </c>
      <c r="K2679" t="s">
        <v>3070</v>
      </c>
    </row>
    <row r="2680" spans="1:11" hidden="1">
      <c r="A2680" s="28">
        <v>46315</v>
      </c>
      <c r="B2680" t="s">
        <v>186</v>
      </c>
      <c r="C2680" t="s">
        <v>203</v>
      </c>
      <c r="D2680" t="s">
        <v>217</v>
      </c>
      <c r="E2680">
        <f>IF(LEFT(D2680,6)="CLIENT",IFERROR(VLOOKUP(C2680,Config_Carteiras!$A:$B,2,FALSE),1),"")</f>
        <v>1</v>
      </c>
      <c r="F2680" s="25">
        <v>521</v>
      </c>
      <c r="G2680" s="28">
        <f>IF(LEFT(D2680,6)="CLIENT",IF(E2680=0,WORKDAY(A2680-1,1,Dias_Sem_Compensacao!$A$2:$A$500),WORKDAY(A2680,E2680,Dias_Sem_Compensacao!$A$2:$A$500)),"")</f>
        <v>46316</v>
      </c>
      <c r="H2680" s="25">
        <v>0</v>
      </c>
      <c r="I2680" s="28">
        <v>46315</v>
      </c>
      <c r="J2680" t="s">
        <v>1929</v>
      </c>
      <c r="K2680" t="s">
        <v>2551</v>
      </c>
    </row>
    <row r="2681" spans="1:11" hidden="1">
      <c r="A2681" s="28">
        <v>46316</v>
      </c>
      <c r="B2681" t="s">
        <v>186</v>
      </c>
      <c r="C2681" t="s">
        <v>203</v>
      </c>
      <c r="D2681" t="s">
        <v>217</v>
      </c>
      <c r="E2681">
        <f>IF(LEFT(D2681,6)="CLIENT",IFERROR(VLOOKUP(C2681,Config_Carteiras!$A:$B,2,FALSE),1),"")</f>
        <v>1</v>
      </c>
      <c r="F2681" s="25">
        <v>431</v>
      </c>
      <c r="G2681" s="28">
        <f>IF(LEFT(D2681,6)="CLIENT",IF(E2681=0,WORKDAY(A2681-1,1,Dias_Sem_Compensacao!$A$2:$A$500),WORKDAY(A2681,E2681,Dias_Sem_Compensacao!$A$2:$A$500)),"")</f>
        <v>46317</v>
      </c>
      <c r="H2681" s="25">
        <v>0</v>
      </c>
      <c r="I2681" s="28">
        <v>46316</v>
      </c>
      <c r="J2681" t="s">
        <v>3071</v>
      </c>
      <c r="K2681" t="s">
        <v>3072</v>
      </c>
    </row>
    <row r="2682" spans="1:11" hidden="1">
      <c r="A2682" s="28">
        <v>46316</v>
      </c>
      <c r="B2682" t="s">
        <v>186</v>
      </c>
      <c r="C2682" t="s">
        <v>203</v>
      </c>
      <c r="D2682" t="s">
        <v>217</v>
      </c>
      <c r="E2682">
        <f>IF(LEFT(D2682,6)="CLIENT",IFERROR(VLOOKUP(C2682,Config_Carteiras!$A:$B,2,FALSE),1),"")</f>
        <v>1</v>
      </c>
      <c r="F2682" s="25">
        <v>391</v>
      </c>
      <c r="G2682" s="28">
        <f>IF(LEFT(D2682,6)="CLIENT",IF(E2682=0,WORKDAY(A2682-1,1,Dias_Sem_Compensacao!$A$2:$A$500),WORKDAY(A2682,E2682,Dias_Sem_Compensacao!$A$2:$A$500)),"")</f>
        <v>46317</v>
      </c>
      <c r="H2682" s="25">
        <v>0</v>
      </c>
      <c r="I2682" s="28">
        <v>46316</v>
      </c>
      <c r="J2682" t="s">
        <v>1291</v>
      </c>
      <c r="K2682" t="s">
        <v>1292</v>
      </c>
    </row>
    <row r="2683" spans="1:11" hidden="1">
      <c r="A2683" s="28">
        <v>46316</v>
      </c>
      <c r="B2683" t="s">
        <v>186</v>
      </c>
      <c r="C2683" t="s">
        <v>203</v>
      </c>
      <c r="D2683" t="s">
        <v>217</v>
      </c>
      <c r="E2683">
        <f>IF(LEFT(D2683,6)="CLIENT",IFERROR(VLOOKUP(C2683,Config_Carteiras!$A:$B,2,FALSE),1),"")</f>
        <v>1</v>
      </c>
      <c r="F2683" s="25">
        <v>13675.2</v>
      </c>
      <c r="G2683" s="28">
        <f>IF(LEFT(D2683,6)="CLIENT",IF(E2683=0,WORKDAY(A2683-1,1,Dias_Sem_Compensacao!$A$2:$A$500),WORKDAY(A2683,E2683,Dias_Sem_Compensacao!$A$2:$A$500)),"")</f>
        <v>46317</v>
      </c>
      <c r="H2683" s="25">
        <v>0</v>
      </c>
      <c r="I2683" s="28">
        <v>46316</v>
      </c>
      <c r="J2683" t="s">
        <v>937</v>
      </c>
      <c r="K2683" t="s">
        <v>3073</v>
      </c>
    </row>
    <row r="2684" spans="1:11" hidden="1">
      <c r="A2684" s="28">
        <v>46316</v>
      </c>
      <c r="B2684" t="s">
        <v>186</v>
      </c>
      <c r="C2684" t="s">
        <v>203</v>
      </c>
      <c r="D2684" t="s">
        <v>217</v>
      </c>
      <c r="E2684">
        <f>IF(LEFT(D2684,6)="CLIENT",IFERROR(VLOOKUP(C2684,Config_Carteiras!$A:$B,2,FALSE),1),"")</f>
        <v>1</v>
      </c>
      <c r="F2684" s="25">
        <v>643</v>
      </c>
      <c r="G2684" s="28">
        <f>IF(LEFT(D2684,6)="CLIENT",IF(E2684=0,WORKDAY(A2684-1,1,Dias_Sem_Compensacao!$A$2:$A$500),WORKDAY(A2684,E2684,Dias_Sem_Compensacao!$A$2:$A$500)),"")</f>
        <v>46317</v>
      </c>
      <c r="H2684" s="25">
        <v>0</v>
      </c>
      <c r="I2684" s="28">
        <v>46316</v>
      </c>
      <c r="J2684" t="s">
        <v>2552</v>
      </c>
      <c r="K2684" t="s">
        <v>2553</v>
      </c>
    </row>
    <row r="2685" spans="1:11" hidden="1">
      <c r="A2685" s="28">
        <v>46316</v>
      </c>
      <c r="B2685" t="s">
        <v>186</v>
      </c>
      <c r="C2685" t="s">
        <v>203</v>
      </c>
      <c r="D2685" t="s">
        <v>217</v>
      </c>
      <c r="E2685">
        <f>IF(LEFT(D2685,6)="CLIENT",IFERROR(VLOOKUP(C2685,Config_Carteiras!$A:$B,2,FALSE),1),"")</f>
        <v>1</v>
      </c>
      <c r="F2685" s="25">
        <v>1221</v>
      </c>
      <c r="G2685" s="28">
        <f>IF(LEFT(D2685,6)="CLIENT",IF(E2685=0,WORKDAY(A2685-1,1,Dias_Sem_Compensacao!$A$2:$A$500),WORKDAY(A2685,E2685,Dias_Sem_Compensacao!$A$2:$A$500)),"")</f>
        <v>46317</v>
      </c>
      <c r="H2685" s="25">
        <v>0</v>
      </c>
      <c r="I2685" s="28">
        <v>46316</v>
      </c>
      <c r="J2685" t="s">
        <v>2557</v>
      </c>
      <c r="K2685" t="s">
        <v>2558</v>
      </c>
    </row>
    <row r="2686" spans="1:11" hidden="1">
      <c r="A2686" s="28">
        <v>46316</v>
      </c>
      <c r="B2686" t="s">
        <v>186</v>
      </c>
      <c r="C2686" t="s">
        <v>203</v>
      </c>
      <c r="D2686" t="s">
        <v>217</v>
      </c>
      <c r="E2686">
        <f>IF(LEFT(D2686,6)="CLIENT",IFERROR(VLOOKUP(C2686,Config_Carteiras!$A:$B,2,FALSE),1),"")</f>
        <v>1</v>
      </c>
      <c r="F2686" s="25">
        <v>1120</v>
      </c>
      <c r="G2686" s="28">
        <f>IF(LEFT(D2686,6)="CLIENT",IF(E2686=0,WORKDAY(A2686-1,1,Dias_Sem_Compensacao!$A$2:$A$500),WORKDAY(A2686,E2686,Dias_Sem_Compensacao!$A$2:$A$500)),"")</f>
        <v>46317</v>
      </c>
      <c r="H2686" s="25">
        <v>0</v>
      </c>
      <c r="I2686" s="28">
        <v>46316</v>
      </c>
      <c r="J2686" t="s">
        <v>2040</v>
      </c>
      <c r="K2686" t="s">
        <v>2041</v>
      </c>
    </row>
    <row r="2687" spans="1:11" hidden="1">
      <c r="A2687" s="28">
        <v>46316</v>
      </c>
      <c r="B2687" t="s">
        <v>186</v>
      </c>
      <c r="C2687" t="s">
        <v>203</v>
      </c>
      <c r="D2687" t="s">
        <v>217</v>
      </c>
      <c r="E2687">
        <f>IF(LEFT(D2687,6)="CLIENT",IFERROR(VLOOKUP(C2687,Config_Carteiras!$A:$B,2,FALSE),1),"")</f>
        <v>1</v>
      </c>
      <c r="F2687" s="25">
        <v>1586.24</v>
      </c>
      <c r="G2687" s="28">
        <f>IF(LEFT(D2687,6)="CLIENT",IF(E2687=0,WORKDAY(A2687-1,1,Dias_Sem_Compensacao!$A$2:$A$500),WORKDAY(A2687,E2687,Dias_Sem_Compensacao!$A$2:$A$500)),"")</f>
        <v>46317</v>
      </c>
      <c r="H2687" s="25">
        <v>0</v>
      </c>
      <c r="I2687" s="28">
        <v>46316</v>
      </c>
      <c r="J2687" t="s">
        <v>2042</v>
      </c>
      <c r="K2687" t="s">
        <v>2043</v>
      </c>
    </row>
    <row r="2688" spans="1:11" hidden="1">
      <c r="A2688" s="28">
        <v>46316</v>
      </c>
      <c r="B2688" t="s">
        <v>186</v>
      </c>
      <c r="C2688" t="s">
        <v>203</v>
      </c>
      <c r="D2688" t="s">
        <v>217</v>
      </c>
      <c r="E2688">
        <f>IF(LEFT(D2688,6)="CLIENT",IFERROR(VLOOKUP(C2688,Config_Carteiras!$A:$B,2,FALSE),1),"")</f>
        <v>1</v>
      </c>
      <c r="F2688" s="25">
        <v>668.03</v>
      </c>
      <c r="G2688" s="28">
        <f>IF(LEFT(D2688,6)="CLIENT",IF(E2688=0,WORKDAY(A2688-1,1,Dias_Sem_Compensacao!$A$2:$A$500),WORKDAY(A2688,E2688,Dias_Sem_Compensacao!$A$2:$A$500)),"")</f>
        <v>46317</v>
      </c>
      <c r="H2688" s="25">
        <v>0</v>
      </c>
      <c r="I2688" s="28">
        <v>46316</v>
      </c>
      <c r="J2688" t="s">
        <v>1304</v>
      </c>
      <c r="K2688" t="s">
        <v>1305</v>
      </c>
    </row>
    <row r="2689" spans="1:11" hidden="1">
      <c r="A2689" s="28">
        <v>46316</v>
      </c>
      <c r="B2689" t="s">
        <v>186</v>
      </c>
      <c r="C2689" t="s">
        <v>203</v>
      </c>
      <c r="D2689" t="s">
        <v>217</v>
      </c>
      <c r="E2689">
        <f>IF(LEFT(D2689,6)="CLIENT",IFERROR(VLOOKUP(C2689,Config_Carteiras!$A:$B,2,FALSE),1),"")</f>
        <v>1</v>
      </c>
      <c r="F2689" s="25">
        <v>1283.3599999999999</v>
      </c>
      <c r="G2689" s="28">
        <f>IF(LEFT(D2689,6)="CLIENT",IF(E2689=0,WORKDAY(A2689-1,1,Dias_Sem_Compensacao!$A$2:$A$500),WORKDAY(A2689,E2689,Dias_Sem_Compensacao!$A$2:$A$500)),"")</f>
        <v>46317</v>
      </c>
      <c r="H2689" s="25">
        <v>0</v>
      </c>
      <c r="I2689" s="28">
        <v>46316</v>
      </c>
      <c r="J2689" t="s">
        <v>2044</v>
      </c>
      <c r="K2689" t="s">
        <v>2045</v>
      </c>
    </row>
    <row r="2690" spans="1:11" hidden="1">
      <c r="A2690" s="28">
        <v>46316</v>
      </c>
      <c r="B2690" t="s">
        <v>186</v>
      </c>
      <c r="C2690" t="s">
        <v>203</v>
      </c>
      <c r="D2690" t="s">
        <v>217</v>
      </c>
      <c r="E2690">
        <f>IF(LEFT(D2690,6)="CLIENT",IFERROR(VLOOKUP(C2690,Config_Carteiras!$A:$B,2,FALSE),1),"")</f>
        <v>1</v>
      </c>
      <c r="F2690" s="25">
        <v>1768</v>
      </c>
      <c r="G2690" s="28">
        <f>IF(LEFT(D2690,6)="CLIENT",IF(E2690=0,WORKDAY(A2690-1,1,Dias_Sem_Compensacao!$A$2:$A$500),WORKDAY(A2690,E2690,Dias_Sem_Compensacao!$A$2:$A$500)),"")</f>
        <v>46317</v>
      </c>
      <c r="H2690" s="25">
        <v>0</v>
      </c>
      <c r="I2690" s="28">
        <v>46316</v>
      </c>
      <c r="J2690" t="s">
        <v>3074</v>
      </c>
      <c r="K2690" t="s">
        <v>3075</v>
      </c>
    </row>
    <row r="2691" spans="1:11" hidden="1">
      <c r="A2691" s="28">
        <v>46316</v>
      </c>
      <c r="B2691" t="s">
        <v>186</v>
      </c>
      <c r="C2691" t="s">
        <v>203</v>
      </c>
      <c r="D2691" t="s">
        <v>217</v>
      </c>
      <c r="E2691">
        <f>IF(LEFT(D2691,6)="CLIENT",IFERROR(VLOOKUP(C2691,Config_Carteiras!$A:$B,2,FALSE),1),"")</f>
        <v>1</v>
      </c>
      <c r="F2691" s="25">
        <v>2937</v>
      </c>
      <c r="G2691" s="28">
        <f>IF(LEFT(D2691,6)="CLIENT",IF(E2691=0,WORKDAY(A2691-1,1,Dias_Sem_Compensacao!$A$2:$A$500),WORKDAY(A2691,E2691,Dias_Sem_Compensacao!$A$2:$A$500)),"")</f>
        <v>46317</v>
      </c>
      <c r="H2691" s="25">
        <v>0</v>
      </c>
      <c r="I2691" s="28">
        <v>46316</v>
      </c>
      <c r="J2691" t="s">
        <v>2567</v>
      </c>
      <c r="K2691" t="s">
        <v>2568</v>
      </c>
    </row>
    <row r="2692" spans="1:11" hidden="1">
      <c r="A2692" s="28">
        <v>46316</v>
      </c>
      <c r="B2692" t="s">
        <v>186</v>
      </c>
      <c r="C2692" t="s">
        <v>203</v>
      </c>
      <c r="D2692" t="s">
        <v>217</v>
      </c>
      <c r="E2692">
        <f>IF(LEFT(D2692,6)="CLIENT",IFERROR(VLOOKUP(C2692,Config_Carteiras!$A:$B,2,FALSE),1),"")</f>
        <v>1</v>
      </c>
      <c r="F2692" s="25">
        <v>1174</v>
      </c>
      <c r="G2692" s="28">
        <f>IF(LEFT(D2692,6)="CLIENT",IF(E2692=0,WORKDAY(A2692-1,1,Dias_Sem_Compensacao!$A$2:$A$500),WORKDAY(A2692,E2692,Dias_Sem_Compensacao!$A$2:$A$500)),"")</f>
        <v>46317</v>
      </c>
      <c r="H2692" s="25">
        <v>0</v>
      </c>
      <c r="I2692" s="28">
        <v>46316</v>
      </c>
      <c r="J2692" t="s">
        <v>3076</v>
      </c>
      <c r="K2692" t="s">
        <v>3077</v>
      </c>
    </row>
    <row r="2693" spans="1:11" hidden="1">
      <c r="A2693" s="28">
        <v>46316</v>
      </c>
      <c r="B2693" t="s">
        <v>186</v>
      </c>
      <c r="C2693" t="s">
        <v>203</v>
      </c>
      <c r="D2693" t="s">
        <v>217</v>
      </c>
      <c r="E2693">
        <f>IF(LEFT(D2693,6)="CLIENT",IFERROR(VLOOKUP(C2693,Config_Carteiras!$A:$B,2,FALSE),1),"")</f>
        <v>1</v>
      </c>
      <c r="F2693" s="25">
        <v>957</v>
      </c>
      <c r="G2693" s="28">
        <f>IF(LEFT(D2693,6)="CLIENT",IF(E2693=0,WORKDAY(A2693-1,1,Dias_Sem_Compensacao!$A$2:$A$500),WORKDAY(A2693,E2693,Dias_Sem_Compensacao!$A$2:$A$500)),"")</f>
        <v>46317</v>
      </c>
      <c r="H2693" s="25">
        <v>0</v>
      </c>
      <c r="I2693" s="28">
        <v>46316</v>
      </c>
      <c r="J2693" t="s">
        <v>3078</v>
      </c>
      <c r="K2693" t="s">
        <v>3079</v>
      </c>
    </row>
    <row r="2694" spans="1:11" hidden="1">
      <c r="A2694" s="28">
        <v>46316</v>
      </c>
      <c r="B2694" t="s">
        <v>186</v>
      </c>
      <c r="C2694" t="s">
        <v>203</v>
      </c>
      <c r="D2694" t="s">
        <v>217</v>
      </c>
      <c r="E2694">
        <f>IF(LEFT(D2694,6)="CLIENT",IFERROR(VLOOKUP(C2694,Config_Carteiras!$A:$B,2,FALSE),1),"")</f>
        <v>1</v>
      </c>
      <c r="F2694" s="25">
        <v>1139</v>
      </c>
      <c r="G2694" s="28">
        <f>IF(LEFT(D2694,6)="CLIENT",IF(E2694=0,WORKDAY(A2694-1,1,Dias_Sem_Compensacao!$A$2:$A$500),WORKDAY(A2694,E2694,Dias_Sem_Compensacao!$A$2:$A$500)),"")</f>
        <v>46317</v>
      </c>
      <c r="H2694" s="25">
        <v>0</v>
      </c>
      <c r="I2694" s="28">
        <v>46316</v>
      </c>
      <c r="J2694" t="s">
        <v>2572</v>
      </c>
      <c r="K2694" t="s">
        <v>2573</v>
      </c>
    </row>
    <row r="2695" spans="1:11" hidden="1">
      <c r="A2695" s="28">
        <v>46316</v>
      </c>
      <c r="B2695" t="s">
        <v>186</v>
      </c>
      <c r="C2695" t="s">
        <v>203</v>
      </c>
      <c r="D2695" t="s">
        <v>217</v>
      </c>
      <c r="E2695">
        <f>IF(LEFT(D2695,6)="CLIENT",IFERROR(VLOOKUP(C2695,Config_Carteiras!$A:$B,2,FALSE),1),"")</f>
        <v>1</v>
      </c>
      <c r="F2695" s="25">
        <v>1473</v>
      </c>
      <c r="G2695" s="28">
        <f>IF(LEFT(D2695,6)="CLIENT",IF(E2695=0,WORKDAY(A2695-1,1,Dias_Sem_Compensacao!$A$2:$A$500),WORKDAY(A2695,E2695,Dias_Sem_Compensacao!$A$2:$A$500)),"")</f>
        <v>46317</v>
      </c>
      <c r="H2695" s="25">
        <v>0</v>
      </c>
      <c r="I2695" s="28">
        <v>46316</v>
      </c>
      <c r="J2695" t="s">
        <v>3080</v>
      </c>
      <c r="K2695" t="s">
        <v>3081</v>
      </c>
    </row>
    <row r="2696" spans="1:11" hidden="1">
      <c r="A2696" s="28">
        <v>46316</v>
      </c>
      <c r="B2696" t="s">
        <v>186</v>
      </c>
      <c r="C2696" t="s">
        <v>203</v>
      </c>
      <c r="D2696" t="s">
        <v>217</v>
      </c>
      <c r="E2696">
        <f>IF(LEFT(D2696,6)="CLIENT",IFERROR(VLOOKUP(C2696,Config_Carteiras!$A:$B,2,FALSE),1),"")</f>
        <v>1</v>
      </c>
      <c r="F2696" s="25">
        <v>1234</v>
      </c>
      <c r="G2696" s="28">
        <f>IF(LEFT(D2696,6)="CLIENT",IF(E2696=0,WORKDAY(A2696-1,1,Dias_Sem_Compensacao!$A$2:$A$500),WORKDAY(A2696,E2696,Dias_Sem_Compensacao!$A$2:$A$500)),"")</f>
        <v>46317</v>
      </c>
      <c r="H2696" s="25">
        <v>0</v>
      </c>
      <c r="I2696" s="28">
        <v>46316</v>
      </c>
      <c r="J2696" t="s">
        <v>2574</v>
      </c>
      <c r="K2696" t="s">
        <v>2575</v>
      </c>
    </row>
    <row r="2697" spans="1:11" hidden="1">
      <c r="A2697" s="28">
        <v>46316</v>
      </c>
      <c r="B2697" t="s">
        <v>186</v>
      </c>
      <c r="C2697" t="s">
        <v>203</v>
      </c>
      <c r="D2697" t="s">
        <v>217</v>
      </c>
      <c r="E2697">
        <f>IF(LEFT(D2697,6)="CLIENT",IFERROR(VLOOKUP(C2697,Config_Carteiras!$A:$B,2,FALSE),1),"")</f>
        <v>1</v>
      </c>
      <c r="F2697" s="25">
        <v>1521.63</v>
      </c>
      <c r="G2697" s="28">
        <f>IF(LEFT(D2697,6)="CLIENT",IF(E2697=0,WORKDAY(A2697-1,1,Dias_Sem_Compensacao!$A$2:$A$500),WORKDAY(A2697,E2697,Dias_Sem_Compensacao!$A$2:$A$500)),"")</f>
        <v>46317</v>
      </c>
      <c r="H2697" s="25">
        <v>0</v>
      </c>
      <c r="I2697" s="28">
        <v>46316</v>
      </c>
      <c r="J2697" t="s">
        <v>2046</v>
      </c>
      <c r="K2697" t="s">
        <v>2047</v>
      </c>
    </row>
    <row r="2698" spans="1:11" hidden="1">
      <c r="A2698" s="28">
        <v>46316</v>
      </c>
      <c r="B2698" t="s">
        <v>186</v>
      </c>
      <c r="C2698" t="s">
        <v>203</v>
      </c>
      <c r="D2698" t="s">
        <v>217</v>
      </c>
      <c r="E2698">
        <f>IF(LEFT(D2698,6)="CLIENT",IFERROR(VLOOKUP(C2698,Config_Carteiras!$A:$B,2,FALSE),1),"")</f>
        <v>1</v>
      </c>
      <c r="F2698" s="25">
        <v>649</v>
      </c>
      <c r="G2698" s="28">
        <f>IF(LEFT(D2698,6)="CLIENT",IF(E2698=0,WORKDAY(A2698-1,1,Dias_Sem_Compensacao!$A$2:$A$500),WORKDAY(A2698,E2698,Dias_Sem_Compensacao!$A$2:$A$500)),"")</f>
        <v>46317</v>
      </c>
      <c r="H2698" s="25">
        <v>0</v>
      </c>
      <c r="I2698" s="28">
        <v>46316</v>
      </c>
      <c r="J2698" t="s">
        <v>2577</v>
      </c>
      <c r="K2698" t="s">
        <v>2578</v>
      </c>
    </row>
    <row r="2699" spans="1:11" hidden="1">
      <c r="A2699" s="28">
        <v>46316</v>
      </c>
      <c r="B2699" t="s">
        <v>186</v>
      </c>
      <c r="C2699" t="s">
        <v>203</v>
      </c>
      <c r="D2699" t="s">
        <v>217</v>
      </c>
      <c r="E2699">
        <f>IF(LEFT(D2699,6)="CLIENT",IFERROR(VLOOKUP(C2699,Config_Carteiras!$A:$B,2,FALSE),1),"")</f>
        <v>1</v>
      </c>
      <c r="F2699" s="25">
        <v>627</v>
      </c>
      <c r="G2699" s="28">
        <f>IF(LEFT(D2699,6)="CLIENT",IF(E2699=0,WORKDAY(A2699-1,1,Dias_Sem_Compensacao!$A$2:$A$500),WORKDAY(A2699,E2699,Dias_Sem_Compensacao!$A$2:$A$500)),"")</f>
        <v>46317</v>
      </c>
      <c r="H2699" s="25">
        <v>0</v>
      </c>
      <c r="I2699" s="28">
        <v>46316</v>
      </c>
      <c r="J2699" t="s">
        <v>2579</v>
      </c>
      <c r="K2699" t="s">
        <v>2580</v>
      </c>
    </row>
    <row r="2700" spans="1:11" hidden="1">
      <c r="A2700" s="28">
        <v>46316</v>
      </c>
      <c r="B2700" t="s">
        <v>186</v>
      </c>
      <c r="C2700" t="s">
        <v>203</v>
      </c>
      <c r="D2700" t="s">
        <v>217</v>
      </c>
      <c r="E2700">
        <f>IF(LEFT(D2700,6)="CLIENT",IFERROR(VLOOKUP(C2700,Config_Carteiras!$A:$B,2,FALSE),1),"")</f>
        <v>1</v>
      </c>
      <c r="F2700" s="25">
        <v>947</v>
      </c>
      <c r="G2700" s="28">
        <f>IF(LEFT(D2700,6)="CLIENT",IF(E2700=0,WORKDAY(A2700-1,1,Dias_Sem_Compensacao!$A$2:$A$500),WORKDAY(A2700,E2700,Dias_Sem_Compensacao!$A$2:$A$500)),"")</f>
        <v>46317</v>
      </c>
      <c r="H2700" s="25">
        <v>0</v>
      </c>
      <c r="I2700" s="28">
        <v>46316</v>
      </c>
      <c r="J2700" t="s">
        <v>1331</v>
      </c>
      <c r="K2700" t="s">
        <v>3082</v>
      </c>
    </row>
    <row r="2701" spans="1:11" hidden="1">
      <c r="A2701" s="28">
        <v>46316</v>
      </c>
      <c r="B2701" t="s">
        <v>186</v>
      </c>
      <c r="C2701" t="s">
        <v>203</v>
      </c>
      <c r="D2701" t="s">
        <v>217</v>
      </c>
      <c r="E2701">
        <f>IF(LEFT(D2701,6)="CLIENT",IFERROR(VLOOKUP(C2701,Config_Carteiras!$A:$B,2,FALSE),1),"")</f>
        <v>1</v>
      </c>
      <c r="F2701" s="25">
        <v>504.37</v>
      </c>
      <c r="G2701" s="28">
        <f>IF(LEFT(D2701,6)="CLIENT",IF(E2701=0,WORKDAY(A2701-1,1,Dias_Sem_Compensacao!$A$2:$A$500),WORKDAY(A2701,E2701,Dias_Sem_Compensacao!$A$2:$A$500)),"")</f>
        <v>46317</v>
      </c>
      <c r="H2701" s="25">
        <v>0</v>
      </c>
      <c r="I2701" s="28">
        <v>46316</v>
      </c>
      <c r="J2701" t="s">
        <v>2396</v>
      </c>
      <c r="K2701" t="s">
        <v>3083</v>
      </c>
    </row>
    <row r="2702" spans="1:11" hidden="1">
      <c r="A2702" s="28">
        <v>46316</v>
      </c>
      <c r="B2702" t="s">
        <v>186</v>
      </c>
      <c r="C2702" t="s">
        <v>203</v>
      </c>
      <c r="D2702" t="s">
        <v>217</v>
      </c>
      <c r="E2702">
        <f>IF(LEFT(D2702,6)="CLIENT",IFERROR(VLOOKUP(C2702,Config_Carteiras!$A:$B,2,FALSE),1),"")</f>
        <v>1</v>
      </c>
      <c r="F2702" s="25">
        <v>345.29</v>
      </c>
      <c r="G2702" s="28">
        <f>IF(LEFT(D2702,6)="CLIENT",IF(E2702=0,WORKDAY(A2702-1,1,Dias_Sem_Compensacao!$A$2:$A$500),WORKDAY(A2702,E2702,Dias_Sem_Compensacao!$A$2:$A$500)),"")</f>
        <v>46317</v>
      </c>
      <c r="H2702" s="25">
        <v>0</v>
      </c>
      <c r="I2702" s="28">
        <v>46316</v>
      </c>
      <c r="J2702" t="s">
        <v>2581</v>
      </c>
      <c r="K2702" t="s">
        <v>2582</v>
      </c>
    </row>
    <row r="2703" spans="1:11" hidden="1">
      <c r="A2703" s="28">
        <v>46316</v>
      </c>
      <c r="B2703" t="s">
        <v>186</v>
      </c>
      <c r="C2703" t="s">
        <v>203</v>
      </c>
      <c r="D2703" t="s">
        <v>217</v>
      </c>
      <c r="E2703">
        <f>IF(LEFT(D2703,6)="CLIENT",IFERROR(VLOOKUP(C2703,Config_Carteiras!$A:$B,2,FALSE),1),"")</f>
        <v>1</v>
      </c>
      <c r="F2703" s="25">
        <v>856</v>
      </c>
      <c r="G2703" s="28">
        <f>IF(LEFT(D2703,6)="CLIENT",IF(E2703=0,WORKDAY(A2703-1,1,Dias_Sem_Compensacao!$A$2:$A$500),WORKDAY(A2703,E2703,Dias_Sem_Compensacao!$A$2:$A$500)),"")</f>
        <v>46317</v>
      </c>
      <c r="H2703" s="25">
        <v>0</v>
      </c>
      <c r="I2703" s="28">
        <v>46316</v>
      </c>
      <c r="J2703" t="s">
        <v>2583</v>
      </c>
      <c r="K2703" t="s">
        <v>2584</v>
      </c>
    </row>
    <row r="2704" spans="1:11" hidden="1">
      <c r="A2704" s="28">
        <v>46316</v>
      </c>
      <c r="B2704" t="s">
        <v>186</v>
      </c>
      <c r="C2704" t="s">
        <v>203</v>
      </c>
      <c r="D2704" t="s">
        <v>217</v>
      </c>
      <c r="E2704">
        <f>IF(LEFT(D2704,6)="CLIENT",IFERROR(VLOOKUP(C2704,Config_Carteiras!$A:$B,2,FALSE),1),"")</f>
        <v>1</v>
      </c>
      <c r="F2704" s="25">
        <v>384</v>
      </c>
      <c r="G2704" s="28">
        <f>IF(LEFT(D2704,6)="CLIENT",IF(E2704=0,WORKDAY(A2704-1,1,Dias_Sem_Compensacao!$A$2:$A$500),WORKDAY(A2704,E2704,Dias_Sem_Compensacao!$A$2:$A$500)),"")</f>
        <v>46317</v>
      </c>
      <c r="H2704" s="25">
        <v>0</v>
      </c>
      <c r="I2704" s="28">
        <v>46316</v>
      </c>
      <c r="J2704" t="s">
        <v>2585</v>
      </c>
      <c r="K2704" t="s">
        <v>2586</v>
      </c>
    </row>
    <row r="2705" spans="1:11" hidden="1">
      <c r="A2705" s="28">
        <v>46316</v>
      </c>
      <c r="B2705" t="s">
        <v>186</v>
      </c>
      <c r="C2705" t="s">
        <v>203</v>
      </c>
      <c r="D2705" t="s">
        <v>217</v>
      </c>
      <c r="E2705">
        <f>IF(LEFT(D2705,6)="CLIENT",IFERROR(VLOOKUP(C2705,Config_Carteiras!$A:$B,2,FALSE),1),"")</f>
        <v>1</v>
      </c>
      <c r="F2705" s="25">
        <v>358</v>
      </c>
      <c r="G2705" s="28">
        <f>IF(LEFT(D2705,6)="CLIENT",IF(E2705=0,WORKDAY(A2705-1,1,Dias_Sem_Compensacao!$A$2:$A$500),WORKDAY(A2705,E2705,Dias_Sem_Compensacao!$A$2:$A$500)),"")</f>
        <v>46317</v>
      </c>
      <c r="H2705" s="25">
        <v>0</v>
      </c>
      <c r="I2705" s="28">
        <v>46316</v>
      </c>
      <c r="J2705" t="s">
        <v>2407</v>
      </c>
      <c r="K2705" t="s">
        <v>3084</v>
      </c>
    </row>
    <row r="2706" spans="1:11" hidden="1">
      <c r="A2706" s="28">
        <v>46316</v>
      </c>
      <c r="B2706" t="s">
        <v>186</v>
      </c>
      <c r="C2706" t="s">
        <v>203</v>
      </c>
      <c r="D2706" t="s">
        <v>217</v>
      </c>
      <c r="E2706">
        <f>IF(LEFT(D2706,6)="CLIENT",IFERROR(VLOOKUP(C2706,Config_Carteiras!$A:$B,2,FALSE),1),"")</f>
        <v>1</v>
      </c>
      <c r="F2706" s="25">
        <v>1087</v>
      </c>
      <c r="G2706" s="28">
        <f>IF(LEFT(D2706,6)="CLIENT",IF(E2706=0,WORKDAY(A2706-1,1,Dias_Sem_Compensacao!$A$2:$A$500),WORKDAY(A2706,E2706,Dias_Sem_Compensacao!$A$2:$A$500)),"")</f>
        <v>46317</v>
      </c>
      <c r="H2706" s="25">
        <v>0</v>
      </c>
      <c r="I2706" s="28">
        <v>46316</v>
      </c>
      <c r="J2706" t="s">
        <v>2053</v>
      </c>
      <c r="K2706" t="s">
        <v>2054</v>
      </c>
    </row>
    <row r="2707" spans="1:11" hidden="1">
      <c r="A2707" s="28">
        <v>46316</v>
      </c>
      <c r="B2707" t="s">
        <v>186</v>
      </c>
      <c r="C2707" t="s">
        <v>203</v>
      </c>
      <c r="D2707" t="s">
        <v>217</v>
      </c>
      <c r="E2707">
        <f>IF(LEFT(D2707,6)="CLIENT",IFERROR(VLOOKUP(C2707,Config_Carteiras!$A:$B,2,FALSE),1),"")</f>
        <v>1</v>
      </c>
      <c r="F2707" s="25">
        <v>2360</v>
      </c>
      <c r="G2707" s="28">
        <f>IF(LEFT(D2707,6)="CLIENT",IF(E2707=0,WORKDAY(A2707-1,1,Dias_Sem_Compensacao!$A$2:$A$500),WORKDAY(A2707,E2707,Dias_Sem_Compensacao!$A$2:$A$500)),"")</f>
        <v>46317</v>
      </c>
      <c r="H2707" s="25">
        <v>0</v>
      </c>
      <c r="I2707" s="28">
        <v>46316</v>
      </c>
      <c r="J2707" t="s">
        <v>2589</v>
      </c>
      <c r="K2707" t="s">
        <v>2590</v>
      </c>
    </row>
    <row r="2708" spans="1:11" hidden="1">
      <c r="A2708" s="28">
        <v>46316</v>
      </c>
      <c r="B2708" t="s">
        <v>186</v>
      </c>
      <c r="C2708" t="s">
        <v>203</v>
      </c>
      <c r="D2708" t="s">
        <v>217</v>
      </c>
      <c r="E2708">
        <f>IF(LEFT(D2708,6)="CLIENT",IFERROR(VLOOKUP(C2708,Config_Carteiras!$A:$B,2,FALSE),1),"")</f>
        <v>1</v>
      </c>
      <c r="F2708" s="25">
        <v>3500.68</v>
      </c>
      <c r="G2708" s="28">
        <f>IF(LEFT(D2708,6)="CLIENT",IF(E2708=0,WORKDAY(A2708-1,1,Dias_Sem_Compensacao!$A$2:$A$500),WORKDAY(A2708,E2708,Dias_Sem_Compensacao!$A$2:$A$500)),"")</f>
        <v>46317</v>
      </c>
      <c r="H2708" s="25">
        <v>0</v>
      </c>
      <c r="I2708" s="28">
        <v>46316</v>
      </c>
      <c r="J2708" t="s">
        <v>1348</v>
      </c>
      <c r="K2708" t="s">
        <v>1349</v>
      </c>
    </row>
    <row r="2709" spans="1:11" hidden="1">
      <c r="A2709" s="28">
        <v>46316</v>
      </c>
      <c r="B2709" t="s">
        <v>186</v>
      </c>
      <c r="C2709" t="s">
        <v>203</v>
      </c>
      <c r="D2709" t="s">
        <v>217</v>
      </c>
      <c r="E2709">
        <f>IF(LEFT(D2709,6)="CLIENT",IFERROR(VLOOKUP(C2709,Config_Carteiras!$A:$B,2,FALSE),1),"")</f>
        <v>1</v>
      </c>
      <c r="F2709" s="25">
        <v>1558.95</v>
      </c>
      <c r="G2709" s="28">
        <f>IF(LEFT(D2709,6)="CLIENT",IF(E2709=0,WORKDAY(A2709-1,1,Dias_Sem_Compensacao!$A$2:$A$500),WORKDAY(A2709,E2709,Dias_Sem_Compensacao!$A$2:$A$500)),"")</f>
        <v>46317</v>
      </c>
      <c r="H2709" s="25">
        <v>0</v>
      </c>
      <c r="I2709" s="28">
        <v>46316</v>
      </c>
      <c r="J2709" t="s">
        <v>1350</v>
      </c>
      <c r="K2709" t="s">
        <v>1351</v>
      </c>
    </row>
    <row r="2710" spans="1:11" hidden="1">
      <c r="A2710" s="28">
        <v>46316</v>
      </c>
      <c r="B2710" t="s">
        <v>186</v>
      </c>
      <c r="C2710" t="s">
        <v>203</v>
      </c>
      <c r="D2710" t="s">
        <v>217</v>
      </c>
      <c r="E2710">
        <f>IF(LEFT(D2710,6)="CLIENT",IFERROR(VLOOKUP(C2710,Config_Carteiras!$A:$B,2,FALSE),1),"")</f>
        <v>1</v>
      </c>
      <c r="F2710" s="25">
        <v>1306</v>
      </c>
      <c r="G2710" s="28">
        <f>IF(LEFT(D2710,6)="CLIENT",IF(E2710=0,WORKDAY(A2710-1,1,Dias_Sem_Compensacao!$A$2:$A$500),WORKDAY(A2710,E2710,Dias_Sem_Compensacao!$A$2:$A$500)),"")</f>
        <v>46317</v>
      </c>
      <c r="H2710" s="25">
        <v>0</v>
      </c>
      <c r="I2710" s="28">
        <v>46316</v>
      </c>
      <c r="J2710" t="s">
        <v>1703</v>
      </c>
      <c r="K2710" t="s">
        <v>2591</v>
      </c>
    </row>
    <row r="2711" spans="1:11" hidden="1">
      <c r="A2711" s="28">
        <v>46316</v>
      </c>
      <c r="B2711" t="s">
        <v>186</v>
      </c>
      <c r="C2711" t="s">
        <v>203</v>
      </c>
      <c r="D2711" t="s">
        <v>217</v>
      </c>
      <c r="E2711">
        <f>IF(LEFT(D2711,6)="CLIENT",IFERROR(VLOOKUP(C2711,Config_Carteiras!$A:$B,2,FALSE),1),"")</f>
        <v>1</v>
      </c>
      <c r="F2711" s="25">
        <v>1071</v>
      </c>
      <c r="G2711" s="28">
        <f>IF(LEFT(D2711,6)="CLIENT",IF(E2711=0,WORKDAY(A2711-1,1,Dias_Sem_Compensacao!$A$2:$A$500),WORKDAY(A2711,E2711,Dias_Sem_Compensacao!$A$2:$A$500)),"")</f>
        <v>46317</v>
      </c>
      <c r="H2711" s="25">
        <v>0</v>
      </c>
      <c r="I2711" s="28">
        <v>46316</v>
      </c>
      <c r="J2711" t="s">
        <v>403</v>
      </c>
      <c r="K2711" t="s">
        <v>3085</v>
      </c>
    </row>
    <row r="2712" spans="1:11" hidden="1">
      <c r="A2712" s="28">
        <v>46316</v>
      </c>
      <c r="B2712" t="s">
        <v>186</v>
      </c>
      <c r="C2712" t="s">
        <v>203</v>
      </c>
      <c r="D2712" t="s">
        <v>217</v>
      </c>
      <c r="E2712">
        <f>IF(LEFT(D2712,6)="CLIENT",IFERROR(VLOOKUP(C2712,Config_Carteiras!$A:$B,2,FALSE),1),"")</f>
        <v>1</v>
      </c>
      <c r="F2712" s="25">
        <v>1126</v>
      </c>
      <c r="G2712" s="28">
        <f>IF(LEFT(D2712,6)="CLIENT",IF(E2712=0,WORKDAY(A2712-1,1,Dias_Sem_Compensacao!$A$2:$A$500),WORKDAY(A2712,E2712,Dias_Sem_Compensacao!$A$2:$A$500)),"")</f>
        <v>46317</v>
      </c>
      <c r="H2712" s="25">
        <v>0</v>
      </c>
      <c r="I2712" s="28">
        <v>46316</v>
      </c>
      <c r="J2712" t="s">
        <v>2592</v>
      </c>
      <c r="K2712" t="s">
        <v>2593</v>
      </c>
    </row>
    <row r="2713" spans="1:11" hidden="1">
      <c r="A2713" s="28">
        <v>46316</v>
      </c>
      <c r="B2713" t="s">
        <v>186</v>
      </c>
      <c r="C2713" t="s">
        <v>203</v>
      </c>
      <c r="D2713" t="s">
        <v>217</v>
      </c>
      <c r="E2713">
        <f>IF(LEFT(D2713,6)="CLIENT",IFERROR(VLOOKUP(C2713,Config_Carteiras!$A:$B,2,FALSE),1),"")</f>
        <v>1</v>
      </c>
      <c r="F2713" s="25">
        <v>1276</v>
      </c>
      <c r="G2713" s="28">
        <f>IF(LEFT(D2713,6)="CLIENT",IF(E2713=0,WORKDAY(A2713-1,1,Dias_Sem_Compensacao!$A$2:$A$500),WORKDAY(A2713,E2713,Dias_Sem_Compensacao!$A$2:$A$500)),"")</f>
        <v>46317</v>
      </c>
      <c r="H2713" s="25">
        <v>0</v>
      </c>
      <c r="I2713" s="28">
        <v>46316</v>
      </c>
      <c r="J2713" t="s">
        <v>3086</v>
      </c>
      <c r="K2713" t="s">
        <v>3087</v>
      </c>
    </row>
    <row r="2714" spans="1:11" hidden="1">
      <c r="A2714" s="28">
        <v>46316</v>
      </c>
      <c r="B2714" t="s">
        <v>186</v>
      </c>
      <c r="C2714" t="s">
        <v>203</v>
      </c>
      <c r="D2714" t="s">
        <v>217</v>
      </c>
      <c r="E2714">
        <f>IF(LEFT(D2714,6)="CLIENT",IFERROR(VLOOKUP(C2714,Config_Carteiras!$A:$B,2,FALSE),1),"")</f>
        <v>1</v>
      </c>
      <c r="F2714" s="25">
        <v>759</v>
      </c>
      <c r="G2714" s="28">
        <f>IF(LEFT(D2714,6)="CLIENT",IF(E2714=0,WORKDAY(A2714-1,1,Dias_Sem_Compensacao!$A$2:$A$500),WORKDAY(A2714,E2714,Dias_Sem_Compensacao!$A$2:$A$500)),"")</f>
        <v>46317</v>
      </c>
      <c r="H2714" s="25">
        <v>0</v>
      </c>
      <c r="I2714" s="28">
        <v>46316</v>
      </c>
      <c r="J2714" t="s">
        <v>3088</v>
      </c>
      <c r="K2714" t="s">
        <v>3089</v>
      </c>
    </row>
    <row r="2715" spans="1:11" hidden="1">
      <c r="A2715" s="28">
        <v>46316</v>
      </c>
      <c r="B2715" t="s">
        <v>186</v>
      </c>
      <c r="C2715" t="s">
        <v>203</v>
      </c>
      <c r="D2715" t="s">
        <v>217</v>
      </c>
      <c r="E2715">
        <f>IF(LEFT(D2715,6)="CLIENT",IFERROR(VLOOKUP(C2715,Config_Carteiras!$A:$B,2,FALSE),1),"")</f>
        <v>1</v>
      </c>
      <c r="F2715" s="25">
        <v>2082</v>
      </c>
      <c r="G2715" s="28">
        <f>IF(LEFT(D2715,6)="CLIENT",IF(E2715=0,WORKDAY(A2715-1,1,Dias_Sem_Compensacao!$A$2:$A$500),WORKDAY(A2715,E2715,Dias_Sem_Compensacao!$A$2:$A$500)),"")</f>
        <v>46317</v>
      </c>
      <c r="H2715" s="25">
        <v>0</v>
      </c>
      <c r="I2715" s="28">
        <v>46316</v>
      </c>
      <c r="J2715" t="s">
        <v>3090</v>
      </c>
      <c r="K2715" t="s">
        <v>3091</v>
      </c>
    </row>
    <row r="2716" spans="1:11" hidden="1">
      <c r="A2716" s="28">
        <v>46316</v>
      </c>
      <c r="B2716" t="s">
        <v>186</v>
      </c>
      <c r="C2716" t="s">
        <v>203</v>
      </c>
      <c r="D2716" t="s">
        <v>217</v>
      </c>
      <c r="E2716">
        <f>IF(LEFT(D2716,6)="CLIENT",IFERROR(VLOOKUP(C2716,Config_Carteiras!$A:$B,2,FALSE),1),"")</f>
        <v>1</v>
      </c>
      <c r="F2716" s="25">
        <v>1788.16</v>
      </c>
      <c r="G2716" s="28">
        <f>IF(LEFT(D2716,6)="CLIENT",IF(E2716=0,WORKDAY(A2716-1,1,Dias_Sem_Compensacao!$A$2:$A$500),WORKDAY(A2716,E2716,Dias_Sem_Compensacao!$A$2:$A$500)),"")</f>
        <v>46317</v>
      </c>
      <c r="H2716" s="25">
        <v>0</v>
      </c>
      <c r="I2716" s="28">
        <v>46316</v>
      </c>
      <c r="J2716" t="s">
        <v>3092</v>
      </c>
      <c r="K2716" t="s">
        <v>3093</v>
      </c>
    </row>
    <row r="2717" spans="1:11" hidden="1">
      <c r="A2717" s="28">
        <v>46316</v>
      </c>
      <c r="B2717" t="s">
        <v>186</v>
      </c>
      <c r="C2717" t="s">
        <v>203</v>
      </c>
      <c r="D2717" t="s">
        <v>217</v>
      </c>
      <c r="E2717">
        <f>IF(LEFT(D2717,6)="CLIENT",IFERROR(VLOOKUP(C2717,Config_Carteiras!$A:$B,2,FALSE),1),"")</f>
        <v>1</v>
      </c>
      <c r="F2717" s="25">
        <v>596</v>
      </c>
      <c r="G2717" s="28">
        <f>IF(LEFT(D2717,6)="CLIENT",IF(E2717=0,WORKDAY(A2717-1,1,Dias_Sem_Compensacao!$A$2:$A$500),WORKDAY(A2717,E2717,Dias_Sem_Compensacao!$A$2:$A$500)),"")</f>
        <v>46317</v>
      </c>
      <c r="H2717" s="25">
        <v>0</v>
      </c>
      <c r="I2717" s="28">
        <v>46316</v>
      </c>
      <c r="J2717" t="s">
        <v>2597</v>
      </c>
      <c r="K2717" t="s">
        <v>2598</v>
      </c>
    </row>
    <row r="2718" spans="1:11" hidden="1">
      <c r="A2718" s="28">
        <v>46316</v>
      </c>
      <c r="B2718" t="s">
        <v>186</v>
      </c>
      <c r="C2718" t="s">
        <v>203</v>
      </c>
      <c r="D2718" t="s">
        <v>217</v>
      </c>
      <c r="E2718">
        <f>IF(LEFT(D2718,6)="CLIENT",IFERROR(VLOOKUP(C2718,Config_Carteiras!$A:$B,2,FALSE),1),"")</f>
        <v>1</v>
      </c>
      <c r="F2718" s="25">
        <v>1853</v>
      </c>
      <c r="G2718" s="28">
        <f>IF(LEFT(D2718,6)="CLIENT",IF(E2718=0,WORKDAY(A2718-1,1,Dias_Sem_Compensacao!$A$2:$A$500),WORKDAY(A2718,E2718,Dias_Sem_Compensacao!$A$2:$A$500)),"")</f>
        <v>46317</v>
      </c>
      <c r="H2718" s="25">
        <v>0</v>
      </c>
      <c r="I2718" s="28">
        <v>46316</v>
      </c>
      <c r="J2718" t="s">
        <v>2060</v>
      </c>
      <c r="K2718" t="s">
        <v>2061</v>
      </c>
    </row>
    <row r="2719" spans="1:11" hidden="1">
      <c r="A2719" s="28">
        <v>46316</v>
      </c>
      <c r="B2719" t="s">
        <v>186</v>
      </c>
      <c r="C2719" t="s">
        <v>203</v>
      </c>
      <c r="D2719" t="s">
        <v>217</v>
      </c>
      <c r="E2719">
        <f>IF(LEFT(D2719,6)="CLIENT",IFERROR(VLOOKUP(C2719,Config_Carteiras!$A:$B,2,FALSE),1),"")</f>
        <v>1</v>
      </c>
      <c r="F2719" s="25">
        <v>629</v>
      </c>
      <c r="G2719" s="28">
        <f>IF(LEFT(D2719,6)="CLIENT",IF(E2719=0,WORKDAY(A2719-1,1,Dias_Sem_Compensacao!$A$2:$A$500),WORKDAY(A2719,E2719,Dias_Sem_Compensacao!$A$2:$A$500)),"")</f>
        <v>46317</v>
      </c>
      <c r="H2719" s="25">
        <v>0</v>
      </c>
      <c r="I2719" s="28">
        <v>46316</v>
      </c>
      <c r="J2719" t="s">
        <v>3094</v>
      </c>
      <c r="K2719" t="s">
        <v>3095</v>
      </c>
    </row>
    <row r="2720" spans="1:11" hidden="1">
      <c r="A2720" s="28">
        <v>46316</v>
      </c>
      <c r="B2720" t="s">
        <v>186</v>
      </c>
      <c r="C2720" t="s">
        <v>203</v>
      </c>
      <c r="D2720" t="s">
        <v>217</v>
      </c>
      <c r="E2720">
        <f>IF(LEFT(D2720,6)="CLIENT",IFERROR(VLOOKUP(C2720,Config_Carteiras!$A:$B,2,FALSE),1),"")</f>
        <v>1</v>
      </c>
      <c r="F2720" s="25">
        <v>1360.79</v>
      </c>
      <c r="G2720" s="28">
        <f>IF(LEFT(D2720,6)="CLIENT",IF(E2720=0,WORKDAY(A2720-1,1,Dias_Sem_Compensacao!$A$2:$A$500),WORKDAY(A2720,E2720,Dias_Sem_Compensacao!$A$2:$A$500)),"")</f>
        <v>46317</v>
      </c>
      <c r="H2720" s="25">
        <v>0</v>
      </c>
      <c r="I2720" s="28">
        <v>46316</v>
      </c>
      <c r="J2720" t="s">
        <v>2064</v>
      </c>
      <c r="K2720" t="s">
        <v>2065</v>
      </c>
    </row>
    <row r="2721" spans="1:11" hidden="1">
      <c r="A2721" s="28">
        <v>46316</v>
      </c>
      <c r="B2721" t="s">
        <v>186</v>
      </c>
      <c r="C2721" t="s">
        <v>203</v>
      </c>
      <c r="D2721" t="s">
        <v>217</v>
      </c>
      <c r="E2721">
        <f>IF(LEFT(D2721,6)="CLIENT",IFERROR(VLOOKUP(C2721,Config_Carteiras!$A:$B,2,FALSE),1),"")</f>
        <v>1</v>
      </c>
      <c r="F2721" s="25">
        <v>446.57</v>
      </c>
      <c r="G2721" s="28">
        <f>IF(LEFT(D2721,6)="CLIENT",IF(E2721=0,WORKDAY(A2721-1,1,Dias_Sem_Compensacao!$A$2:$A$500),WORKDAY(A2721,E2721,Dias_Sem_Compensacao!$A$2:$A$500)),"")</f>
        <v>46317</v>
      </c>
      <c r="H2721" s="25">
        <v>0</v>
      </c>
      <c r="I2721" s="28">
        <v>46316</v>
      </c>
      <c r="J2721" t="s">
        <v>2066</v>
      </c>
      <c r="K2721" t="s">
        <v>2067</v>
      </c>
    </row>
    <row r="2722" spans="1:11" hidden="1">
      <c r="A2722" s="28">
        <v>46316</v>
      </c>
      <c r="B2722" t="s">
        <v>186</v>
      </c>
      <c r="C2722" t="s">
        <v>203</v>
      </c>
      <c r="D2722" t="s">
        <v>217</v>
      </c>
      <c r="E2722">
        <f>IF(LEFT(D2722,6)="CLIENT",IFERROR(VLOOKUP(C2722,Config_Carteiras!$A:$B,2,FALSE),1),"")</f>
        <v>1</v>
      </c>
      <c r="F2722" s="25">
        <v>3825.85</v>
      </c>
      <c r="G2722" s="28">
        <f>IF(LEFT(D2722,6)="CLIENT",IF(E2722=0,WORKDAY(A2722-1,1,Dias_Sem_Compensacao!$A$2:$A$500),WORKDAY(A2722,E2722,Dias_Sem_Compensacao!$A$2:$A$500)),"")</f>
        <v>46317</v>
      </c>
      <c r="H2722" s="25">
        <v>0</v>
      </c>
      <c r="I2722" s="28">
        <v>46316</v>
      </c>
      <c r="J2722" t="s">
        <v>413</v>
      </c>
      <c r="K2722" t="s">
        <v>3096</v>
      </c>
    </row>
    <row r="2723" spans="1:11" hidden="1">
      <c r="A2723" s="28">
        <v>46316</v>
      </c>
      <c r="B2723" t="s">
        <v>186</v>
      </c>
      <c r="C2723" t="s">
        <v>203</v>
      </c>
      <c r="D2723" t="s">
        <v>217</v>
      </c>
      <c r="E2723">
        <f>IF(LEFT(D2723,6)="CLIENT",IFERROR(VLOOKUP(C2723,Config_Carteiras!$A:$B,2,FALSE),1),"")</f>
        <v>1</v>
      </c>
      <c r="F2723" s="25">
        <v>3983.41</v>
      </c>
      <c r="G2723" s="28">
        <f>IF(LEFT(D2723,6)="CLIENT",IF(E2723=0,WORKDAY(A2723-1,1,Dias_Sem_Compensacao!$A$2:$A$500),WORKDAY(A2723,E2723,Dias_Sem_Compensacao!$A$2:$A$500)),"")</f>
        <v>46317</v>
      </c>
      <c r="H2723" s="25">
        <v>0</v>
      </c>
      <c r="I2723" s="28">
        <v>46316</v>
      </c>
      <c r="K2723" t="s">
        <v>3097</v>
      </c>
    </row>
    <row r="2724" spans="1:11" hidden="1">
      <c r="A2724" s="28">
        <v>46316</v>
      </c>
      <c r="B2724" t="s">
        <v>186</v>
      </c>
      <c r="C2724" t="s">
        <v>203</v>
      </c>
      <c r="D2724" t="s">
        <v>217</v>
      </c>
      <c r="E2724">
        <f>IF(LEFT(D2724,6)="CLIENT",IFERROR(VLOOKUP(C2724,Config_Carteiras!$A:$B,2,FALSE),1),"")</f>
        <v>1</v>
      </c>
      <c r="F2724" s="25">
        <v>1216</v>
      </c>
      <c r="G2724" s="28">
        <f>IF(LEFT(D2724,6)="CLIENT",IF(E2724=0,WORKDAY(A2724-1,1,Dias_Sem_Compensacao!$A$2:$A$500),WORKDAY(A2724,E2724,Dias_Sem_Compensacao!$A$2:$A$500)),"")</f>
        <v>46317</v>
      </c>
      <c r="H2724" s="25">
        <v>0</v>
      </c>
      <c r="I2724" s="28">
        <v>46316</v>
      </c>
      <c r="K2724" t="s">
        <v>2068</v>
      </c>
    </row>
    <row r="2725" spans="1:11" hidden="1">
      <c r="A2725" s="28">
        <v>46316</v>
      </c>
      <c r="B2725" t="s">
        <v>186</v>
      </c>
      <c r="C2725" t="s">
        <v>203</v>
      </c>
      <c r="D2725" t="s">
        <v>217</v>
      </c>
      <c r="E2725">
        <f>IF(LEFT(D2725,6)="CLIENT",IFERROR(VLOOKUP(C2725,Config_Carteiras!$A:$B,2,FALSE),1),"")</f>
        <v>1</v>
      </c>
      <c r="F2725" s="25">
        <v>2778.28</v>
      </c>
      <c r="G2725" s="28">
        <f>IF(LEFT(D2725,6)="CLIENT",IF(E2725=0,WORKDAY(A2725-1,1,Dias_Sem_Compensacao!$A$2:$A$500),WORKDAY(A2725,E2725,Dias_Sem_Compensacao!$A$2:$A$500)),"")</f>
        <v>46317</v>
      </c>
      <c r="H2725" s="25">
        <v>0</v>
      </c>
      <c r="I2725" s="28">
        <v>46316</v>
      </c>
      <c r="J2725" t="s">
        <v>2599</v>
      </c>
      <c r="K2725" t="s">
        <v>2600</v>
      </c>
    </row>
    <row r="2726" spans="1:11" hidden="1">
      <c r="A2726" s="28">
        <v>46316</v>
      </c>
      <c r="B2726" t="s">
        <v>186</v>
      </c>
      <c r="C2726" t="s">
        <v>203</v>
      </c>
      <c r="D2726" t="s">
        <v>217</v>
      </c>
      <c r="E2726">
        <f>IF(LEFT(D2726,6)="CLIENT",IFERROR(VLOOKUP(C2726,Config_Carteiras!$A:$B,2,FALSE),1),"")</f>
        <v>1</v>
      </c>
      <c r="F2726" s="25">
        <v>2165.1</v>
      </c>
      <c r="G2726" s="28">
        <f>IF(LEFT(D2726,6)="CLIENT",IF(E2726=0,WORKDAY(A2726-1,1,Dias_Sem_Compensacao!$A$2:$A$500),WORKDAY(A2726,E2726,Dias_Sem_Compensacao!$A$2:$A$500)),"")</f>
        <v>46317</v>
      </c>
      <c r="H2726" s="25">
        <v>0</v>
      </c>
      <c r="I2726" s="28">
        <v>46316</v>
      </c>
      <c r="K2726" t="s">
        <v>2601</v>
      </c>
    </row>
    <row r="2727" spans="1:11" hidden="1">
      <c r="A2727" s="28">
        <v>46316</v>
      </c>
      <c r="B2727" t="s">
        <v>186</v>
      </c>
      <c r="C2727" t="s">
        <v>203</v>
      </c>
      <c r="D2727" t="s">
        <v>217</v>
      </c>
      <c r="E2727">
        <f>IF(LEFT(D2727,6)="CLIENT",IFERROR(VLOOKUP(C2727,Config_Carteiras!$A:$B,2,FALSE),1),"")</f>
        <v>1</v>
      </c>
      <c r="F2727" s="25">
        <v>2687.6</v>
      </c>
      <c r="G2727" s="28">
        <f>IF(LEFT(D2727,6)="CLIENT",IF(E2727=0,WORKDAY(A2727-1,1,Dias_Sem_Compensacao!$A$2:$A$500),WORKDAY(A2727,E2727,Dias_Sem_Compensacao!$A$2:$A$500)),"")</f>
        <v>46317</v>
      </c>
      <c r="H2727" s="25">
        <v>0</v>
      </c>
      <c r="I2727" s="28">
        <v>46316</v>
      </c>
      <c r="J2727" t="s">
        <v>3098</v>
      </c>
      <c r="K2727" t="s">
        <v>3099</v>
      </c>
    </row>
    <row r="2728" spans="1:11" hidden="1">
      <c r="A2728" s="28">
        <v>46316</v>
      </c>
      <c r="B2728" t="s">
        <v>186</v>
      </c>
      <c r="C2728" t="s">
        <v>203</v>
      </c>
      <c r="D2728" t="s">
        <v>217</v>
      </c>
      <c r="E2728">
        <f>IF(LEFT(D2728,6)="CLIENT",IFERROR(VLOOKUP(C2728,Config_Carteiras!$A:$B,2,FALSE),1),"")</f>
        <v>1</v>
      </c>
      <c r="F2728" s="25">
        <v>1998</v>
      </c>
      <c r="G2728" s="28">
        <f>IF(LEFT(D2728,6)="CLIENT",IF(E2728=0,WORKDAY(A2728-1,1,Dias_Sem_Compensacao!$A$2:$A$500),WORKDAY(A2728,E2728,Dias_Sem_Compensacao!$A$2:$A$500)),"")</f>
        <v>46317</v>
      </c>
      <c r="H2728" s="25">
        <v>0</v>
      </c>
      <c r="I2728" s="28">
        <v>46316</v>
      </c>
      <c r="J2728" t="s">
        <v>2194</v>
      </c>
      <c r="K2728" t="s">
        <v>3100</v>
      </c>
    </row>
    <row r="2729" spans="1:11" hidden="1">
      <c r="A2729" s="28">
        <v>46316</v>
      </c>
      <c r="B2729" t="s">
        <v>186</v>
      </c>
      <c r="C2729" t="s">
        <v>203</v>
      </c>
      <c r="D2729" t="s">
        <v>217</v>
      </c>
      <c r="E2729">
        <f>IF(LEFT(D2729,6)="CLIENT",IFERROR(VLOOKUP(C2729,Config_Carteiras!$A:$B,2,FALSE),1),"")</f>
        <v>1</v>
      </c>
      <c r="F2729" s="25">
        <v>758</v>
      </c>
      <c r="G2729" s="28">
        <f>IF(LEFT(D2729,6)="CLIENT",IF(E2729=0,WORKDAY(A2729-1,1,Dias_Sem_Compensacao!$A$2:$A$500),WORKDAY(A2729,E2729,Dias_Sem_Compensacao!$A$2:$A$500)),"")</f>
        <v>46317</v>
      </c>
      <c r="H2729" s="25">
        <v>0</v>
      </c>
      <c r="I2729" s="28">
        <v>46316</v>
      </c>
      <c r="J2729" t="s">
        <v>2069</v>
      </c>
      <c r="K2729" t="s">
        <v>2070</v>
      </c>
    </row>
    <row r="2730" spans="1:11" hidden="1">
      <c r="A2730" s="28">
        <v>46316</v>
      </c>
      <c r="B2730" t="s">
        <v>186</v>
      </c>
      <c r="C2730" t="s">
        <v>203</v>
      </c>
      <c r="D2730" t="s">
        <v>217</v>
      </c>
      <c r="E2730">
        <f>IF(LEFT(D2730,6)="CLIENT",IFERROR(VLOOKUP(C2730,Config_Carteiras!$A:$B,2,FALSE),1),"")</f>
        <v>1</v>
      </c>
      <c r="F2730" s="25">
        <v>314.5</v>
      </c>
      <c r="G2730" s="28">
        <f>IF(LEFT(D2730,6)="CLIENT",IF(E2730=0,WORKDAY(A2730-1,1,Dias_Sem_Compensacao!$A$2:$A$500),WORKDAY(A2730,E2730,Dias_Sem_Compensacao!$A$2:$A$500)),"")</f>
        <v>46317</v>
      </c>
      <c r="H2730" s="25">
        <v>0</v>
      </c>
      <c r="I2730" s="28">
        <v>46316</v>
      </c>
      <c r="J2730" t="s">
        <v>2071</v>
      </c>
      <c r="K2730" t="s">
        <v>2072</v>
      </c>
    </row>
    <row r="2731" spans="1:11" hidden="1">
      <c r="A2731" s="28">
        <v>46316</v>
      </c>
      <c r="B2731" t="s">
        <v>186</v>
      </c>
      <c r="C2731" t="s">
        <v>203</v>
      </c>
      <c r="D2731" t="s">
        <v>217</v>
      </c>
      <c r="E2731">
        <f>IF(LEFT(D2731,6)="CLIENT",IFERROR(VLOOKUP(C2731,Config_Carteiras!$A:$B,2,FALSE),1),"")</f>
        <v>1</v>
      </c>
      <c r="F2731" s="25">
        <v>495</v>
      </c>
      <c r="G2731" s="28">
        <f>IF(LEFT(D2731,6)="CLIENT",IF(E2731=0,WORKDAY(A2731-1,1,Dias_Sem_Compensacao!$A$2:$A$500),WORKDAY(A2731,E2731,Dias_Sem_Compensacao!$A$2:$A$500)),"")</f>
        <v>46317</v>
      </c>
      <c r="H2731" s="25">
        <v>0</v>
      </c>
      <c r="I2731" s="28">
        <v>46316</v>
      </c>
      <c r="J2731" t="s">
        <v>2073</v>
      </c>
      <c r="K2731" t="s">
        <v>2074</v>
      </c>
    </row>
    <row r="2732" spans="1:11" hidden="1">
      <c r="A2732" s="28">
        <v>46316</v>
      </c>
      <c r="B2732" t="s">
        <v>186</v>
      </c>
      <c r="C2732" t="s">
        <v>203</v>
      </c>
      <c r="D2732" t="s">
        <v>217</v>
      </c>
      <c r="E2732">
        <f>IF(LEFT(D2732,6)="CLIENT",IFERROR(VLOOKUP(C2732,Config_Carteiras!$A:$B,2,FALSE),1),"")</f>
        <v>1</v>
      </c>
      <c r="F2732" s="25">
        <v>4601</v>
      </c>
      <c r="G2732" s="28">
        <f>IF(LEFT(D2732,6)="CLIENT",IF(E2732=0,WORKDAY(A2732-1,1,Dias_Sem_Compensacao!$A$2:$A$500),WORKDAY(A2732,E2732,Dias_Sem_Compensacao!$A$2:$A$500)),"")</f>
        <v>46317</v>
      </c>
      <c r="H2732" s="25">
        <v>0</v>
      </c>
      <c r="I2732" s="28">
        <v>46316</v>
      </c>
      <c r="J2732" t="s">
        <v>3101</v>
      </c>
      <c r="K2732" t="s">
        <v>3102</v>
      </c>
    </row>
    <row r="2733" spans="1:11" hidden="1">
      <c r="A2733" s="28">
        <v>46316</v>
      </c>
      <c r="B2733" t="s">
        <v>186</v>
      </c>
      <c r="C2733" t="s">
        <v>203</v>
      </c>
      <c r="D2733" t="s">
        <v>217</v>
      </c>
      <c r="E2733">
        <f>IF(LEFT(D2733,6)="CLIENT",IFERROR(VLOOKUP(C2733,Config_Carteiras!$A:$B,2,FALSE),1),"")</f>
        <v>1</v>
      </c>
      <c r="F2733" s="25">
        <v>1343</v>
      </c>
      <c r="G2733" s="28">
        <f>IF(LEFT(D2733,6)="CLIENT",IF(E2733=0,WORKDAY(A2733-1,1,Dias_Sem_Compensacao!$A$2:$A$500),WORKDAY(A2733,E2733,Dias_Sem_Compensacao!$A$2:$A$500)),"")</f>
        <v>46317</v>
      </c>
      <c r="H2733" s="25">
        <v>0</v>
      </c>
      <c r="I2733" s="28">
        <v>46316</v>
      </c>
      <c r="J2733" t="s">
        <v>2602</v>
      </c>
      <c r="K2733" t="s">
        <v>2603</v>
      </c>
    </row>
    <row r="2734" spans="1:11" hidden="1">
      <c r="A2734" s="28">
        <v>46316</v>
      </c>
      <c r="B2734" t="s">
        <v>186</v>
      </c>
      <c r="C2734" t="s">
        <v>203</v>
      </c>
      <c r="D2734" t="s">
        <v>217</v>
      </c>
      <c r="E2734">
        <f>IF(LEFT(D2734,6)="CLIENT",IFERROR(VLOOKUP(C2734,Config_Carteiras!$A:$B,2,FALSE),1),"")</f>
        <v>1</v>
      </c>
      <c r="F2734" s="25">
        <v>706</v>
      </c>
      <c r="G2734" s="28">
        <f>IF(LEFT(D2734,6)="CLIENT",IF(E2734=0,WORKDAY(A2734-1,1,Dias_Sem_Compensacao!$A$2:$A$500),WORKDAY(A2734,E2734,Dias_Sem_Compensacao!$A$2:$A$500)),"")</f>
        <v>46317</v>
      </c>
      <c r="H2734" s="25">
        <v>0</v>
      </c>
      <c r="I2734" s="28">
        <v>46316</v>
      </c>
      <c r="J2734" t="s">
        <v>723</v>
      </c>
      <c r="K2734" t="s">
        <v>3103</v>
      </c>
    </row>
    <row r="2735" spans="1:11" hidden="1">
      <c r="A2735" s="28">
        <v>46316</v>
      </c>
      <c r="B2735" t="s">
        <v>186</v>
      </c>
      <c r="C2735" t="s">
        <v>203</v>
      </c>
      <c r="D2735" t="s">
        <v>217</v>
      </c>
      <c r="E2735">
        <f>IF(LEFT(D2735,6)="CLIENT",IFERROR(VLOOKUP(C2735,Config_Carteiras!$A:$B,2,FALSE),1),"")</f>
        <v>1</v>
      </c>
      <c r="F2735" s="25">
        <v>1094.95</v>
      </c>
      <c r="G2735" s="28">
        <f>IF(LEFT(D2735,6)="CLIENT",IF(E2735=0,WORKDAY(A2735-1,1,Dias_Sem_Compensacao!$A$2:$A$500),WORKDAY(A2735,E2735,Dias_Sem_Compensacao!$A$2:$A$500)),"")</f>
        <v>46317</v>
      </c>
      <c r="H2735" s="25">
        <v>0</v>
      </c>
      <c r="I2735" s="28">
        <v>46316</v>
      </c>
      <c r="J2735" t="s">
        <v>2604</v>
      </c>
      <c r="K2735" t="s">
        <v>2605</v>
      </c>
    </row>
    <row r="2736" spans="1:11" hidden="1">
      <c r="A2736" s="28">
        <v>46316</v>
      </c>
      <c r="B2736" t="s">
        <v>186</v>
      </c>
      <c r="C2736" t="s">
        <v>203</v>
      </c>
      <c r="D2736" t="s">
        <v>217</v>
      </c>
      <c r="E2736">
        <f>IF(LEFT(D2736,6)="CLIENT",IFERROR(VLOOKUP(C2736,Config_Carteiras!$A:$B,2,FALSE),1),"")</f>
        <v>1</v>
      </c>
      <c r="F2736" s="25">
        <v>11424</v>
      </c>
      <c r="G2736" s="28">
        <f>IF(LEFT(D2736,6)="CLIENT",IF(E2736=0,WORKDAY(A2736-1,1,Dias_Sem_Compensacao!$A$2:$A$500),WORKDAY(A2736,E2736,Dias_Sem_Compensacao!$A$2:$A$500)),"")</f>
        <v>46317</v>
      </c>
      <c r="H2736" s="25">
        <v>0</v>
      </c>
      <c r="I2736" s="28">
        <v>46316</v>
      </c>
      <c r="J2736" t="s">
        <v>3104</v>
      </c>
      <c r="K2736" t="s">
        <v>3105</v>
      </c>
    </row>
    <row r="2737" spans="1:11" hidden="1">
      <c r="A2737" s="28">
        <v>46316</v>
      </c>
      <c r="B2737" t="s">
        <v>186</v>
      </c>
      <c r="C2737" t="s">
        <v>203</v>
      </c>
      <c r="D2737" t="s">
        <v>217</v>
      </c>
      <c r="E2737">
        <f>IF(LEFT(D2737,6)="CLIENT",IFERROR(VLOOKUP(C2737,Config_Carteiras!$A:$B,2,FALSE),1),"")</f>
        <v>1</v>
      </c>
      <c r="F2737" s="25">
        <v>1085</v>
      </c>
      <c r="G2737" s="28">
        <f>IF(LEFT(D2737,6)="CLIENT",IF(E2737=0,WORKDAY(A2737-1,1,Dias_Sem_Compensacao!$A$2:$A$500),WORKDAY(A2737,E2737,Dias_Sem_Compensacao!$A$2:$A$500)),"")</f>
        <v>46317</v>
      </c>
      <c r="H2737" s="25">
        <v>0</v>
      </c>
      <c r="I2737" s="28">
        <v>46316</v>
      </c>
      <c r="K2737" t="s">
        <v>3106</v>
      </c>
    </row>
    <row r="2738" spans="1:11" hidden="1">
      <c r="A2738" s="28">
        <v>46316</v>
      </c>
      <c r="B2738" t="s">
        <v>186</v>
      </c>
      <c r="C2738" t="s">
        <v>203</v>
      </c>
      <c r="D2738" t="s">
        <v>217</v>
      </c>
      <c r="E2738">
        <f>IF(LEFT(D2738,6)="CLIENT",IFERROR(VLOOKUP(C2738,Config_Carteiras!$A:$B,2,FALSE),1),"")</f>
        <v>1</v>
      </c>
      <c r="F2738" s="25">
        <v>2858.99</v>
      </c>
      <c r="G2738" s="28">
        <f>IF(LEFT(D2738,6)="CLIENT",IF(E2738=0,WORKDAY(A2738-1,1,Dias_Sem_Compensacao!$A$2:$A$500),WORKDAY(A2738,E2738,Dias_Sem_Compensacao!$A$2:$A$500)),"")</f>
        <v>46317</v>
      </c>
      <c r="H2738" s="25">
        <v>0</v>
      </c>
      <c r="I2738" s="28">
        <v>46316</v>
      </c>
      <c r="J2738" t="s">
        <v>2608</v>
      </c>
      <c r="K2738" t="s">
        <v>2609</v>
      </c>
    </row>
    <row r="2739" spans="1:11" hidden="1">
      <c r="A2739" s="28">
        <v>46316</v>
      </c>
      <c r="B2739" t="s">
        <v>186</v>
      </c>
      <c r="C2739" t="s">
        <v>203</v>
      </c>
      <c r="D2739" t="s">
        <v>217</v>
      </c>
      <c r="E2739">
        <f>IF(LEFT(D2739,6)="CLIENT",IFERROR(VLOOKUP(C2739,Config_Carteiras!$A:$B,2,FALSE),1),"")</f>
        <v>1</v>
      </c>
      <c r="F2739" s="25">
        <v>3930.72</v>
      </c>
      <c r="G2739" s="28">
        <f>IF(LEFT(D2739,6)="CLIENT",IF(E2739=0,WORKDAY(A2739-1,1,Dias_Sem_Compensacao!$A$2:$A$500),WORKDAY(A2739,E2739,Dias_Sem_Compensacao!$A$2:$A$500)),"")</f>
        <v>46317</v>
      </c>
      <c r="H2739" s="25">
        <v>0</v>
      </c>
      <c r="I2739" s="28">
        <v>46316</v>
      </c>
      <c r="J2739" t="s">
        <v>1365</v>
      </c>
      <c r="K2739" t="s">
        <v>3107</v>
      </c>
    </row>
    <row r="2740" spans="1:11" hidden="1">
      <c r="A2740" s="28">
        <v>46316</v>
      </c>
      <c r="B2740" t="s">
        <v>186</v>
      </c>
      <c r="C2740" t="s">
        <v>203</v>
      </c>
      <c r="D2740" t="s">
        <v>217</v>
      </c>
      <c r="E2740">
        <f>IF(LEFT(D2740,6)="CLIENT",IFERROR(VLOOKUP(C2740,Config_Carteiras!$A:$B,2,FALSE),1),"")</f>
        <v>1</v>
      </c>
      <c r="F2740" s="25">
        <v>1999.98</v>
      </c>
      <c r="G2740" s="28">
        <f>IF(LEFT(D2740,6)="CLIENT",IF(E2740=0,WORKDAY(A2740-1,1,Dias_Sem_Compensacao!$A$2:$A$500),WORKDAY(A2740,E2740,Dias_Sem_Compensacao!$A$2:$A$500)),"")</f>
        <v>46317</v>
      </c>
      <c r="H2740" s="25">
        <v>0</v>
      </c>
      <c r="I2740" s="28">
        <v>46316</v>
      </c>
      <c r="J2740" t="s">
        <v>2081</v>
      </c>
      <c r="K2740" t="s">
        <v>2082</v>
      </c>
    </row>
    <row r="2741" spans="1:11" hidden="1">
      <c r="A2741" s="28">
        <v>46316</v>
      </c>
      <c r="B2741" t="s">
        <v>186</v>
      </c>
      <c r="C2741" t="s">
        <v>203</v>
      </c>
      <c r="D2741" t="s">
        <v>217</v>
      </c>
      <c r="E2741">
        <f>IF(LEFT(D2741,6)="CLIENT",IFERROR(VLOOKUP(C2741,Config_Carteiras!$A:$B,2,FALSE),1),"")</f>
        <v>1</v>
      </c>
      <c r="F2741" s="25">
        <v>1528.2</v>
      </c>
      <c r="G2741" s="28">
        <f>IF(LEFT(D2741,6)="CLIENT",IF(E2741=0,WORKDAY(A2741-1,1,Dias_Sem_Compensacao!$A$2:$A$500),WORKDAY(A2741,E2741,Dias_Sem_Compensacao!$A$2:$A$500)),"")</f>
        <v>46317</v>
      </c>
      <c r="H2741" s="25">
        <v>0</v>
      </c>
      <c r="I2741" s="28">
        <v>46316</v>
      </c>
      <c r="J2741" t="s">
        <v>896</v>
      </c>
      <c r="K2741" t="s">
        <v>3108</v>
      </c>
    </row>
    <row r="2742" spans="1:11" hidden="1">
      <c r="A2742" s="28">
        <v>46316</v>
      </c>
      <c r="B2742" t="s">
        <v>186</v>
      </c>
      <c r="C2742" t="s">
        <v>203</v>
      </c>
      <c r="D2742" t="s">
        <v>217</v>
      </c>
      <c r="E2742">
        <f>IF(LEFT(D2742,6)="CLIENT",IFERROR(VLOOKUP(C2742,Config_Carteiras!$A:$B,2,FALSE),1),"")</f>
        <v>1</v>
      </c>
      <c r="F2742" s="25">
        <v>551</v>
      </c>
      <c r="G2742" s="28">
        <f>IF(LEFT(D2742,6)="CLIENT",IF(E2742=0,WORKDAY(A2742-1,1,Dias_Sem_Compensacao!$A$2:$A$500),WORKDAY(A2742,E2742,Dias_Sem_Compensacao!$A$2:$A$500)),"")</f>
        <v>46317</v>
      </c>
      <c r="H2742" s="25">
        <v>0</v>
      </c>
      <c r="I2742" s="28">
        <v>46316</v>
      </c>
      <c r="J2742" t="s">
        <v>2614</v>
      </c>
      <c r="K2742" t="s">
        <v>2615</v>
      </c>
    </row>
    <row r="2743" spans="1:11" hidden="1">
      <c r="A2743" s="28">
        <v>46316</v>
      </c>
      <c r="B2743" t="s">
        <v>186</v>
      </c>
      <c r="C2743" t="s">
        <v>203</v>
      </c>
      <c r="D2743" t="s">
        <v>217</v>
      </c>
      <c r="E2743">
        <f>IF(LEFT(D2743,6)="CLIENT",IFERROR(VLOOKUP(C2743,Config_Carteiras!$A:$B,2,FALSE),1),"")</f>
        <v>1</v>
      </c>
      <c r="F2743" s="25">
        <v>1435</v>
      </c>
      <c r="G2743" s="28">
        <f>IF(LEFT(D2743,6)="CLIENT",IF(E2743=0,WORKDAY(A2743-1,1,Dias_Sem_Compensacao!$A$2:$A$500),WORKDAY(A2743,E2743,Dias_Sem_Compensacao!$A$2:$A$500)),"")</f>
        <v>46317</v>
      </c>
      <c r="H2743" s="25">
        <v>0</v>
      </c>
      <c r="I2743" s="28">
        <v>46316</v>
      </c>
      <c r="J2743" t="s">
        <v>3109</v>
      </c>
      <c r="K2743" t="s">
        <v>3110</v>
      </c>
    </row>
    <row r="2744" spans="1:11" hidden="1">
      <c r="A2744" s="28">
        <v>46316</v>
      </c>
      <c r="B2744" t="s">
        <v>186</v>
      </c>
      <c r="C2744" t="s">
        <v>203</v>
      </c>
      <c r="D2744" t="s">
        <v>217</v>
      </c>
      <c r="E2744">
        <f>IF(LEFT(D2744,6)="CLIENT",IFERROR(VLOOKUP(C2744,Config_Carteiras!$A:$B,2,FALSE),1),"")</f>
        <v>1</v>
      </c>
      <c r="F2744" s="25">
        <v>2988</v>
      </c>
      <c r="G2744" s="28">
        <f>IF(LEFT(D2744,6)="CLIENT",IF(E2744=0,WORKDAY(A2744-1,1,Dias_Sem_Compensacao!$A$2:$A$500),WORKDAY(A2744,E2744,Dias_Sem_Compensacao!$A$2:$A$500)),"")</f>
        <v>46317</v>
      </c>
      <c r="H2744" s="25">
        <v>0</v>
      </c>
      <c r="I2744" s="28">
        <v>46316</v>
      </c>
      <c r="J2744" t="s">
        <v>3111</v>
      </c>
      <c r="K2744" t="s">
        <v>3112</v>
      </c>
    </row>
    <row r="2745" spans="1:11" hidden="1">
      <c r="A2745" s="28">
        <v>46316</v>
      </c>
      <c r="B2745" t="s">
        <v>186</v>
      </c>
      <c r="C2745" t="s">
        <v>203</v>
      </c>
      <c r="D2745" t="s">
        <v>217</v>
      </c>
      <c r="E2745">
        <f>IF(LEFT(D2745,6)="CLIENT",IFERROR(VLOOKUP(C2745,Config_Carteiras!$A:$B,2,FALSE),1),"")</f>
        <v>1</v>
      </c>
      <c r="F2745" s="25">
        <v>1036</v>
      </c>
      <c r="G2745" s="28">
        <f>IF(LEFT(D2745,6)="CLIENT",IF(E2745=0,WORKDAY(A2745-1,1,Dias_Sem_Compensacao!$A$2:$A$500),WORKDAY(A2745,E2745,Dias_Sem_Compensacao!$A$2:$A$500)),"")</f>
        <v>46317</v>
      </c>
      <c r="H2745" s="25">
        <v>0</v>
      </c>
      <c r="I2745" s="28">
        <v>46316</v>
      </c>
      <c r="J2745" t="s">
        <v>2616</v>
      </c>
      <c r="K2745" t="s">
        <v>2617</v>
      </c>
    </row>
    <row r="2746" spans="1:11" hidden="1">
      <c r="A2746" s="28">
        <v>46316</v>
      </c>
      <c r="B2746" t="s">
        <v>186</v>
      </c>
      <c r="C2746" t="s">
        <v>203</v>
      </c>
      <c r="D2746" t="s">
        <v>217</v>
      </c>
      <c r="E2746">
        <f>IF(LEFT(D2746,6)="CLIENT",IFERROR(VLOOKUP(C2746,Config_Carteiras!$A:$B,2,FALSE),1),"")</f>
        <v>1</v>
      </c>
      <c r="F2746" s="25">
        <v>780</v>
      </c>
      <c r="G2746" s="28">
        <f>IF(LEFT(D2746,6)="CLIENT",IF(E2746=0,WORKDAY(A2746-1,1,Dias_Sem_Compensacao!$A$2:$A$500),WORKDAY(A2746,E2746,Dias_Sem_Compensacao!$A$2:$A$500)),"")</f>
        <v>46317</v>
      </c>
      <c r="H2746" s="25">
        <v>0</v>
      </c>
      <c r="I2746" s="28">
        <v>46316</v>
      </c>
      <c r="J2746" t="s">
        <v>2620</v>
      </c>
      <c r="K2746" t="s">
        <v>2621</v>
      </c>
    </row>
    <row r="2747" spans="1:11" hidden="1">
      <c r="A2747" s="28">
        <v>46316</v>
      </c>
      <c r="B2747" t="s">
        <v>186</v>
      </c>
      <c r="C2747" t="s">
        <v>203</v>
      </c>
      <c r="D2747" t="s">
        <v>217</v>
      </c>
      <c r="E2747">
        <f>IF(LEFT(D2747,6)="CLIENT",IFERROR(VLOOKUP(C2747,Config_Carteiras!$A:$B,2,FALSE),1),"")</f>
        <v>1</v>
      </c>
      <c r="F2747" s="25">
        <v>841.5</v>
      </c>
      <c r="G2747" s="28">
        <f>IF(LEFT(D2747,6)="CLIENT",IF(E2747=0,WORKDAY(A2747-1,1,Dias_Sem_Compensacao!$A$2:$A$500),WORKDAY(A2747,E2747,Dias_Sem_Compensacao!$A$2:$A$500)),"")</f>
        <v>46317</v>
      </c>
      <c r="H2747" s="25">
        <v>0</v>
      </c>
      <c r="I2747" s="28">
        <v>46316</v>
      </c>
      <c r="J2747" t="s">
        <v>421</v>
      </c>
      <c r="K2747" t="s">
        <v>3113</v>
      </c>
    </row>
    <row r="2748" spans="1:11" hidden="1">
      <c r="A2748" s="28">
        <v>46316</v>
      </c>
      <c r="B2748" t="s">
        <v>186</v>
      </c>
      <c r="C2748" t="s">
        <v>203</v>
      </c>
      <c r="D2748" t="s">
        <v>217</v>
      </c>
      <c r="E2748">
        <f>IF(LEFT(D2748,6)="CLIENT",IFERROR(VLOOKUP(C2748,Config_Carteiras!$A:$B,2,FALSE),1),"")</f>
        <v>1</v>
      </c>
      <c r="F2748" s="25">
        <v>1008.57</v>
      </c>
      <c r="G2748" s="28">
        <f>IF(LEFT(D2748,6)="CLIENT",IF(E2748=0,WORKDAY(A2748-1,1,Dias_Sem_Compensacao!$A$2:$A$500),WORKDAY(A2748,E2748,Dias_Sem_Compensacao!$A$2:$A$500)),"")</f>
        <v>46317</v>
      </c>
      <c r="H2748" s="25">
        <v>0</v>
      </c>
      <c r="I2748" s="28">
        <v>46316</v>
      </c>
      <c r="J2748" t="s">
        <v>2089</v>
      </c>
      <c r="K2748" t="s">
        <v>2090</v>
      </c>
    </row>
    <row r="2749" spans="1:11" hidden="1">
      <c r="A2749" s="28">
        <v>46316</v>
      </c>
      <c r="B2749" t="s">
        <v>186</v>
      </c>
      <c r="C2749" t="s">
        <v>203</v>
      </c>
      <c r="D2749" t="s">
        <v>217</v>
      </c>
      <c r="E2749">
        <f>IF(LEFT(D2749,6)="CLIENT",IFERROR(VLOOKUP(C2749,Config_Carteiras!$A:$B,2,FALSE),1),"")</f>
        <v>1</v>
      </c>
      <c r="F2749" s="25">
        <v>3199</v>
      </c>
      <c r="G2749" s="28">
        <f>IF(LEFT(D2749,6)="CLIENT",IF(E2749=0,WORKDAY(A2749-1,1,Dias_Sem_Compensacao!$A$2:$A$500),WORKDAY(A2749,E2749,Dias_Sem_Compensacao!$A$2:$A$500)),"")</f>
        <v>46317</v>
      </c>
      <c r="H2749" s="25">
        <v>0</v>
      </c>
      <c r="I2749" s="28">
        <v>46316</v>
      </c>
      <c r="J2749" t="s">
        <v>2091</v>
      </c>
      <c r="K2749" t="s">
        <v>2092</v>
      </c>
    </row>
    <row r="2750" spans="1:11" hidden="1">
      <c r="A2750" s="28">
        <v>46316</v>
      </c>
      <c r="B2750" t="s">
        <v>186</v>
      </c>
      <c r="C2750" t="s">
        <v>203</v>
      </c>
      <c r="D2750" t="s">
        <v>217</v>
      </c>
      <c r="E2750">
        <f>IF(LEFT(D2750,6)="CLIENT",IFERROR(VLOOKUP(C2750,Config_Carteiras!$A:$B,2,FALSE),1),"")</f>
        <v>1</v>
      </c>
      <c r="F2750" s="25">
        <v>419</v>
      </c>
      <c r="G2750" s="28">
        <f>IF(LEFT(D2750,6)="CLIENT",IF(E2750=0,WORKDAY(A2750-1,1,Dias_Sem_Compensacao!$A$2:$A$500),WORKDAY(A2750,E2750,Dias_Sem_Compensacao!$A$2:$A$500)),"")</f>
        <v>46317</v>
      </c>
      <c r="H2750" s="25">
        <v>0</v>
      </c>
      <c r="I2750" s="28">
        <v>46316</v>
      </c>
      <c r="K2750" t="s">
        <v>2622</v>
      </c>
    </row>
    <row r="2751" spans="1:11" hidden="1">
      <c r="A2751" s="28">
        <v>46316</v>
      </c>
      <c r="B2751" t="s">
        <v>186</v>
      </c>
      <c r="C2751" t="s">
        <v>203</v>
      </c>
      <c r="D2751" t="s">
        <v>217</v>
      </c>
      <c r="E2751">
        <f>IF(LEFT(D2751,6)="CLIENT",IFERROR(VLOOKUP(C2751,Config_Carteiras!$A:$B,2,FALSE),1),"")</f>
        <v>1</v>
      </c>
      <c r="F2751" s="25">
        <v>772</v>
      </c>
      <c r="G2751" s="28">
        <f>IF(LEFT(D2751,6)="CLIENT",IF(E2751=0,WORKDAY(A2751-1,1,Dias_Sem_Compensacao!$A$2:$A$500),WORKDAY(A2751,E2751,Dias_Sem_Compensacao!$A$2:$A$500)),"")</f>
        <v>46317</v>
      </c>
      <c r="H2751" s="25">
        <v>0</v>
      </c>
      <c r="I2751" s="28">
        <v>46316</v>
      </c>
      <c r="J2751" t="s">
        <v>1558</v>
      </c>
      <c r="K2751" t="s">
        <v>3114</v>
      </c>
    </row>
    <row r="2752" spans="1:11" hidden="1">
      <c r="A2752" s="28">
        <v>46316</v>
      </c>
      <c r="B2752" t="s">
        <v>186</v>
      </c>
      <c r="C2752" t="s">
        <v>203</v>
      </c>
      <c r="D2752" t="s">
        <v>217</v>
      </c>
      <c r="E2752">
        <f>IF(LEFT(D2752,6)="CLIENT",IFERROR(VLOOKUP(C2752,Config_Carteiras!$A:$B,2,FALSE),1),"")</f>
        <v>1</v>
      </c>
      <c r="F2752" s="25">
        <v>899</v>
      </c>
      <c r="G2752" s="28">
        <f>IF(LEFT(D2752,6)="CLIENT",IF(E2752=0,WORKDAY(A2752-1,1,Dias_Sem_Compensacao!$A$2:$A$500),WORKDAY(A2752,E2752,Dias_Sem_Compensacao!$A$2:$A$500)),"")</f>
        <v>46317</v>
      </c>
      <c r="H2752" s="25">
        <v>0</v>
      </c>
      <c r="I2752" s="28">
        <v>46316</v>
      </c>
      <c r="J2752" t="s">
        <v>2627</v>
      </c>
      <c r="K2752" t="s">
        <v>2628</v>
      </c>
    </row>
    <row r="2753" spans="1:11" hidden="1">
      <c r="A2753" s="28">
        <v>46316</v>
      </c>
      <c r="B2753" t="s">
        <v>186</v>
      </c>
      <c r="C2753" t="s">
        <v>203</v>
      </c>
      <c r="D2753" t="s">
        <v>217</v>
      </c>
      <c r="E2753">
        <f>IF(LEFT(D2753,6)="CLIENT",IFERROR(VLOOKUP(C2753,Config_Carteiras!$A:$B,2,FALSE),1),"")</f>
        <v>1</v>
      </c>
      <c r="F2753" s="25">
        <v>1978</v>
      </c>
      <c r="G2753" s="28">
        <f>IF(LEFT(D2753,6)="CLIENT",IF(E2753=0,WORKDAY(A2753-1,1,Dias_Sem_Compensacao!$A$2:$A$500),WORKDAY(A2753,E2753,Dias_Sem_Compensacao!$A$2:$A$500)),"")</f>
        <v>46317</v>
      </c>
      <c r="H2753" s="25">
        <v>0</v>
      </c>
      <c r="I2753" s="28">
        <v>46316</v>
      </c>
      <c r="J2753" t="s">
        <v>316</v>
      </c>
      <c r="K2753" t="s">
        <v>2629</v>
      </c>
    </row>
    <row r="2754" spans="1:11" hidden="1">
      <c r="A2754" s="28">
        <v>46316</v>
      </c>
      <c r="B2754" t="s">
        <v>186</v>
      </c>
      <c r="C2754" t="s">
        <v>203</v>
      </c>
      <c r="D2754" t="s">
        <v>217</v>
      </c>
      <c r="E2754">
        <f>IF(LEFT(D2754,6)="CLIENT",IFERROR(VLOOKUP(C2754,Config_Carteiras!$A:$B,2,FALSE),1),"")</f>
        <v>1</v>
      </c>
      <c r="F2754" s="25">
        <v>1006.5</v>
      </c>
      <c r="G2754" s="28">
        <f>IF(LEFT(D2754,6)="CLIENT",IF(E2754=0,WORKDAY(A2754-1,1,Dias_Sem_Compensacao!$A$2:$A$500),WORKDAY(A2754,E2754,Dias_Sem_Compensacao!$A$2:$A$500)),"")</f>
        <v>46317</v>
      </c>
      <c r="H2754" s="25">
        <v>0</v>
      </c>
      <c r="I2754" s="28">
        <v>46316</v>
      </c>
      <c r="J2754" t="s">
        <v>2094</v>
      </c>
      <c r="K2754" t="s">
        <v>2630</v>
      </c>
    </row>
    <row r="2755" spans="1:11" hidden="1">
      <c r="A2755" s="28">
        <v>46316</v>
      </c>
      <c r="B2755" t="s">
        <v>186</v>
      </c>
      <c r="C2755" t="s">
        <v>203</v>
      </c>
      <c r="D2755" t="s">
        <v>217</v>
      </c>
      <c r="E2755">
        <f>IF(LEFT(D2755,6)="CLIENT",IFERROR(VLOOKUP(C2755,Config_Carteiras!$A:$B,2,FALSE),1),"")</f>
        <v>1</v>
      </c>
      <c r="F2755" s="25">
        <v>1447.25</v>
      </c>
      <c r="G2755" s="28">
        <f>IF(LEFT(D2755,6)="CLIENT",IF(E2755=0,WORKDAY(A2755-1,1,Dias_Sem_Compensacao!$A$2:$A$500),WORKDAY(A2755,E2755,Dias_Sem_Compensacao!$A$2:$A$500)),"")</f>
        <v>46317</v>
      </c>
      <c r="H2755" s="25">
        <v>0</v>
      </c>
      <c r="I2755" s="28">
        <v>46316</v>
      </c>
      <c r="J2755" t="s">
        <v>2096</v>
      </c>
      <c r="K2755" t="s">
        <v>2097</v>
      </c>
    </row>
    <row r="2756" spans="1:11" hidden="1">
      <c r="A2756" s="28">
        <v>46316</v>
      </c>
      <c r="B2756" t="s">
        <v>186</v>
      </c>
      <c r="C2756" t="s">
        <v>203</v>
      </c>
      <c r="D2756" t="s">
        <v>217</v>
      </c>
      <c r="E2756">
        <f>IF(LEFT(D2756,6)="CLIENT",IFERROR(VLOOKUP(C2756,Config_Carteiras!$A:$B,2,FALSE),1),"")</f>
        <v>1</v>
      </c>
      <c r="F2756" s="25">
        <v>734</v>
      </c>
      <c r="G2756" s="28">
        <f>IF(LEFT(D2756,6)="CLIENT",IF(E2756=0,WORKDAY(A2756-1,1,Dias_Sem_Compensacao!$A$2:$A$500),WORKDAY(A2756,E2756,Dias_Sem_Compensacao!$A$2:$A$500)),"")</f>
        <v>46317</v>
      </c>
      <c r="H2756" s="25">
        <v>0</v>
      </c>
      <c r="I2756" s="28">
        <v>46316</v>
      </c>
      <c r="J2756" t="s">
        <v>3115</v>
      </c>
      <c r="K2756" t="s">
        <v>3116</v>
      </c>
    </row>
    <row r="2757" spans="1:11" hidden="1">
      <c r="A2757" s="28">
        <v>46316</v>
      </c>
      <c r="B2757" t="s">
        <v>186</v>
      </c>
      <c r="C2757" t="s">
        <v>203</v>
      </c>
      <c r="D2757" t="s">
        <v>217</v>
      </c>
      <c r="E2757">
        <f>IF(LEFT(D2757,6)="CLIENT",IFERROR(VLOOKUP(C2757,Config_Carteiras!$A:$B,2,FALSE),1),"")</f>
        <v>1</v>
      </c>
      <c r="F2757" s="25">
        <v>789.2</v>
      </c>
      <c r="G2757" s="28">
        <f>IF(LEFT(D2757,6)="CLIENT",IF(E2757=0,WORKDAY(A2757-1,1,Dias_Sem_Compensacao!$A$2:$A$500),WORKDAY(A2757,E2757,Dias_Sem_Compensacao!$A$2:$A$500)),"")</f>
        <v>46317</v>
      </c>
      <c r="H2757" s="25">
        <v>0</v>
      </c>
      <c r="I2757" s="28">
        <v>46316</v>
      </c>
      <c r="J2757" t="s">
        <v>3117</v>
      </c>
      <c r="K2757" t="s">
        <v>3118</v>
      </c>
    </row>
    <row r="2758" spans="1:11" hidden="1">
      <c r="A2758" s="28">
        <v>46316</v>
      </c>
      <c r="B2758" t="s">
        <v>186</v>
      </c>
      <c r="C2758" t="s">
        <v>203</v>
      </c>
      <c r="D2758" t="s">
        <v>217</v>
      </c>
      <c r="E2758">
        <f>IF(LEFT(D2758,6)="CLIENT",IFERROR(VLOOKUP(C2758,Config_Carteiras!$A:$B,2,FALSE),1),"")</f>
        <v>1</v>
      </c>
      <c r="F2758" s="25">
        <v>1032.96</v>
      </c>
      <c r="G2758" s="28">
        <f>IF(LEFT(D2758,6)="CLIENT",IF(E2758=0,WORKDAY(A2758-1,1,Dias_Sem_Compensacao!$A$2:$A$500),WORKDAY(A2758,E2758,Dias_Sem_Compensacao!$A$2:$A$500)),"")</f>
        <v>46317</v>
      </c>
      <c r="H2758" s="25">
        <v>0</v>
      </c>
      <c r="I2758" s="28">
        <v>46316</v>
      </c>
      <c r="J2758" t="s">
        <v>1382</v>
      </c>
      <c r="K2758" t="s">
        <v>1383</v>
      </c>
    </row>
    <row r="2759" spans="1:11" hidden="1">
      <c r="A2759" s="28">
        <v>46316</v>
      </c>
      <c r="B2759" t="s">
        <v>186</v>
      </c>
      <c r="C2759" t="s">
        <v>203</v>
      </c>
      <c r="D2759" t="s">
        <v>217</v>
      </c>
      <c r="E2759">
        <f>IF(LEFT(D2759,6)="CLIENT",IFERROR(VLOOKUP(C2759,Config_Carteiras!$A:$B,2,FALSE),1),"")</f>
        <v>1</v>
      </c>
      <c r="F2759" s="25">
        <v>1032.96</v>
      </c>
      <c r="G2759" s="28">
        <f>IF(LEFT(D2759,6)="CLIENT",IF(E2759=0,WORKDAY(A2759-1,1,Dias_Sem_Compensacao!$A$2:$A$500),WORKDAY(A2759,E2759,Dias_Sem_Compensacao!$A$2:$A$500)),"")</f>
        <v>46317</v>
      </c>
      <c r="H2759" s="25">
        <v>0</v>
      </c>
      <c r="I2759" s="28">
        <v>46316</v>
      </c>
      <c r="J2759" t="s">
        <v>1384</v>
      </c>
      <c r="K2759" t="s">
        <v>1385</v>
      </c>
    </row>
    <row r="2760" spans="1:11" hidden="1">
      <c r="A2760" s="28">
        <v>46316</v>
      </c>
      <c r="B2760" t="s">
        <v>186</v>
      </c>
      <c r="C2760" t="s">
        <v>203</v>
      </c>
      <c r="D2760" t="s">
        <v>217</v>
      </c>
      <c r="E2760">
        <f>IF(LEFT(D2760,6)="CLIENT",IFERROR(VLOOKUP(C2760,Config_Carteiras!$A:$B,2,FALSE),1),"")</f>
        <v>1</v>
      </c>
      <c r="F2760" s="25">
        <v>880.1</v>
      </c>
      <c r="G2760" s="28">
        <f>IF(LEFT(D2760,6)="CLIENT",IF(E2760=0,WORKDAY(A2760-1,1,Dias_Sem_Compensacao!$A$2:$A$500),WORKDAY(A2760,E2760,Dias_Sem_Compensacao!$A$2:$A$500)),"")</f>
        <v>46317</v>
      </c>
      <c r="H2760" s="25">
        <v>0</v>
      </c>
      <c r="I2760" s="28">
        <v>46316</v>
      </c>
      <c r="J2760" t="s">
        <v>3119</v>
      </c>
      <c r="K2760" t="s">
        <v>3120</v>
      </c>
    </row>
    <row r="2761" spans="1:11" hidden="1">
      <c r="A2761" s="28">
        <v>46316</v>
      </c>
      <c r="B2761" t="s">
        <v>186</v>
      </c>
      <c r="C2761" t="s">
        <v>203</v>
      </c>
      <c r="D2761" t="s">
        <v>217</v>
      </c>
      <c r="E2761">
        <f>IF(LEFT(D2761,6)="CLIENT",IFERROR(VLOOKUP(C2761,Config_Carteiras!$A:$B,2,FALSE),1),"")</f>
        <v>1</v>
      </c>
      <c r="F2761" s="25">
        <v>1100</v>
      </c>
      <c r="G2761" s="28">
        <f>IF(LEFT(D2761,6)="CLIENT",IF(E2761=0,WORKDAY(A2761-1,1,Dias_Sem_Compensacao!$A$2:$A$500),WORKDAY(A2761,E2761,Dias_Sem_Compensacao!$A$2:$A$500)),"")</f>
        <v>46317</v>
      </c>
      <c r="H2761" s="25">
        <v>0</v>
      </c>
      <c r="I2761" s="28">
        <v>46316</v>
      </c>
      <c r="J2761" t="s">
        <v>2634</v>
      </c>
      <c r="K2761" t="s">
        <v>2635</v>
      </c>
    </row>
    <row r="2762" spans="1:11" hidden="1">
      <c r="A2762" s="28">
        <v>46316</v>
      </c>
      <c r="B2762" t="s">
        <v>186</v>
      </c>
      <c r="C2762" t="s">
        <v>203</v>
      </c>
      <c r="D2762" t="s">
        <v>217</v>
      </c>
      <c r="E2762">
        <f>IF(LEFT(D2762,6)="CLIENT",IFERROR(VLOOKUP(C2762,Config_Carteiras!$A:$B,2,FALSE),1),"")</f>
        <v>1</v>
      </c>
      <c r="F2762" s="25">
        <v>3267.11</v>
      </c>
      <c r="G2762" s="28">
        <f>IF(LEFT(D2762,6)="CLIENT",IF(E2762=0,WORKDAY(A2762-1,1,Dias_Sem_Compensacao!$A$2:$A$500),WORKDAY(A2762,E2762,Dias_Sem_Compensacao!$A$2:$A$500)),"")</f>
        <v>46317</v>
      </c>
      <c r="H2762" s="25">
        <v>0</v>
      </c>
      <c r="I2762" s="28">
        <v>46316</v>
      </c>
      <c r="J2762" t="s">
        <v>2100</v>
      </c>
      <c r="K2762" t="s">
        <v>2101</v>
      </c>
    </row>
    <row r="2763" spans="1:11" hidden="1">
      <c r="A2763" s="28">
        <v>46316</v>
      </c>
      <c r="B2763" t="s">
        <v>186</v>
      </c>
      <c r="C2763" t="s">
        <v>203</v>
      </c>
      <c r="D2763" t="s">
        <v>217</v>
      </c>
      <c r="E2763">
        <f>IF(LEFT(D2763,6)="CLIENT",IFERROR(VLOOKUP(C2763,Config_Carteiras!$A:$B,2,FALSE),1),"")</f>
        <v>1</v>
      </c>
      <c r="F2763" s="25">
        <v>366.47</v>
      </c>
      <c r="G2763" s="28">
        <f>IF(LEFT(D2763,6)="CLIENT",IF(E2763=0,WORKDAY(A2763-1,1,Dias_Sem_Compensacao!$A$2:$A$500),WORKDAY(A2763,E2763,Dias_Sem_Compensacao!$A$2:$A$500)),"")</f>
        <v>46317</v>
      </c>
      <c r="H2763" s="25">
        <v>0</v>
      </c>
      <c r="I2763" s="28">
        <v>46316</v>
      </c>
      <c r="J2763" t="s">
        <v>2636</v>
      </c>
      <c r="K2763" t="s">
        <v>2637</v>
      </c>
    </row>
    <row r="2764" spans="1:11" hidden="1">
      <c r="A2764" s="28">
        <v>46316</v>
      </c>
      <c r="B2764" t="s">
        <v>186</v>
      </c>
      <c r="C2764" t="s">
        <v>203</v>
      </c>
      <c r="D2764" t="s">
        <v>217</v>
      </c>
      <c r="E2764">
        <f>IF(LEFT(D2764,6)="CLIENT",IFERROR(VLOOKUP(C2764,Config_Carteiras!$A:$B,2,FALSE),1),"")</f>
        <v>1</v>
      </c>
      <c r="F2764" s="25">
        <v>24324</v>
      </c>
      <c r="G2764" s="28">
        <f>IF(LEFT(D2764,6)="CLIENT",IF(E2764=0,WORKDAY(A2764-1,1,Dias_Sem_Compensacao!$A$2:$A$500),WORKDAY(A2764,E2764,Dias_Sem_Compensacao!$A$2:$A$500)),"")</f>
        <v>46317</v>
      </c>
      <c r="H2764" s="25">
        <v>0</v>
      </c>
      <c r="I2764" s="28">
        <v>46316</v>
      </c>
      <c r="J2764" t="s">
        <v>2102</v>
      </c>
      <c r="K2764" t="s">
        <v>2103</v>
      </c>
    </row>
    <row r="2765" spans="1:11" hidden="1">
      <c r="A2765" s="28">
        <v>46316</v>
      </c>
      <c r="B2765" t="s">
        <v>186</v>
      </c>
      <c r="C2765" t="s">
        <v>203</v>
      </c>
      <c r="D2765" t="s">
        <v>217</v>
      </c>
      <c r="E2765">
        <f>IF(LEFT(D2765,6)="CLIENT",IFERROR(VLOOKUP(C2765,Config_Carteiras!$A:$B,2,FALSE),1),"")</f>
        <v>1</v>
      </c>
      <c r="F2765" s="25">
        <v>455</v>
      </c>
      <c r="G2765" s="28">
        <f>IF(LEFT(D2765,6)="CLIENT",IF(E2765=0,WORKDAY(A2765-1,1,Dias_Sem_Compensacao!$A$2:$A$500),WORKDAY(A2765,E2765,Dias_Sem_Compensacao!$A$2:$A$500)),"")</f>
        <v>46317</v>
      </c>
      <c r="H2765" s="25">
        <v>0</v>
      </c>
      <c r="I2765" s="28">
        <v>46316</v>
      </c>
      <c r="J2765" t="s">
        <v>2104</v>
      </c>
      <c r="K2765" t="s">
        <v>2105</v>
      </c>
    </row>
    <row r="2766" spans="1:11" hidden="1">
      <c r="A2766" s="28">
        <v>46316</v>
      </c>
      <c r="B2766" t="s">
        <v>186</v>
      </c>
      <c r="C2766" t="s">
        <v>203</v>
      </c>
      <c r="D2766" t="s">
        <v>217</v>
      </c>
      <c r="E2766">
        <f>IF(LEFT(D2766,6)="CLIENT",IFERROR(VLOOKUP(C2766,Config_Carteiras!$A:$B,2,FALSE),1),"")</f>
        <v>1</v>
      </c>
      <c r="F2766" s="25">
        <v>1065</v>
      </c>
      <c r="G2766" s="28">
        <f>IF(LEFT(D2766,6)="CLIENT",IF(E2766=0,WORKDAY(A2766-1,1,Dias_Sem_Compensacao!$A$2:$A$500),WORKDAY(A2766,E2766,Dias_Sem_Compensacao!$A$2:$A$500)),"")</f>
        <v>46317</v>
      </c>
      <c r="H2766" s="25">
        <v>0</v>
      </c>
      <c r="I2766" s="28">
        <v>46316</v>
      </c>
      <c r="J2766" t="s">
        <v>2638</v>
      </c>
      <c r="K2766" t="s">
        <v>2639</v>
      </c>
    </row>
    <row r="2767" spans="1:11" hidden="1">
      <c r="A2767" s="28">
        <v>46316</v>
      </c>
      <c r="B2767" t="s">
        <v>186</v>
      </c>
      <c r="C2767" t="s">
        <v>203</v>
      </c>
      <c r="D2767" t="s">
        <v>217</v>
      </c>
      <c r="E2767">
        <f>IF(LEFT(D2767,6)="CLIENT",IFERROR(VLOOKUP(C2767,Config_Carteiras!$A:$B,2,FALSE),1),"")</f>
        <v>1</v>
      </c>
      <c r="F2767" s="25">
        <v>1939</v>
      </c>
      <c r="G2767" s="28">
        <f>IF(LEFT(D2767,6)="CLIENT",IF(E2767=0,WORKDAY(A2767-1,1,Dias_Sem_Compensacao!$A$2:$A$500),WORKDAY(A2767,E2767,Dias_Sem_Compensacao!$A$2:$A$500)),"")</f>
        <v>46317</v>
      </c>
      <c r="H2767" s="25">
        <v>0</v>
      </c>
      <c r="I2767" s="28">
        <v>46316</v>
      </c>
      <c r="J2767" t="s">
        <v>3121</v>
      </c>
      <c r="K2767" t="s">
        <v>3122</v>
      </c>
    </row>
    <row r="2768" spans="1:11" hidden="1">
      <c r="A2768" s="28">
        <v>46316</v>
      </c>
      <c r="B2768" t="s">
        <v>186</v>
      </c>
      <c r="C2768" t="s">
        <v>203</v>
      </c>
      <c r="D2768" t="s">
        <v>217</v>
      </c>
      <c r="E2768">
        <f>IF(LEFT(D2768,6)="CLIENT",IFERROR(VLOOKUP(C2768,Config_Carteiras!$A:$B,2,FALSE),1),"")</f>
        <v>1</v>
      </c>
      <c r="F2768" s="25">
        <v>643.04</v>
      </c>
      <c r="G2768" s="28">
        <f>IF(LEFT(D2768,6)="CLIENT",IF(E2768=0,WORKDAY(A2768-1,1,Dias_Sem_Compensacao!$A$2:$A$500),WORKDAY(A2768,E2768,Dias_Sem_Compensacao!$A$2:$A$500)),"")</f>
        <v>46317</v>
      </c>
      <c r="H2768" s="25">
        <v>0</v>
      </c>
      <c r="I2768" s="28">
        <v>46316</v>
      </c>
      <c r="J2768" t="s">
        <v>3123</v>
      </c>
      <c r="K2768" t="s">
        <v>3124</v>
      </c>
    </row>
    <row r="2769" spans="1:11" hidden="1">
      <c r="A2769" s="28">
        <v>46316</v>
      </c>
      <c r="B2769" t="s">
        <v>186</v>
      </c>
      <c r="C2769" t="s">
        <v>203</v>
      </c>
      <c r="D2769" t="s">
        <v>217</v>
      </c>
      <c r="E2769">
        <f>IF(LEFT(D2769,6)="CLIENT",IFERROR(VLOOKUP(C2769,Config_Carteiras!$A:$B,2,FALSE),1),"")</f>
        <v>1</v>
      </c>
      <c r="F2769" s="25">
        <v>18240</v>
      </c>
      <c r="G2769" s="28">
        <f>IF(LEFT(D2769,6)="CLIENT",IF(E2769=0,WORKDAY(A2769-1,1,Dias_Sem_Compensacao!$A$2:$A$500),WORKDAY(A2769,E2769,Dias_Sem_Compensacao!$A$2:$A$500)),"")</f>
        <v>46317</v>
      </c>
      <c r="H2769" s="25">
        <v>0</v>
      </c>
      <c r="I2769" s="28">
        <v>46316</v>
      </c>
      <c r="J2769" t="s">
        <v>1392</v>
      </c>
      <c r="K2769" t="s">
        <v>1393</v>
      </c>
    </row>
    <row r="2770" spans="1:11" hidden="1">
      <c r="A2770" s="28">
        <v>46316</v>
      </c>
      <c r="B2770" t="s">
        <v>186</v>
      </c>
      <c r="C2770" t="s">
        <v>203</v>
      </c>
      <c r="D2770" t="s">
        <v>217</v>
      </c>
      <c r="E2770">
        <f>IF(LEFT(D2770,6)="CLIENT",IFERROR(VLOOKUP(C2770,Config_Carteiras!$A:$B,2,FALSE),1),"")</f>
        <v>1</v>
      </c>
      <c r="F2770" s="25">
        <v>18240</v>
      </c>
      <c r="G2770" s="28">
        <f>IF(LEFT(D2770,6)="CLIENT",IF(E2770=0,WORKDAY(A2770-1,1,Dias_Sem_Compensacao!$A$2:$A$500),WORKDAY(A2770,E2770,Dias_Sem_Compensacao!$A$2:$A$500)),"")</f>
        <v>46317</v>
      </c>
      <c r="H2770" s="25">
        <v>0</v>
      </c>
      <c r="I2770" s="28">
        <v>46316</v>
      </c>
      <c r="K2770" t="s">
        <v>2642</v>
      </c>
    </row>
    <row r="2771" spans="1:11" hidden="1">
      <c r="A2771" s="28">
        <v>46316</v>
      </c>
      <c r="B2771" t="s">
        <v>186</v>
      </c>
      <c r="C2771" t="s">
        <v>203</v>
      </c>
      <c r="D2771" t="s">
        <v>217</v>
      </c>
      <c r="E2771">
        <f>IF(LEFT(D2771,6)="CLIENT",IFERROR(VLOOKUP(C2771,Config_Carteiras!$A:$B,2,FALSE),1),"")</f>
        <v>1</v>
      </c>
      <c r="F2771" s="25">
        <v>3514.36</v>
      </c>
      <c r="G2771" s="28">
        <f>IF(LEFT(D2771,6)="CLIENT",IF(E2771=0,WORKDAY(A2771-1,1,Dias_Sem_Compensacao!$A$2:$A$500),WORKDAY(A2771,E2771,Dias_Sem_Compensacao!$A$2:$A$500)),"")</f>
        <v>46317</v>
      </c>
      <c r="H2771" s="25">
        <v>0</v>
      </c>
      <c r="I2771" s="28">
        <v>46316</v>
      </c>
      <c r="J2771" t="s">
        <v>2643</v>
      </c>
      <c r="K2771" t="s">
        <v>2644</v>
      </c>
    </row>
    <row r="2772" spans="1:11" hidden="1">
      <c r="A2772" s="28">
        <v>46316</v>
      </c>
      <c r="B2772" t="s">
        <v>186</v>
      </c>
      <c r="C2772" t="s">
        <v>203</v>
      </c>
      <c r="D2772" t="s">
        <v>217</v>
      </c>
      <c r="E2772">
        <f>IF(LEFT(D2772,6)="CLIENT",IFERROR(VLOOKUP(C2772,Config_Carteiras!$A:$B,2,FALSE),1),"")</f>
        <v>1</v>
      </c>
      <c r="F2772" s="25">
        <v>1803.92</v>
      </c>
      <c r="G2772" s="28">
        <f>IF(LEFT(D2772,6)="CLIENT",IF(E2772=0,WORKDAY(A2772-1,1,Dias_Sem_Compensacao!$A$2:$A$500),WORKDAY(A2772,E2772,Dias_Sem_Compensacao!$A$2:$A$500)),"")</f>
        <v>46317</v>
      </c>
      <c r="H2772" s="25">
        <v>0</v>
      </c>
      <c r="I2772" s="28">
        <v>46316</v>
      </c>
      <c r="J2772" t="s">
        <v>2645</v>
      </c>
      <c r="K2772" t="s">
        <v>2646</v>
      </c>
    </row>
    <row r="2773" spans="1:11" hidden="1">
      <c r="A2773" s="28">
        <v>46316</v>
      </c>
      <c r="B2773" t="s">
        <v>186</v>
      </c>
      <c r="C2773" t="s">
        <v>203</v>
      </c>
      <c r="D2773" t="s">
        <v>217</v>
      </c>
      <c r="E2773">
        <f>IF(LEFT(D2773,6)="CLIENT",IFERROR(VLOOKUP(C2773,Config_Carteiras!$A:$B,2,FALSE),1),"")</f>
        <v>1</v>
      </c>
      <c r="F2773" s="25">
        <v>661</v>
      </c>
      <c r="G2773" s="28">
        <f>IF(LEFT(D2773,6)="CLIENT",IF(E2773=0,WORKDAY(A2773-1,1,Dias_Sem_Compensacao!$A$2:$A$500),WORKDAY(A2773,E2773,Dias_Sem_Compensacao!$A$2:$A$500)),"")</f>
        <v>46317</v>
      </c>
      <c r="H2773" s="25">
        <v>0</v>
      </c>
      <c r="I2773" s="28">
        <v>46316</v>
      </c>
      <c r="J2773" t="s">
        <v>2647</v>
      </c>
      <c r="K2773" t="s">
        <v>2648</v>
      </c>
    </row>
    <row r="2774" spans="1:11" hidden="1">
      <c r="A2774" s="28">
        <v>46316</v>
      </c>
      <c r="B2774" t="s">
        <v>186</v>
      </c>
      <c r="C2774" t="s">
        <v>203</v>
      </c>
      <c r="D2774" t="s">
        <v>217</v>
      </c>
      <c r="E2774">
        <f>IF(LEFT(D2774,6)="CLIENT",IFERROR(VLOOKUP(C2774,Config_Carteiras!$A:$B,2,FALSE),1),"")</f>
        <v>1</v>
      </c>
      <c r="F2774" s="25">
        <v>1192</v>
      </c>
      <c r="G2774" s="28">
        <f>IF(LEFT(D2774,6)="CLIENT",IF(E2774=0,WORKDAY(A2774-1,1,Dias_Sem_Compensacao!$A$2:$A$500),WORKDAY(A2774,E2774,Dias_Sem_Compensacao!$A$2:$A$500)),"")</f>
        <v>46317</v>
      </c>
      <c r="H2774" s="25">
        <v>0</v>
      </c>
      <c r="I2774" s="28">
        <v>46316</v>
      </c>
      <c r="J2774" t="s">
        <v>2649</v>
      </c>
      <c r="K2774" t="s">
        <v>2650</v>
      </c>
    </row>
    <row r="2775" spans="1:11" hidden="1">
      <c r="A2775" s="28">
        <v>46316</v>
      </c>
      <c r="B2775" t="s">
        <v>186</v>
      </c>
      <c r="C2775" t="s">
        <v>203</v>
      </c>
      <c r="D2775" t="s">
        <v>217</v>
      </c>
      <c r="E2775">
        <f>IF(LEFT(D2775,6)="CLIENT",IFERROR(VLOOKUP(C2775,Config_Carteiras!$A:$B,2,FALSE),1),"")</f>
        <v>1</v>
      </c>
      <c r="F2775" s="25">
        <v>1247.9000000000001</v>
      </c>
      <c r="G2775" s="28">
        <f>IF(LEFT(D2775,6)="CLIENT",IF(E2775=0,WORKDAY(A2775-1,1,Dias_Sem_Compensacao!$A$2:$A$500),WORKDAY(A2775,E2775,Dias_Sem_Compensacao!$A$2:$A$500)),"")</f>
        <v>46317</v>
      </c>
      <c r="H2775" s="25">
        <v>0</v>
      </c>
      <c r="I2775" s="28">
        <v>46316</v>
      </c>
      <c r="J2775" t="s">
        <v>3125</v>
      </c>
      <c r="K2775" t="s">
        <v>3126</v>
      </c>
    </row>
    <row r="2776" spans="1:11" hidden="1">
      <c r="A2776" s="28">
        <v>46316</v>
      </c>
      <c r="B2776" t="s">
        <v>186</v>
      </c>
      <c r="C2776" t="s">
        <v>203</v>
      </c>
      <c r="D2776" t="s">
        <v>217</v>
      </c>
      <c r="E2776">
        <f>IF(LEFT(D2776,6)="CLIENT",IFERROR(VLOOKUP(C2776,Config_Carteiras!$A:$B,2,FALSE),1),"")</f>
        <v>1</v>
      </c>
      <c r="F2776" s="25">
        <v>1142.7</v>
      </c>
      <c r="G2776" s="28">
        <f>IF(LEFT(D2776,6)="CLIENT",IF(E2776=0,WORKDAY(A2776-1,1,Dias_Sem_Compensacao!$A$2:$A$500),WORKDAY(A2776,E2776,Dias_Sem_Compensacao!$A$2:$A$500)),"")</f>
        <v>46317</v>
      </c>
      <c r="H2776" s="25">
        <v>0</v>
      </c>
      <c r="I2776" s="28">
        <v>46316</v>
      </c>
      <c r="J2776" t="s">
        <v>2116</v>
      </c>
      <c r="K2776" t="s">
        <v>2117</v>
      </c>
    </row>
    <row r="2777" spans="1:11" hidden="1">
      <c r="A2777" s="28">
        <v>46316</v>
      </c>
      <c r="B2777" t="s">
        <v>186</v>
      </c>
      <c r="C2777" t="s">
        <v>203</v>
      </c>
      <c r="D2777" t="s">
        <v>217</v>
      </c>
      <c r="E2777">
        <f>IF(LEFT(D2777,6)="CLIENT",IFERROR(VLOOKUP(C2777,Config_Carteiras!$A:$B,2,FALSE),1),"")</f>
        <v>1</v>
      </c>
      <c r="F2777" s="25">
        <v>922</v>
      </c>
      <c r="G2777" s="28">
        <f>IF(LEFT(D2777,6)="CLIENT",IF(E2777=0,WORKDAY(A2777-1,1,Dias_Sem_Compensacao!$A$2:$A$500),WORKDAY(A2777,E2777,Dias_Sem_Compensacao!$A$2:$A$500)),"")</f>
        <v>46317</v>
      </c>
      <c r="H2777" s="25">
        <v>0</v>
      </c>
      <c r="I2777" s="28">
        <v>46316</v>
      </c>
      <c r="J2777" t="s">
        <v>3127</v>
      </c>
      <c r="K2777" t="s">
        <v>3128</v>
      </c>
    </row>
    <row r="2778" spans="1:11" hidden="1">
      <c r="A2778" s="28">
        <v>46316</v>
      </c>
      <c r="B2778" t="s">
        <v>186</v>
      </c>
      <c r="C2778" t="s">
        <v>203</v>
      </c>
      <c r="D2778" t="s">
        <v>217</v>
      </c>
      <c r="E2778">
        <f>IF(LEFT(D2778,6)="CLIENT",IFERROR(VLOOKUP(C2778,Config_Carteiras!$A:$B,2,FALSE),1),"")</f>
        <v>1</v>
      </c>
      <c r="F2778" s="25">
        <v>922</v>
      </c>
      <c r="G2778" s="28">
        <f>IF(LEFT(D2778,6)="CLIENT",IF(E2778=0,WORKDAY(A2778-1,1,Dias_Sem_Compensacao!$A$2:$A$500),WORKDAY(A2778,E2778,Dias_Sem_Compensacao!$A$2:$A$500)),"")</f>
        <v>46317</v>
      </c>
      <c r="H2778" s="25">
        <v>0</v>
      </c>
      <c r="I2778" s="28">
        <v>46316</v>
      </c>
      <c r="J2778" t="s">
        <v>3129</v>
      </c>
      <c r="K2778" t="s">
        <v>3130</v>
      </c>
    </row>
    <row r="2779" spans="1:11" hidden="1">
      <c r="A2779" s="28">
        <v>46316</v>
      </c>
      <c r="B2779" t="s">
        <v>186</v>
      </c>
      <c r="C2779" t="s">
        <v>203</v>
      </c>
      <c r="D2779" t="s">
        <v>217</v>
      </c>
      <c r="E2779">
        <f>IF(LEFT(D2779,6)="CLIENT",IFERROR(VLOOKUP(C2779,Config_Carteiras!$A:$B,2,FALSE),1),"")</f>
        <v>1</v>
      </c>
      <c r="F2779" s="25">
        <v>1377</v>
      </c>
      <c r="G2779" s="28">
        <f>IF(LEFT(D2779,6)="CLIENT",IF(E2779=0,WORKDAY(A2779-1,1,Dias_Sem_Compensacao!$A$2:$A$500),WORKDAY(A2779,E2779,Dias_Sem_Compensacao!$A$2:$A$500)),"")</f>
        <v>46317</v>
      </c>
      <c r="H2779" s="25">
        <v>0</v>
      </c>
      <c r="I2779" s="28">
        <v>46316</v>
      </c>
      <c r="J2779" t="s">
        <v>2651</v>
      </c>
      <c r="K2779" t="s">
        <v>2652</v>
      </c>
    </row>
    <row r="2780" spans="1:11" hidden="1">
      <c r="A2780" s="28">
        <v>46316</v>
      </c>
      <c r="B2780" t="s">
        <v>186</v>
      </c>
      <c r="C2780" t="s">
        <v>203</v>
      </c>
      <c r="D2780" t="s">
        <v>217</v>
      </c>
      <c r="E2780">
        <f>IF(LEFT(D2780,6)="CLIENT",IFERROR(VLOOKUP(C2780,Config_Carteiras!$A:$B,2,FALSE),1),"")</f>
        <v>1</v>
      </c>
      <c r="F2780" s="25">
        <v>2934</v>
      </c>
      <c r="G2780" s="28">
        <f>IF(LEFT(D2780,6)="CLIENT",IF(E2780=0,WORKDAY(A2780-1,1,Dias_Sem_Compensacao!$A$2:$A$500),WORKDAY(A2780,E2780,Dias_Sem_Compensacao!$A$2:$A$500)),"")</f>
        <v>46317</v>
      </c>
      <c r="H2780" s="25">
        <v>0</v>
      </c>
      <c r="I2780" s="28">
        <v>46316</v>
      </c>
      <c r="J2780" t="s">
        <v>3131</v>
      </c>
      <c r="K2780" t="s">
        <v>3132</v>
      </c>
    </row>
    <row r="2781" spans="1:11" hidden="1">
      <c r="A2781" s="28">
        <v>46316</v>
      </c>
      <c r="B2781" t="s">
        <v>186</v>
      </c>
      <c r="C2781" t="s">
        <v>203</v>
      </c>
      <c r="D2781" t="s">
        <v>217</v>
      </c>
      <c r="E2781">
        <f>IF(LEFT(D2781,6)="CLIENT",IFERROR(VLOOKUP(C2781,Config_Carteiras!$A:$B,2,FALSE),1),"")</f>
        <v>1</v>
      </c>
      <c r="F2781" s="25">
        <v>11423.29</v>
      </c>
      <c r="G2781" s="28">
        <f>IF(LEFT(D2781,6)="CLIENT",IF(E2781=0,WORKDAY(A2781-1,1,Dias_Sem_Compensacao!$A$2:$A$500),WORKDAY(A2781,E2781,Dias_Sem_Compensacao!$A$2:$A$500)),"")</f>
        <v>46317</v>
      </c>
      <c r="H2781" s="25">
        <v>0</v>
      </c>
      <c r="I2781" s="28">
        <v>46316</v>
      </c>
      <c r="J2781" t="s">
        <v>3133</v>
      </c>
      <c r="K2781" t="s">
        <v>3134</v>
      </c>
    </row>
    <row r="2782" spans="1:11" hidden="1">
      <c r="A2782" s="28">
        <v>46316</v>
      </c>
      <c r="B2782" t="s">
        <v>186</v>
      </c>
      <c r="C2782" t="s">
        <v>203</v>
      </c>
      <c r="D2782" t="s">
        <v>217</v>
      </c>
      <c r="E2782">
        <f>IF(LEFT(D2782,6)="CLIENT",IFERROR(VLOOKUP(C2782,Config_Carteiras!$A:$B,2,FALSE),1),"")</f>
        <v>1</v>
      </c>
      <c r="F2782" s="25">
        <v>1550</v>
      </c>
      <c r="G2782" s="28">
        <f>IF(LEFT(D2782,6)="CLIENT",IF(E2782=0,WORKDAY(A2782-1,1,Dias_Sem_Compensacao!$A$2:$A$500),WORKDAY(A2782,E2782,Dias_Sem_Compensacao!$A$2:$A$500)),"")</f>
        <v>46317</v>
      </c>
      <c r="H2782" s="25">
        <v>0</v>
      </c>
      <c r="I2782" s="28">
        <v>46316</v>
      </c>
      <c r="J2782" t="s">
        <v>21</v>
      </c>
      <c r="K2782" t="s">
        <v>2653</v>
      </c>
    </row>
    <row r="2783" spans="1:11" hidden="1">
      <c r="A2783" s="28">
        <v>46316</v>
      </c>
      <c r="B2783" t="s">
        <v>186</v>
      </c>
      <c r="C2783" t="s">
        <v>203</v>
      </c>
      <c r="D2783" t="s">
        <v>217</v>
      </c>
      <c r="E2783">
        <f>IF(LEFT(D2783,6)="CLIENT",IFERROR(VLOOKUP(C2783,Config_Carteiras!$A:$B,2,FALSE),1),"")</f>
        <v>1</v>
      </c>
      <c r="F2783" s="25">
        <v>888</v>
      </c>
      <c r="G2783" s="28">
        <f>IF(LEFT(D2783,6)="CLIENT",IF(E2783=0,WORKDAY(A2783-1,1,Dias_Sem_Compensacao!$A$2:$A$500),WORKDAY(A2783,E2783,Dias_Sem_Compensacao!$A$2:$A$500)),"")</f>
        <v>46317</v>
      </c>
      <c r="H2783" s="25">
        <v>0</v>
      </c>
      <c r="I2783" s="28">
        <v>46316</v>
      </c>
      <c r="J2783" t="s">
        <v>2120</v>
      </c>
      <c r="K2783" t="s">
        <v>2121</v>
      </c>
    </row>
    <row r="2784" spans="1:11" hidden="1">
      <c r="A2784" s="28">
        <v>46316</v>
      </c>
      <c r="B2784" t="s">
        <v>186</v>
      </c>
      <c r="C2784" t="s">
        <v>203</v>
      </c>
      <c r="D2784" t="s">
        <v>217</v>
      </c>
      <c r="E2784">
        <f>IF(LEFT(D2784,6)="CLIENT",IFERROR(VLOOKUP(C2784,Config_Carteiras!$A:$B,2,FALSE),1),"")</f>
        <v>1</v>
      </c>
      <c r="F2784" s="25">
        <v>1028</v>
      </c>
      <c r="G2784" s="28">
        <f>IF(LEFT(D2784,6)="CLIENT",IF(E2784=0,WORKDAY(A2784-1,1,Dias_Sem_Compensacao!$A$2:$A$500),WORKDAY(A2784,E2784,Dias_Sem_Compensacao!$A$2:$A$500)),"")</f>
        <v>46317</v>
      </c>
      <c r="H2784" s="25">
        <v>0</v>
      </c>
      <c r="I2784" s="28">
        <v>46316</v>
      </c>
      <c r="J2784" t="s">
        <v>3135</v>
      </c>
      <c r="K2784" t="s">
        <v>3136</v>
      </c>
    </row>
    <row r="2785" spans="1:11" hidden="1">
      <c r="A2785" s="28">
        <v>46316</v>
      </c>
      <c r="B2785" t="s">
        <v>186</v>
      </c>
      <c r="C2785" t="s">
        <v>203</v>
      </c>
      <c r="D2785" t="s">
        <v>217</v>
      </c>
      <c r="E2785">
        <f>IF(LEFT(D2785,6)="CLIENT",IFERROR(VLOOKUP(C2785,Config_Carteiras!$A:$B,2,FALSE),1),"")</f>
        <v>1</v>
      </c>
      <c r="F2785" s="25">
        <v>1365.5</v>
      </c>
      <c r="G2785" s="28">
        <f>IF(LEFT(D2785,6)="CLIENT",IF(E2785=0,WORKDAY(A2785-1,1,Dias_Sem_Compensacao!$A$2:$A$500),WORKDAY(A2785,E2785,Dias_Sem_Compensacao!$A$2:$A$500)),"")</f>
        <v>46317</v>
      </c>
      <c r="H2785" s="25">
        <v>0</v>
      </c>
      <c r="I2785" s="28">
        <v>46316</v>
      </c>
      <c r="J2785" t="s">
        <v>2122</v>
      </c>
      <c r="K2785" t="s">
        <v>2123</v>
      </c>
    </row>
    <row r="2786" spans="1:11" hidden="1">
      <c r="A2786" s="28">
        <v>46316</v>
      </c>
      <c r="B2786" t="s">
        <v>186</v>
      </c>
      <c r="C2786" t="s">
        <v>203</v>
      </c>
      <c r="D2786" t="s">
        <v>217</v>
      </c>
      <c r="E2786">
        <f>IF(LEFT(D2786,6)="CLIENT",IFERROR(VLOOKUP(C2786,Config_Carteiras!$A:$B,2,FALSE),1),"")</f>
        <v>1</v>
      </c>
      <c r="F2786" s="25">
        <v>18240</v>
      </c>
      <c r="G2786" s="28">
        <f>IF(LEFT(D2786,6)="CLIENT",IF(E2786=0,WORKDAY(A2786-1,1,Dias_Sem_Compensacao!$A$2:$A$500),WORKDAY(A2786,E2786,Dias_Sem_Compensacao!$A$2:$A$500)),"")</f>
        <v>46317</v>
      </c>
      <c r="H2786" s="25">
        <v>0</v>
      </c>
      <c r="I2786" s="28">
        <v>46316</v>
      </c>
      <c r="J2786" t="s">
        <v>1406</v>
      </c>
      <c r="K2786" t="s">
        <v>1407</v>
      </c>
    </row>
    <row r="2787" spans="1:11" hidden="1">
      <c r="A2787" s="28">
        <v>46316</v>
      </c>
      <c r="B2787" t="s">
        <v>186</v>
      </c>
      <c r="C2787" t="s">
        <v>203</v>
      </c>
      <c r="D2787" t="s">
        <v>217</v>
      </c>
      <c r="E2787">
        <f>IF(LEFT(D2787,6)="CLIENT",IFERROR(VLOOKUP(C2787,Config_Carteiras!$A:$B,2,FALSE),1),"")</f>
        <v>1</v>
      </c>
      <c r="F2787" s="25">
        <v>334</v>
      </c>
      <c r="G2787" s="28">
        <f>IF(LEFT(D2787,6)="CLIENT",IF(E2787=0,WORKDAY(A2787-1,1,Dias_Sem_Compensacao!$A$2:$A$500),WORKDAY(A2787,E2787,Dias_Sem_Compensacao!$A$2:$A$500)),"")</f>
        <v>46317</v>
      </c>
      <c r="H2787" s="25">
        <v>0</v>
      </c>
      <c r="I2787" s="28">
        <v>46316</v>
      </c>
      <c r="J2787" t="s">
        <v>2655</v>
      </c>
      <c r="K2787" t="s">
        <v>2656</v>
      </c>
    </row>
    <row r="2788" spans="1:11" hidden="1">
      <c r="A2788" s="28">
        <v>46316</v>
      </c>
      <c r="B2788" t="s">
        <v>186</v>
      </c>
      <c r="C2788" t="s">
        <v>203</v>
      </c>
      <c r="D2788" t="s">
        <v>217</v>
      </c>
      <c r="E2788">
        <f>IF(LEFT(D2788,6)="CLIENT",IFERROR(VLOOKUP(C2788,Config_Carteiras!$A:$B,2,FALSE),1),"")</f>
        <v>1</v>
      </c>
      <c r="F2788" s="25">
        <v>2417</v>
      </c>
      <c r="G2788" s="28">
        <f>IF(LEFT(D2788,6)="CLIENT",IF(E2788=0,WORKDAY(A2788-1,1,Dias_Sem_Compensacao!$A$2:$A$500),WORKDAY(A2788,E2788,Dias_Sem_Compensacao!$A$2:$A$500)),"")</f>
        <v>46317</v>
      </c>
      <c r="H2788" s="25">
        <v>0</v>
      </c>
      <c r="I2788" s="28">
        <v>46316</v>
      </c>
      <c r="J2788" t="s">
        <v>2125</v>
      </c>
      <c r="K2788" t="s">
        <v>2126</v>
      </c>
    </row>
    <row r="2789" spans="1:11" hidden="1">
      <c r="A2789" s="28">
        <v>46316</v>
      </c>
      <c r="B2789" t="s">
        <v>186</v>
      </c>
      <c r="C2789" t="s">
        <v>203</v>
      </c>
      <c r="D2789" t="s">
        <v>217</v>
      </c>
      <c r="E2789">
        <f>IF(LEFT(D2789,6)="CLIENT",IFERROR(VLOOKUP(C2789,Config_Carteiras!$A:$B,2,FALSE),1),"")</f>
        <v>1</v>
      </c>
      <c r="F2789" s="25">
        <v>6497.05</v>
      </c>
      <c r="G2789" s="28">
        <f>IF(LEFT(D2789,6)="CLIENT",IF(E2789=0,WORKDAY(A2789-1,1,Dias_Sem_Compensacao!$A$2:$A$500),WORKDAY(A2789,E2789,Dias_Sem_Compensacao!$A$2:$A$500)),"")</f>
        <v>46317</v>
      </c>
      <c r="H2789" s="25">
        <v>0</v>
      </c>
      <c r="I2789" s="28">
        <v>46316</v>
      </c>
      <c r="J2789" t="s">
        <v>2657</v>
      </c>
      <c r="K2789" t="s">
        <v>2658</v>
      </c>
    </row>
    <row r="2790" spans="1:11" hidden="1">
      <c r="A2790" s="28">
        <v>46316</v>
      </c>
      <c r="B2790" t="s">
        <v>186</v>
      </c>
      <c r="C2790" t="s">
        <v>203</v>
      </c>
      <c r="D2790" t="s">
        <v>217</v>
      </c>
      <c r="E2790">
        <f>IF(LEFT(D2790,6)="CLIENT",IFERROR(VLOOKUP(C2790,Config_Carteiras!$A:$B,2,FALSE),1),"")</f>
        <v>1</v>
      </c>
      <c r="F2790" s="25">
        <v>1548.8</v>
      </c>
      <c r="G2790" s="28">
        <f>IF(LEFT(D2790,6)="CLIENT",IF(E2790=0,WORKDAY(A2790-1,1,Dias_Sem_Compensacao!$A$2:$A$500),WORKDAY(A2790,E2790,Dias_Sem_Compensacao!$A$2:$A$500)),"")</f>
        <v>46317</v>
      </c>
      <c r="H2790" s="25">
        <v>0</v>
      </c>
      <c r="I2790" s="28">
        <v>46316</v>
      </c>
      <c r="J2790" t="s">
        <v>3137</v>
      </c>
      <c r="K2790" t="s">
        <v>3138</v>
      </c>
    </row>
    <row r="2791" spans="1:11" hidden="1">
      <c r="A2791" s="28">
        <v>46316</v>
      </c>
      <c r="B2791" t="s">
        <v>186</v>
      </c>
      <c r="C2791" t="s">
        <v>203</v>
      </c>
      <c r="D2791" t="s">
        <v>217</v>
      </c>
      <c r="E2791">
        <f>IF(LEFT(D2791,6)="CLIENT",IFERROR(VLOOKUP(C2791,Config_Carteiras!$A:$B,2,FALSE),1),"")</f>
        <v>1</v>
      </c>
      <c r="F2791" s="25">
        <v>1044</v>
      </c>
      <c r="G2791" s="28">
        <f>IF(LEFT(D2791,6)="CLIENT",IF(E2791=0,WORKDAY(A2791-1,1,Dias_Sem_Compensacao!$A$2:$A$500),WORKDAY(A2791,E2791,Dias_Sem_Compensacao!$A$2:$A$500)),"")</f>
        <v>46317</v>
      </c>
      <c r="H2791" s="25">
        <v>0</v>
      </c>
      <c r="I2791" s="28">
        <v>46316</v>
      </c>
      <c r="J2791" t="s">
        <v>463</v>
      </c>
      <c r="K2791" t="s">
        <v>3139</v>
      </c>
    </row>
    <row r="2792" spans="1:11" hidden="1">
      <c r="A2792" s="28">
        <v>46316</v>
      </c>
      <c r="B2792" t="s">
        <v>186</v>
      </c>
      <c r="C2792" t="s">
        <v>203</v>
      </c>
      <c r="D2792" t="s">
        <v>217</v>
      </c>
      <c r="E2792">
        <f>IF(LEFT(D2792,6)="CLIENT",IFERROR(VLOOKUP(C2792,Config_Carteiras!$A:$B,2,FALSE),1),"")</f>
        <v>1</v>
      </c>
      <c r="F2792" s="25">
        <v>906.51</v>
      </c>
      <c r="G2792" s="28">
        <f>IF(LEFT(D2792,6)="CLIENT",IF(E2792=0,WORKDAY(A2792-1,1,Dias_Sem_Compensacao!$A$2:$A$500),WORKDAY(A2792,E2792,Dias_Sem_Compensacao!$A$2:$A$500)),"")</f>
        <v>46317</v>
      </c>
      <c r="H2792" s="25">
        <v>0</v>
      </c>
      <c r="I2792" s="28">
        <v>46316</v>
      </c>
      <c r="J2792" t="s">
        <v>2129</v>
      </c>
      <c r="K2792" t="s">
        <v>2130</v>
      </c>
    </row>
    <row r="2793" spans="1:11" hidden="1">
      <c r="A2793" s="28">
        <v>46316</v>
      </c>
      <c r="B2793" t="s">
        <v>186</v>
      </c>
      <c r="C2793" t="s">
        <v>203</v>
      </c>
      <c r="D2793" t="s">
        <v>217</v>
      </c>
      <c r="E2793">
        <f>IF(LEFT(D2793,6)="CLIENT",IFERROR(VLOOKUP(C2793,Config_Carteiras!$A:$B,2,FALSE),1),"")</f>
        <v>1</v>
      </c>
      <c r="F2793" s="25">
        <v>644.28</v>
      </c>
      <c r="G2793" s="28">
        <f>IF(LEFT(D2793,6)="CLIENT",IF(E2793=0,WORKDAY(A2793-1,1,Dias_Sem_Compensacao!$A$2:$A$500),WORKDAY(A2793,E2793,Dias_Sem_Compensacao!$A$2:$A$500)),"")</f>
        <v>46317</v>
      </c>
      <c r="H2793" s="25">
        <v>0</v>
      </c>
      <c r="I2793" s="28">
        <v>46316</v>
      </c>
      <c r="J2793" t="s">
        <v>946</v>
      </c>
      <c r="K2793" t="s">
        <v>3140</v>
      </c>
    </row>
    <row r="2794" spans="1:11" hidden="1">
      <c r="A2794" s="28">
        <v>46316</v>
      </c>
      <c r="B2794" t="s">
        <v>186</v>
      </c>
      <c r="C2794" t="s">
        <v>203</v>
      </c>
      <c r="D2794" t="s">
        <v>217</v>
      </c>
      <c r="E2794">
        <f>IF(LEFT(D2794,6)="CLIENT",IFERROR(VLOOKUP(C2794,Config_Carteiras!$A:$B,2,FALSE),1),"")</f>
        <v>1</v>
      </c>
      <c r="F2794" s="25">
        <v>595</v>
      </c>
      <c r="G2794" s="28">
        <f>IF(LEFT(D2794,6)="CLIENT",IF(E2794=0,WORKDAY(A2794-1,1,Dias_Sem_Compensacao!$A$2:$A$500),WORKDAY(A2794,E2794,Dias_Sem_Compensacao!$A$2:$A$500)),"")</f>
        <v>46317</v>
      </c>
      <c r="H2794" s="25">
        <v>0</v>
      </c>
      <c r="I2794" s="28">
        <v>46316</v>
      </c>
      <c r="J2794" t="s">
        <v>2663</v>
      </c>
      <c r="K2794" t="s">
        <v>2664</v>
      </c>
    </row>
    <row r="2795" spans="1:11" hidden="1">
      <c r="A2795" s="28">
        <v>46316</v>
      </c>
      <c r="B2795" t="s">
        <v>186</v>
      </c>
      <c r="C2795" t="s">
        <v>203</v>
      </c>
      <c r="D2795" t="s">
        <v>217</v>
      </c>
      <c r="E2795">
        <f>IF(LEFT(D2795,6)="CLIENT",IFERROR(VLOOKUP(C2795,Config_Carteiras!$A:$B,2,FALSE),1),"")</f>
        <v>1</v>
      </c>
      <c r="F2795" s="25">
        <v>1206</v>
      </c>
      <c r="G2795" s="28">
        <f>IF(LEFT(D2795,6)="CLIENT",IF(E2795=0,WORKDAY(A2795-1,1,Dias_Sem_Compensacao!$A$2:$A$500),WORKDAY(A2795,E2795,Dias_Sem_Compensacao!$A$2:$A$500)),"")</f>
        <v>46317</v>
      </c>
      <c r="H2795" s="25">
        <v>0</v>
      </c>
      <c r="I2795" s="28">
        <v>46316</v>
      </c>
      <c r="J2795" t="s">
        <v>2665</v>
      </c>
      <c r="K2795" t="s">
        <v>2666</v>
      </c>
    </row>
    <row r="2796" spans="1:11" hidden="1">
      <c r="A2796" s="28">
        <v>46316</v>
      </c>
      <c r="B2796" t="s">
        <v>186</v>
      </c>
      <c r="C2796" t="s">
        <v>203</v>
      </c>
      <c r="D2796" t="s">
        <v>217</v>
      </c>
      <c r="E2796">
        <f>IF(LEFT(D2796,6)="CLIENT",IFERROR(VLOOKUP(C2796,Config_Carteiras!$A:$B,2,FALSE),1),"")</f>
        <v>1</v>
      </c>
      <c r="F2796" s="25">
        <v>1069.19</v>
      </c>
      <c r="G2796" s="28">
        <f>IF(LEFT(D2796,6)="CLIENT",IF(E2796=0,WORKDAY(A2796-1,1,Dias_Sem_Compensacao!$A$2:$A$500),WORKDAY(A2796,E2796,Dias_Sem_Compensacao!$A$2:$A$500)),"")</f>
        <v>46317</v>
      </c>
      <c r="H2796" s="25">
        <v>0</v>
      </c>
      <c r="I2796" s="28">
        <v>46316</v>
      </c>
      <c r="J2796" t="s">
        <v>2543</v>
      </c>
      <c r="K2796" t="s">
        <v>2667</v>
      </c>
    </row>
    <row r="2797" spans="1:11" hidden="1">
      <c r="A2797" s="28">
        <v>46316</v>
      </c>
      <c r="B2797" t="s">
        <v>186</v>
      </c>
      <c r="C2797" t="s">
        <v>203</v>
      </c>
      <c r="D2797" t="s">
        <v>217</v>
      </c>
      <c r="E2797">
        <f>IF(LEFT(D2797,6)="CLIENT",IFERROR(VLOOKUP(C2797,Config_Carteiras!$A:$B,2,FALSE),1),"")</f>
        <v>1</v>
      </c>
      <c r="F2797" s="25">
        <v>885.76</v>
      </c>
      <c r="G2797" s="28">
        <f>IF(LEFT(D2797,6)="CLIENT",IF(E2797=0,WORKDAY(A2797-1,1,Dias_Sem_Compensacao!$A$2:$A$500),WORKDAY(A2797,E2797,Dias_Sem_Compensacao!$A$2:$A$500)),"")</f>
        <v>46317</v>
      </c>
      <c r="H2797" s="25">
        <v>0</v>
      </c>
      <c r="I2797" s="28">
        <v>46316</v>
      </c>
      <c r="K2797" t="s">
        <v>2668</v>
      </c>
    </row>
    <row r="2798" spans="1:11" hidden="1">
      <c r="A2798" s="28">
        <v>46316</v>
      </c>
      <c r="B2798" t="s">
        <v>186</v>
      </c>
      <c r="C2798" t="s">
        <v>203</v>
      </c>
      <c r="D2798" t="s">
        <v>217</v>
      </c>
      <c r="E2798">
        <f>IF(LEFT(D2798,6)="CLIENT",IFERROR(VLOOKUP(C2798,Config_Carteiras!$A:$B,2,FALSE),1),"")</f>
        <v>1</v>
      </c>
      <c r="F2798" s="25">
        <v>377</v>
      </c>
      <c r="G2798" s="28">
        <f>IF(LEFT(D2798,6)="CLIENT",IF(E2798=0,WORKDAY(A2798-1,1,Dias_Sem_Compensacao!$A$2:$A$500),WORKDAY(A2798,E2798,Dias_Sem_Compensacao!$A$2:$A$500)),"")</f>
        <v>46317</v>
      </c>
      <c r="H2798" s="25">
        <v>0</v>
      </c>
      <c r="I2798" s="28">
        <v>46316</v>
      </c>
      <c r="J2798" t="s">
        <v>2669</v>
      </c>
      <c r="K2798" t="s">
        <v>2670</v>
      </c>
    </row>
    <row r="2799" spans="1:11" hidden="1">
      <c r="A2799" s="28">
        <v>46316</v>
      </c>
      <c r="B2799" t="s">
        <v>186</v>
      </c>
      <c r="C2799" t="s">
        <v>203</v>
      </c>
      <c r="D2799" t="s">
        <v>217</v>
      </c>
      <c r="E2799">
        <f>IF(LEFT(D2799,6)="CLIENT",IFERROR(VLOOKUP(C2799,Config_Carteiras!$A:$B,2,FALSE),1),"")</f>
        <v>1</v>
      </c>
      <c r="F2799" s="25">
        <v>2121</v>
      </c>
      <c r="G2799" s="28">
        <f>IF(LEFT(D2799,6)="CLIENT",IF(E2799=0,WORKDAY(A2799-1,1,Dias_Sem_Compensacao!$A$2:$A$500),WORKDAY(A2799,E2799,Dias_Sem_Compensacao!$A$2:$A$500)),"")</f>
        <v>46317</v>
      </c>
      <c r="H2799" s="25">
        <v>0</v>
      </c>
      <c r="I2799" s="28">
        <v>46316</v>
      </c>
      <c r="J2799" t="s">
        <v>2038</v>
      </c>
      <c r="K2799" t="s">
        <v>3141</v>
      </c>
    </row>
    <row r="2800" spans="1:11" hidden="1">
      <c r="A2800" s="28">
        <v>46316</v>
      </c>
      <c r="B2800" t="s">
        <v>186</v>
      </c>
      <c r="C2800" t="s">
        <v>203</v>
      </c>
      <c r="D2800" t="s">
        <v>217</v>
      </c>
      <c r="E2800">
        <f>IF(LEFT(D2800,6)="CLIENT",IFERROR(VLOOKUP(C2800,Config_Carteiras!$A:$B,2,FALSE),1),"")</f>
        <v>1</v>
      </c>
      <c r="F2800" s="25">
        <v>2410</v>
      </c>
      <c r="G2800" s="28">
        <f>IF(LEFT(D2800,6)="CLIENT",IF(E2800=0,WORKDAY(A2800-1,1,Dias_Sem_Compensacao!$A$2:$A$500),WORKDAY(A2800,E2800,Dias_Sem_Compensacao!$A$2:$A$500)),"")</f>
        <v>46317</v>
      </c>
      <c r="H2800" s="25">
        <v>0</v>
      </c>
      <c r="I2800" s="28">
        <v>46316</v>
      </c>
      <c r="J2800" t="s">
        <v>3142</v>
      </c>
      <c r="K2800" t="s">
        <v>3143</v>
      </c>
    </row>
    <row r="2801" spans="1:11" hidden="1">
      <c r="A2801" s="28">
        <v>46316</v>
      </c>
      <c r="B2801" t="s">
        <v>186</v>
      </c>
      <c r="C2801" t="s">
        <v>203</v>
      </c>
      <c r="D2801" t="s">
        <v>217</v>
      </c>
      <c r="E2801">
        <f>IF(LEFT(D2801,6)="CLIENT",IFERROR(VLOOKUP(C2801,Config_Carteiras!$A:$B,2,FALSE),1),"")</f>
        <v>1</v>
      </c>
      <c r="F2801" s="25">
        <v>1740</v>
      </c>
      <c r="G2801" s="28">
        <f>IF(LEFT(D2801,6)="CLIENT",IF(E2801=0,WORKDAY(A2801-1,1,Dias_Sem_Compensacao!$A$2:$A$500),WORKDAY(A2801,E2801,Dias_Sem_Compensacao!$A$2:$A$500)),"")</f>
        <v>46317</v>
      </c>
      <c r="H2801" s="25">
        <v>0</v>
      </c>
      <c r="I2801" s="28">
        <v>46316</v>
      </c>
      <c r="J2801" t="s">
        <v>371</v>
      </c>
      <c r="K2801" t="s">
        <v>2671</v>
      </c>
    </row>
    <row r="2802" spans="1:11" hidden="1">
      <c r="A2802" s="28">
        <v>46316</v>
      </c>
      <c r="B2802" t="s">
        <v>186</v>
      </c>
      <c r="C2802" t="s">
        <v>203</v>
      </c>
      <c r="D2802" t="s">
        <v>217</v>
      </c>
      <c r="E2802">
        <f>IF(LEFT(D2802,6)="CLIENT",IFERROR(VLOOKUP(C2802,Config_Carteiras!$A:$B,2,FALSE),1),"")</f>
        <v>1</v>
      </c>
      <c r="F2802" s="25">
        <v>589.59</v>
      </c>
      <c r="G2802" s="28">
        <f>IF(LEFT(D2802,6)="CLIENT",IF(E2802=0,WORKDAY(A2802-1,1,Dias_Sem_Compensacao!$A$2:$A$500),WORKDAY(A2802,E2802,Dias_Sem_Compensacao!$A$2:$A$500)),"")</f>
        <v>46317</v>
      </c>
      <c r="H2802" s="25">
        <v>0</v>
      </c>
      <c r="I2802" s="28">
        <v>46316</v>
      </c>
      <c r="J2802" t="s">
        <v>2133</v>
      </c>
      <c r="K2802" t="s">
        <v>2134</v>
      </c>
    </row>
    <row r="2803" spans="1:11" hidden="1">
      <c r="A2803" s="28">
        <v>46317</v>
      </c>
      <c r="B2803" t="s">
        <v>186</v>
      </c>
      <c r="C2803" t="s">
        <v>203</v>
      </c>
      <c r="D2803" t="s">
        <v>217</v>
      </c>
      <c r="E2803">
        <f>IF(LEFT(D2803,6)="CLIENT",IFERROR(VLOOKUP(C2803,Config_Carteiras!$A:$B,2,FALSE),1),"")</f>
        <v>1</v>
      </c>
      <c r="F2803" s="25">
        <v>967</v>
      </c>
      <c r="G2803" s="28">
        <f>IF(LEFT(D2803,6)="CLIENT",IF(E2803=0,WORKDAY(A2803-1,1,Dias_Sem_Compensacao!$A$2:$A$500),WORKDAY(A2803,E2803,Dias_Sem_Compensacao!$A$2:$A$500)),"")</f>
        <v>46318</v>
      </c>
      <c r="H2803" s="25">
        <v>0</v>
      </c>
      <c r="I2803" s="28">
        <v>46317</v>
      </c>
      <c r="J2803" t="s">
        <v>2672</v>
      </c>
      <c r="K2803" t="s">
        <v>2673</v>
      </c>
    </row>
    <row r="2804" spans="1:11" hidden="1">
      <c r="A2804" s="28">
        <v>46317</v>
      </c>
      <c r="B2804" t="s">
        <v>186</v>
      </c>
      <c r="C2804" t="s">
        <v>203</v>
      </c>
      <c r="D2804" t="s">
        <v>217</v>
      </c>
      <c r="E2804">
        <f>IF(LEFT(D2804,6)="CLIENT",IFERROR(VLOOKUP(C2804,Config_Carteiras!$A:$B,2,FALSE),1),"")</f>
        <v>1</v>
      </c>
      <c r="F2804" s="25">
        <v>3078</v>
      </c>
      <c r="G2804" s="28">
        <f>IF(LEFT(D2804,6)="CLIENT",IF(E2804=0,WORKDAY(A2804-1,1,Dias_Sem_Compensacao!$A$2:$A$500),WORKDAY(A2804,E2804,Dias_Sem_Compensacao!$A$2:$A$500)),"")</f>
        <v>46318</v>
      </c>
      <c r="H2804" s="25">
        <v>0</v>
      </c>
      <c r="I2804" s="28">
        <v>46317</v>
      </c>
      <c r="J2804" t="s">
        <v>3144</v>
      </c>
      <c r="K2804" t="s">
        <v>3145</v>
      </c>
    </row>
    <row r="2805" spans="1:11" hidden="1">
      <c r="A2805" s="28">
        <v>46317</v>
      </c>
      <c r="B2805" t="s">
        <v>186</v>
      </c>
      <c r="C2805" t="s">
        <v>203</v>
      </c>
      <c r="D2805" t="s">
        <v>217</v>
      </c>
      <c r="E2805">
        <f>IF(LEFT(D2805,6)="CLIENT",IFERROR(VLOOKUP(C2805,Config_Carteiras!$A:$B,2,FALSE),1),"")</f>
        <v>1</v>
      </c>
      <c r="F2805" s="25">
        <v>552</v>
      </c>
      <c r="G2805" s="28">
        <f>IF(LEFT(D2805,6)="CLIENT",IF(E2805=0,WORKDAY(A2805-1,1,Dias_Sem_Compensacao!$A$2:$A$500),WORKDAY(A2805,E2805,Dias_Sem_Compensacao!$A$2:$A$500)),"")</f>
        <v>46318</v>
      </c>
      <c r="H2805" s="25">
        <v>0</v>
      </c>
      <c r="I2805" s="28">
        <v>46317</v>
      </c>
      <c r="J2805" t="s">
        <v>3146</v>
      </c>
      <c r="K2805" t="s">
        <v>3147</v>
      </c>
    </row>
    <row r="2806" spans="1:11" hidden="1">
      <c r="A2806" s="28">
        <v>46317</v>
      </c>
      <c r="B2806" t="s">
        <v>186</v>
      </c>
      <c r="C2806" t="s">
        <v>203</v>
      </c>
      <c r="D2806" t="s">
        <v>217</v>
      </c>
      <c r="E2806">
        <f>IF(LEFT(D2806,6)="CLIENT",IFERROR(VLOOKUP(C2806,Config_Carteiras!$A:$B,2,FALSE),1),"")</f>
        <v>1</v>
      </c>
      <c r="F2806" s="25">
        <v>690.18</v>
      </c>
      <c r="G2806" s="28">
        <f>IF(LEFT(D2806,6)="CLIENT",IF(E2806=0,WORKDAY(A2806-1,1,Dias_Sem_Compensacao!$A$2:$A$500),WORKDAY(A2806,E2806,Dias_Sem_Compensacao!$A$2:$A$500)),"")</f>
        <v>46318</v>
      </c>
      <c r="H2806" s="25">
        <v>0</v>
      </c>
      <c r="I2806" s="28">
        <v>46317</v>
      </c>
      <c r="J2806" t="s">
        <v>2674</v>
      </c>
      <c r="K2806" t="s">
        <v>2675</v>
      </c>
    </row>
    <row r="2807" spans="1:11" hidden="1">
      <c r="A2807" s="28">
        <v>46317</v>
      </c>
      <c r="B2807" t="s">
        <v>186</v>
      </c>
      <c r="C2807" t="s">
        <v>203</v>
      </c>
      <c r="D2807" t="s">
        <v>217</v>
      </c>
      <c r="E2807">
        <f>IF(LEFT(D2807,6)="CLIENT",IFERROR(VLOOKUP(C2807,Config_Carteiras!$A:$B,2,FALSE),1),"")</f>
        <v>1</v>
      </c>
      <c r="F2807" s="25">
        <v>14592</v>
      </c>
      <c r="G2807" s="28">
        <f>IF(LEFT(D2807,6)="CLIENT",IF(E2807=0,WORKDAY(A2807-1,1,Dias_Sem_Compensacao!$A$2:$A$500),WORKDAY(A2807,E2807,Dias_Sem_Compensacao!$A$2:$A$500)),"")</f>
        <v>46318</v>
      </c>
      <c r="H2807" s="25">
        <v>0</v>
      </c>
      <c r="I2807" s="28">
        <v>46317</v>
      </c>
      <c r="J2807" t="s">
        <v>2135</v>
      </c>
      <c r="K2807" t="s">
        <v>2136</v>
      </c>
    </row>
    <row r="2808" spans="1:11" hidden="1">
      <c r="A2808" s="28">
        <v>46317</v>
      </c>
      <c r="B2808" t="s">
        <v>186</v>
      </c>
      <c r="C2808" t="s">
        <v>203</v>
      </c>
      <c r="D2808" t="s">
        <v>217</v>
      </c>
      <c r="E2808">
        <f>IF(LEFT(D2808,6)="CLIENT",IFERROR(VLOOKUP(C2808,Config_Carteiras!$A:$B,2,FALSE),1),"")</f>
        <v>1</v>
      </c>
      <c r="F2808" s="25">
        <v>702.5</v>
      </c>
      <c r="G2808" s="28">
        <f>IF(LEFT(D2808,6)="CLIENT",IF(E2808=0,WORKDAY(A2808-1,1,Dias_Sem_Compensacao!$A$2:$A$500),WORKDAY(A2808,E2808,Dias_Sem_Compensacao!$A$2:$A$500)),"")</f>
        <v>46318</v>
      </c>
      <c r="H2808" s="25">
        <v>0</v>
      </c>
      <c r="I2808" s="28">
        <v>46317</v>
      </c>
      <c r="J2808" t="s">
        <v>3148</v>
      </c>
      <c r="K2808" t="s">
        <v>3149</v>
      </c>
    </row>
    <row r="2809" spans="1:11" hidden="1">
      <c r="A2809" s="28">
        <v>46317</v>
      </c>
      <c r="B2809" t="s">
        <v>186</v>
      </c>
      <c r="C2809" t="s">
        <v>203</v>
      </c>
      <c r="D2809" t="s">
        <v>217</v>
      </c>
      <c r="E2809">
        <f>IF(LEFT(D2809,6)="CLIENT",IFERROR(VLOOKUP(C2809,Config_Carteiras!$A:$B,2,FALSE),1),"")</f>
        <v>1</v>
      </c>
      <c r="F2809" s="25">
        <v>530.94000000000005</v>
      </c>
      <c r="G2809" s="28">
        <f>IF(LEFT(D2809,6)="CLIENT",IF(E2809=0,WORKDAY(A2809-1,1,Dias_Sem_Compensacao!$A$2:$A$500),WORKDAY(A2809,E2809,Dias_Sem_Compensacao!$A$2:$A$500)),"")</f>
        <v>46318</v>
      </c>
      <c r="H2809" s="25">
        <v>0</v>
      </c>
      <c r="I2809" s="28">
        <v>46317</v>
      </c>
      <c r="J2809" t="s">
        <v>2137</v>
      </c>
      <c r="K2809" t="s">
        <v>2138</v>
      </c>
    </row>
    <row r="2810" spans="1:11" hidden="1">
      <c r="A2810" s="28">
        <v>46317</v>
      </c>
      <c r="B2810" t="s">
        <v>186</v>
      </c>
      <c r="C2810" t="s">
        <v>203</v>
      </c>
      <c r="D2810" t="s">
        <v>217</v>
      </c>
      <c r="E2810">
        <f>IF(LEFT(D2810,6)="CLIENT",IFERROR(VLOOKUP(C2810,Config_Carteiras!$A:$B,2,FALSE),1),"")</f>
        <v>1</v>
      </c>
      <c r="F2810" s="25">
        <v>510</v>
      </c>
      <c r="G2810" s="28">
        <f>IF(LEFT(D2810,6)="CLIENT",IF(E2810=0,WORKDAY(A2810-1,1,Dias_Sem_Compensacao!$A$2:$A$500),WORKDAY(A2810,E2810,Dias_Sem_Compensacao!$A$2:$A$500)),"")</f>
        <v>46318</v>
      </c>
      <c r="H2810" s="25">
        <v>0</v>
      </c>
      <c r="I2810" s="28">
        <v>46317</v>
      </c>
      <c r="J2810" t="s">
        <v>2139</v>
      </c>
      <c r="K2810" t="s">
        <v>2140</v>
      </c>
    </row>
    <row r="2811" spans="1:11" hidden="1">
      <c r="A2811" s="28">
        <v>46317</v>
      </c>
      <c r="B2811" t="s">
        <v>186</v>
      </c>
      <c r="C2811" t="s">
        <v>203</v>
      </c>
      <c r="D2811" t="s">
        <v>217</v>
      </c>
      <c r="E2811">
        <f>IF(LEFT(D2811,6)="CLIENT",IFERROR(VLOOKUP(C2811,Config_Carteiras!$A:$B,2,FALSE),1),"")</f>
        <v>1</v>
      </c>
      <c r="F2811" s="25">
        <v>821.44</v>
      </c>
      <c r="G2811" s="28">
        <f>IF(LEFT(D2811,6)="CLIENT",IF(E2811=0,WORKDAY(A2811-1,1,Dias_Sem_Compensacao!$A$2:$A$500),WORKDAY(A2811,E2811,Dias_Sem_Compensacao!$A$2:$A$500)),"")</f>
        <v>46318</v>
      </c>
      <c r="H2811" s="25">
        <v>0</v>
      </c>
      <c r="I2811" s="28">
        <v>46317</v>
      </c>
      <c r="J2811" t="s">
        <v>2141</v>
      </c>
      <c r="K2811" t="s">
        <v>2142</v>
      </c>
    </row>
    <row r="2812" spans="1:11" hidden="1">
      <c r="A2812" s="28">
        <v>46317</v>
      </c>
      <c r="B2812" t="s">
        <v>186</v>
      </c>
      <c r="C2812" t="s">
        <v>203</v>
      </c>
      <c r="D2812" t="s">
        <v>217</v>
      </c>
      <c r="E2812">
        <f>IF(LEFT(D2812,6)="CLIENT",IFERROR(VLOOKUP(C2812,Config_Carteiras!$A:$B,2,FALSE),1),"")</f>
        <v>1</v>
      </c>
      <c r="F2812" s="25">
        <v>2082</v>
      </c>
      <c r="G2812" s="28">
        <f>IF(LEFT(D2812,6)="CLIENT",IF(E2812=0,WORKDAY(A2812-1,1,Dias_Sem_Compensacao!$A$2:$A$500),WORKDAY(A2812,E2812,Dias_Sem_Compensacao!$A$2:$A$500)),"")</f>
        <v>46318</v>
      </c>
      <c r="H2812" s="25">
        <v>0</v>
      </c>
      <c r="I2812" s="28">
        <v>46317</v>
      </c>
      <c r="J2812" t="s">
        <v>3150</v>
      </c>
      <c r="K2812" t="s">
        <v>3151</v>
      </c>
    </row>
    <row r="2813" spans="1:11" hidden="1">
      <c r="A2813" s="28">
        <v>46317</v>
      </c>
      <c r="B2813" t="s">
        <v>186</v>
      </c>
      <c r="C2813" t="s">
        <v>203</v>
      </c>
      <c r="D2813" t="s">
        <v>217</v>
      </c>
      <c r="E2813">
        <f>IF(LEFT(D2813,6)="CLIENT",IFERROR(VLOOKUP(C2813,Config_Carteiras!$A:$B,2,FALSE),1),"")</f>
        <v>1</v>
      </c>
      <c r="F2813" s="25">
        <v>792</v>
      </c>
      <c r="G2813" s="28">
        <f>IF(LEFT(D2813,6)="CLIENT",IF(E2813=0,WORKDAY(A2813-1,1,Dias_Sem_Compensacao!$A$2:$A$500),WORKDAY(A2813,E2813,Dias_Sem_Compensacao!$A$2:$A$500)),"")</f>
        <v>46318</v>
      </c>
      <c r="H2813" s="25">
        <v>0</v>
      </c>
      <c r="I2813" s="28">
        <v>46317</v>
      </c>
      <c r="J2813" t="s">
        <v>2678</v>
      </c>
      <c r="K2813" t="s">
        <v>2679</v>
      </c>
    </row>
    <row r="2814" spans="1:11" hidden="1">
      <c r="A2814" s="28">
        <v>46317</v>
      </c>
      <c r="B2814" t="s">
        <v>186</v>
      </c>
      <c r="C2814" t="s">
        <v>203</v>
      </c>
      <c r="D2814" t="s">
        <v>217</v>
      </c>
      <c r="E2814">
        <f>IF(LEFT(D2814,6)="CLIENT",IFERROR(VLOOKUP(C2814,Config_Carteiras!$A:$B,2,FALSE),1),"")</f>
        <v>1</v>
      </c>
      <c r="F2814" s="25">
        <v>1370</v>
      </c>
      <c r="G2814" s="28">
        <f>IF(LEFT(D2814,6)="CLIENT",IF(E2814=0,WORKDAY(A2814-1,1,Dias_Sem_Compensacao!$A$2:$A$500),WORKDAY(A2814,E2814,Dias_Sem_Compensacao!$A$2:$A$500)),"")</f>
        <v>46318</v>
      </c>
      <c r="H2814" s="25">
        <v>0</v>
      </c>
      <c r="I2814" s="28">
        <v>46317</v>
      </c>
      <c r="J2814" t="s">
        <v>2680</v>
      </c>
      <c r="K2814" t="s">
        <v>2681</v>
      </c>
    </row>
    <row r="2815" spans="1:11" hidden="1">
      <c r="A2815" s="28">
        <v>46317</v>
      </c>
      <c r="B2815" t="s">
        <v>186</v>
      </c>
      <c r="C2815" t="s">
        <v>203</v>
      </c>
      <c r="D2815" t="s">
        <v>217</v>
      </c>
      <c r="E2815">
        <f>IF(LEFT(D2815,6)="CLIENT",IFERROR(VLOOKUP(C2815,Config_Carteiras!$A:$B,2,FALSE),1),"")</f>
        <v>1</v>
      </c>
      <c r="F2815" s="25">
        <v>877.03</v>
      </c>
      <c r="G2815" s="28">
        <f>IF(LEFT(D2815,6)="CLIENT",IF(E2815=0,WORKDAY(A2815-1,1,Dias_Sem_Compensacao!$A$2:$A$500),WORKDAY(A2815,E2815,Dias_Sem_Compensacao!$A$2:$A$500)),"")</f>
        <v>46318</v>
      </c>
      <c r="H2815" s="25">
        <v>0</v>
      </c>
      <c r="I2815" s="28">
        <v>46317</v>
      </c>
      <c r="J2815" t="s">
        <v>1451</v>
      </c>
      <c r="K2815" t="s">
        <v>1452</v>
      </c>
    </row>
    <row r="2816" spans="1:11" hidden="1">
      <c r="A2816" s="28">
        <v>46317</v>
      </c>
      <c r="B2816" t="s">
        <v>186</v>
      </c>
      <c r="C2816" t="s">
        <v>203</v>
      </c>
      <c r="D2816" t="s">
        <v>217</v>
      </c>
      <c r="E2816">
        <f>IF(LEFT(D2816,6)="CLIENT",IFERROR(VLOOKUP(C2816,Config_Carteiras!$A:$B,2,FALSE),1),"")</f>
        <v>1</v>
      </c>
      <c r="F2816" s="25">
        <v>1912</v>
      </c>
      <c r="G2816" s="28">
        <f>IF(LEFT(D2816,6)="CLIENT",IF(E2816=0,WORKDAY(A2816-1,1,Dias_Sem_Compensacao!$A$2:$A$500),WORKDAY(A2816,E2816,Dias_Sem_Compensacao!$A$2:$A$500)),"")</f>
        <v>46318</v>
      </c>
      <c r="H2816" s="25">
        <v>0</v>
      </c>
      <c r="I2816" s="28">
        <v>46317</v>
      </c>
      <c r="J2816" t="s">
        <v>3152</v>
      </c>
      <c r="K2816" t="s">
        <v>3153</v>
      </c>
    </row>
    <row r="2817" spans="1:11" hidden="1">
      <c r="A2817" s="28">
        <v>46317</v>
      </c>
      <c r="B2817" t="s">
        <v>186</v>
      </c>
      <c r="C2817" t="s">
        <v>203</v>
      </c>
      <c r="D2817" t="s">
        <v>217</v>
      </c>
      <c r="E2817">
        <f>IF(LEFT(D2817,6)="CLIENT",IFERROR(VLOOKUP(C2817,Config_Carteiras!$A:$B,2,FALSE),1),"")</f>
        <v>1</v>
      </c>
      <c r="F2817" s="25">
        <v>934</v>
      </c>
      <c r="G2817" s="28">
        <f>IF(LEFT(D2817,6)="CLIENT",IF(E2817=0,WORKDAY(A2817-1,1,Dias_Sem_Compensacao!$A$2:$A$500),WORKDAY(A2817,E2817,Dias_Sem_Compensacao!$A$2:$A$500)),"")</f>
        <v>46318</v>
      </c>
      <c r="H2817" s="25">
        <v>0</v>
      </c>
      <c r="I2817" s="28">
        <v>46317</v>
      </c>
      <c r="J2817" t="s">
        <v>3154</v>
      </c>
      <c r="K2817" t="s">
        <v>3155</v>
      </c>
    </row>
    <row r="2818" spans="1:11" hidden="1">
      <c r="A2818" s="28">
        <v>46317</v>
      </c>
      <c r="B2818" t="s">
        <v>186</v>
      </c>
      <c r="C2818" t="s">
        <v>203</v>
      </c>
      <c r="D2818" t="s">
        <v>217</v>
      </c>
      <c r="E2818">
        <f>IF(LEFT(D2818,6)="CLIENT",IFERROR(VLOOKUP(C2818,Config_Carteiras!$A:$B,2,FALSE),1),"")</f>
        <v>1</v>
      </c>
      <c r="F2818" s="25">
        <v>809.53</v>
      </c>
      <c r="G2818" s="28">
        <f>IF(LEFT(D2818,6)="CLIENT",IF(E2818=0,WORKDAY(A2818-1,1,Dias_Sem_Compensacao!$A$2:$A$500),WORKDAY(A2818,E2818,Dias_Sem_Compensacao!$A$2:$A$500)),"")</f>
        <v>46318</v>
      </c>
      <c r="H2818" s="25">
        <v>0</v>
      </c>
      <c r="I2818" s="28">
        <v>46317</v>
      </c>
      <c r="J2818" t="s">
        <v>1463</v>
      </c>
      <c r="K2818" t="s">
        <v>1464</v>
      </c>
    </row>
    <row r="2819" spans="1:11" hidden="1">
      <c r="A2819" s="28">
        <v>46317</v>
      </c>
      <c r="B2819" t="s">
        <v>186</v>
      </c>
      <c r="C2819" t="s">
        <v>203</v>
      </c>
      <c r="D2819" t="s">
        <v>217</v>
      </c>
      <c r="E2819">
        <f>IF(LEFT(D2819,6)="CLIENT",IFERROR(VLOOKUP(C2819,Config_Carteiras!$A:$B,2,FALSE),1),"")</f>
        <v>1</v>
      </c>
      <c r="F2819" s="25">
        <v>642</v>
      </c>
      <c r="G2819" s="28">
        <f>IF(LEFT(D2819,6)="CLIENT",IF(E2819=0,WORKDAY(A2819-1,1,Dias_Sem_Compensacao!$A$2:$A$500),WORKDAY(A2819,E2819,Dias_Sem_Compensacao!$A$2:$A$500)),"")</f>
        <v>46318</v>
      </c>
      <c r="H2819" s="25">
        <v>0</v>
      </c>
      <c r="I2819" s="28">
        <v>46317</v>
      </c>
      <c r="J2819" t="s">
        <v>2684</v>
      </c>
      <c r="K2819" t="s">
        <v>2685</v>
      </c>
    </row>
    <row r="2820" spans="1:11" hidden="1">
      <c r="A2820" s="28">
        <v>46317</v>
      </c>
      <c r="B2820" t="s">
        <v>186</v>
      </c>
      <c r="C2820" t="s">
        <v>203</v>
      </c>
      <c r="D2820" t="s">
        <v>217</v>
      </c>
      <c r="E2820">
        <f>IF(LEFT(D2820,6)="CLIENT",IFERROR(VLOOKUP(C2820,Config_Carteiras!$A:$B,2,FALSE),1),"")</f>
        <v>1</v>
      </c>
      <c r="F2820" s="25">
        <v>419</v>
      </c>
      <c r="G2820" s="28">
        <f>IF(LEFT(D2820,6)="CLIENT",IF(E2820=0,WORKDAY(A2820-1,1,Dias_Sem_Compensacao!$A$2:$A$500),WORKDAY(A2820,E2820,Dias_Sem_Compensacao!$A$2:$A$500)),"")</f>
        <v>46318</v>
      </c>
      <c r="H2820" s="25">
        <v>0</v>
      </c>
      <c r="I2820" s="28">
        <v>46317</v>
      </c>
      <c r="J2820" t="s">
        <v>3156</v>
      </c>
      <c r="K2820" t="s">
        <v>3157</v>
      </c>
    </row>
    <row r="2821" spans="1:11" hidden="1">
      <c r="A2821" s="28">
        <v>46317</v>
      </c>
      <c r="B2821" t="s">
        <v>186</v>
      </c>
      <c r="C2821" t="s">
        <v>203</v>
      </c>
      <c r="D2821" t="s">
        <v>217</v>
      </c>
      <c r="E2821">
        <f>IF(LEFT(D2821,6)="CLIENT",IFERROR(VLOOKUP(C2821,Config_Carteiras!$A:$B,2,FALSE),1),"")</f>
        <v>1</v>
      </c>
      <c r="F2821" s="25">
        <v>4725</v>
      </c>
      <c r="G2821" s="28">
        <f>IF(LEFT(D2821,6)="CLIENT",IF(E2821=0,WORKDAY(A2821-1,1,Dias_Sem_Compensacao!$A$2:$A$500),WORKDAY(A2821,E2821,Dias_Sem_Compensacao!$A$2:$A$500)),"")</f>
        <v>46318</v>
      </c>
      <c r="H2821" s="25">
        <v>0</v>
      </c>
      <c r="I2821" s="28">
        <v>46317</v>
      </c>
      <c r="J2821" t="s">
        <v>2147</v>
      </c>
      <c r="K2821" t="s">
        <v>2148</v>
      </c>
    </row>
    <row r="2822" spans="1:11" hidden="1">
      <c r="A2822" s="28">
        <v>46317</v>
      </c>
      <c r="B2822" t="s">
        <v>186</v>
      </c>
      <c r="C2822" t="s">
        <v>203</v>
      </c>
      <c r="D2822" t="s">
        <v>217</v>
      </c>
      <c r="E2822">
        <f>IF(LEFT(D2822,6)="CLIENT",IFERROR(VLOOKUP(C2822,Config_Carteiras!$A:$B,2,FALSE),1),"")</f>
        <v>1</v>
      </c>
      <c r="F2822" s="25">
        <v>561.82000000000005</v>
      </c>
      <c r="G2822" s="28">
        <f>IF(LEFT(D2822,6)="CLIENT",IF(E2822=0,WORKDAY(A2822-1,1,Dias_Sem_Compensacao!$A$2:$A$500),WORKDAY(A2822,E2822,Dias_Sem_Compensacao!$A$2:$A$500)),"")</f>
        <v>46318</v>
      </c>
      <c r="H2822" s="25">
        <v>0</v>
      </c>
      <c r="I2822" s="28">
        <v>46317</v>
      </c>
      <c r="J2822" t="s">
        <v>1469</v>
      </c>
      <c r="K2822" t="s">
        <v>1470</v>
      </c>
    </row>
    <row r="2823" spans="1:11" hidden="1">
      <c r="A2823" s="28">
        <v>46317</v>
      </c>
      <c r="B2823" t="s">
        <v>186</v>
      </c>
      <c r="C2823" t="s">
        <v>203</v>
      </c>
      <c r="D2823" t="s">
        <v>217</v>
      </c>
      <c r="E2823">
        <f>IF(LEFT(D2823,6)="CLIENT",IFERROR(VLOOKUP(C2823,Config_Carteiras!$A:$B,2,FALSE),1),"")</f>
        <v>1</v>
      </c>
      <c r="F2823" s="25">
        <v>1463.58</v>
      </c>
      <c r="G2823" s="28">
        <f>IF(LEFT(D2823,6)="CLIENT",IF(E2823=0,WORKDAY(A2823-1,1,Dias_Sem_Compensacao!$A$2:$A$500),WORKDAY(A2823,E2823,Dias_Sem_Compensacao!$A$2:$A$500)),"")</f>
        <v>46318</v>
      </c>
      <c r="H2823" s="25">
        <v>0</v>
      </c>
      <c r="I2823" s="28">
        <v>46317</v>
      </c>
      <c r="J2823" t="s">
        <v>3158</v>
      </c>
      <c r="K2823" t="s">
        <v>3159</v>
      </c>
    </row>
    <row r="2824" spans="1:11" hidden="1">
      <c r="A2824" s="28">
        <v>46317</v>
      </c>
      <c r="B2824" t="s">
        <v>186</v>
      </c>
      <c r="C2824" t="s">
        <v>203</v>
      </c>
      <c r="D2824" t="s">
        <v>217</v>
      </c>
      <c r="E2824">
        <f>IF(LEFT(D2824,6)="CLIENT",IFERROR(VLOOKUP(C2824,Config_Carteiras!$A:$B,2,FALSE),1),"")</f>
        <v>1</v>
      </c>
      <c r="F2824" s="25">
        <v>1638.08</v>
      </c>
      <c r="G2824" s="28">
        <f>IF(LEFT(D2824,6)="CLIENT",IF(E2824=0,WORKDAY(A2824-1,1,Dias_Sem_Compensacao!$A$2:$A$500),WORKDAY(A2824,E2824,Dias_Sem_Compensacao!$A$2:$A$500)),"")</f>
        <v>46318</v>
      </c>
      <c r="H2824" s="25">
        <v>0</v>
      </c>
      <c r="I2824" s="28">
        <v>46317</v>
      </c>
      <c r="K2824" t="s">
        <v>3160</v>
      </c>
    </row>
    <row r="2825" spans="1:11" hidden="1">
      <c r="A2825" s="28">
        <v>46317</v>
      </c>
      <c r="B2825" t="s">
        <v>186</v>
      </c>
      <c r="C2825" t="s">
        <v>203</v>
      </c>
      <c r="D2825" t="s">
        <v>217</v>
      </c>
      <c r="E2825">
        <f>IF(LEFT(D2825,6)="CLIENT",IFERROR(VLOOKUP(C2825,Config_Carteiras!$A:$B,2,FALSE),1),"")</f>
        <v>1</v>
      </c>
      <c r="F2825" s="25">
        <v>1748.56</v>
      </c>
      <c r="G2825" s="28">
        <f>IF(LEFT(D2825,6)="CLIENT",IF(E2825=0,WORKDAY(A2825-1,1,Dias_Sem_Compensacao!$A$2:$A$500),WORKDAY(A2825,E2825,Dias_Sem_Compensacao!$A$2:$A$500)),"")</f>
        <v>46318</v>
      </c>
      <c r="H2825" s="25">
        <v>0</v>
      </c>
      <c r="I2825" s="28">
        <v>46317</v>
      </c>
      <c r="K2825" t="s">
        <v>3161</v>
      </c>
    </row>
    <row r="2826" spans="1:11" hidden="1">
      <c r="A2826" s="28">
        <v>46317</v>
      </c>
      <c r="B2826" t="s">
        <v>186</v>
      </c>
      <c r="C2826" t="s">
        <v>203</v>
      </c>
      <c r="D2826" t="s">
        <v>217</v>
      </c>
      <c r="E2826">
        <f>IF(LEFT(D2826,6)="CLIENT",IFERROR(VLOOKUP(C2826,Config_Carteiras!$A:$B,2,FALSE),1),"")</f>
        <v>1</v>
      </c>
      <c r="F2826" s="25">
        <v>777</v>
      </c>
      <c r="G2826" s="28">
        <f>IF(LEFT(D2826,6)="CLIENT",IF(E2826=0,WORKDAY(A2826-1,1,Dias_Sem_Compensacao!$A$2:$A$500),WORKDAY(A2826,E2826,Dias_Sem_Compensacao!$A$2:$A$500)),"")</f>
        <v>46318</v>
      </c>
      <c r="H2826" s="25">
        <v>0</v>
      </c>
      <c r="I2826" s="28">
        <v>46317</v>
      </c>
      <c r="J2826" t="s">
        <v>2687</v>
      </c>
      <c r="K2826" t="s">
        <v>2688</v>
      </c>
    </row>
    <row r="2827" spans="1:11" hidden="1">
      <c r="A2827" s="28">
        <v>46317</v>
      </c>
      <c r="B2827" t="s">
        <v>186</v>
      </c>
      <c r="C2827" t="s">
        <v>203</v>
      </c>
      <c r="D2827" t="s">
        <v>217</v>
      </c>
      <c r="E2827">
        <f>IF(LEFT(D2827,6)="CLIENT",IFERROR(VLOOKUP(C2827,Config_Carteiras!$A:$B,2,FALSE),1),"")</f>
        <v>1</v>
      </c>
      <c r="F2827" s="25">
        <v>1574</v>
      </c>
      <c r="G2827" s="28">
        <f>IF(LEFT(D2827,6)="CLIENT",IF(E2827=0,WORKDAY(A2827-1,1,Dias_Sem_Compensacao!$A$2:$A$500),WORKDAY(A2827,E2827,Dias_Sem_Compensacao!$A$2:$A$500)),"")</f>
        <v>46318</v>
      </c>
      <c r="H2827" s="25">
        <v>0</v>
      </c>
      <c r="I2827" s="28">
        <v>46317</v>
      </c>
      <c r="J2827" t="s">
        <v>3162</v>
      </c>
      <c r="K2827" t="s">
        <v>3163</v>
      </c>
    </row>
    <row r="2828" spans="1:11" hidden="1">
      <c r="A2828" s="28">
        <v>46317</v>
      </c>
      <c r="B2828" t="s">
        <v>186</v>
      </c>
      <c r="C2828" t="s">
        <v>203</v>
      </c>
      <c r="D2828" t="s">
        <v>217</v>
      </c>
      <c r="E2828">
        <f>IF(LEFT(D2828,6)="CLIENT",IFERROR(VLOOKUP(C2828,Config_Carteiras!$A:$B,2,FALSE),1),"")</f>
        <v>1</v>
      </c>
      <c r="F2828" s="25">
        <v>1201.47</v>
      </c>
      <c r="G2828" s="28">
        <f>IF(LEFT(D2828,6)="CLIENT",IF(E2828=0,WORKDAY(A2828-1,1,Dias_Sem_Compensacao!$A$2:$A$500),WORKDAY(A2828,E2828,Dias_Sem_Compensacao!$A$2:$A$500)),"")</f>
        <v>46318</v>
      </c>
      <c r="H2828" s="25">
        <v>0</v>
      </c>
      <c r="I2828" s="28">
        <v>46317</v>
      </c>
      <c r="J2828" t="s">
        <v>2152</v>
      </c>
      <c r="K2828" t="s">
        <v>2153</v>
      </c>
    </row>
    <row r="2829" spans="1:11" hidden="1">
      <c r="A2829" s="28">
        <v>46317</v>
      </c>
      <c r="B2829" t="s">
        <v>186</v>
      </c>
      <c r="C2829" t="s">
        <v>203</v>
      </c>
      <c r="D2829" t="s">
        <v>217</v>
      </c>
      <c r="E2829">
        <f>IF(LEFT(D2829,6)="CLIENT",IFERROR(VLOOKUP(C2829,Config_Carteiras!$A:$B,2,FALSE),1),"")</f>
        <v>1</v>
      </c>
      <c r="F2829" s="25">
        <v>1101.1199999999999</v>
      </c>
      <c r="G2829" s="28">
        <f>IF(LEFT(D2829,6)="CLIENT",IF(E2829=0,WORKDAY(A2829-1,1,Dias_Sem_Compensacao!$A$2:$A$500),WORKDAY(A2829,E2829,Dias_Sem_Compensacao!$A$2:$A$500)),"")</f>
        <v>46318</v>
      </c>
      <c r="H2829" s="25">
        <v>0</v>
      </c>
      <c r="I2829" s="28">
        <v>46317</v>
      </c>
      <c r="J2829" t="s">
        <v>2689</v>
      </c>
      <c r="K2829" t="s">
        <v>2690</v>
      </c>
    </row>
    <row r="2830" spans="1:11" hidden="1">
      <c r="A2830" s="28">
        <v>46317</v>
      </c>
      <c r="B2830" t="s">
        <v>186</v>
      </c>
      <c r="C2830" t="s">
        <v>203</v>
      </c>
      <c r="D2830" t="s">
        <v>217</v>
      </c>
      <c r="E2830">
        <f>IF(LEFT(D2830,6)="CLIENT",IFERROR(VLOOKUP(C2830,Config_Carteiras!$A:$B,2,FALSE),1),"")</f>
        <v>1</v>
      </c>
      <c r="F2830" s="25">
        <v>827.69</v>
      </c>
      <c r="G2830" s="28">
        <f>IF(LEFT(D2830,6)="CLIENT",IF(E2830=0,WORKDAY(A2830-1,1,Dias_Sem_Compensacao!$A$2:$A$500),WORKDAY(A2830,E2830,Dias_Sem_Compensacao!$A$2:$A$500)),"")</f>
        <v>46318</v>
      </c>
      <c r="H2830" s="25">
        <v>0</v>
      </c>
      <c r="I2830" s="28">
        <v>46317</v>
      </c>
      <c r="J2830" t="s">
        <v>2154</v>
      </c>
      <c r="K2830" t="s">
        <v>2155</v>
      </c>
    </row>
    <row r="2831" spans="1:11" hidden="1">
      <c r="A2831" s="28">
        <v>46317</v>
      </c>
      <c r="B2831" t="s">
        <v>186</v>
      </c>
      <c r="C2831" t="s">
        <v>203</v>
      </c>
      <c r="D2831" t="s">
        <v>217</v>
      </c>
      <c r="E2831">
        <f>IF(LEFT(D2831,6)="CLIENT",IFERROR(VLOOKUP(C2831,Config_Carteiras!$A:$B,2,FALSE),1),"")</f>
        <v>1</v>
      </c>
      <c r="F2831" s="25">
        <v>1744.78</v>
      </c>
      <c r="G2831" s="28">
        <f>IF(LEFT(D2831,6)="CLIENT",IF(E2831=0,WORKDAY(A2831-1,1,Dias_Sem_Compensacao!$A$2:$A$500),WORKDAY(A2831,E2831,Dias_Sem_Compensacao!$A$2:$A$500)),"")</f>
        <v>46318</v>
      </c>
      <c r="H2831" s="25">
        <v>0</v>
      </c>
      <c r="I2831" s="28">
        <v>46317</v>
      </c>
      <c r="J2831" t="s">
        <v>2156</v>
      </c>
      <c r="K2831" t="s">
        <v>2157</v>
      </c>
    </row>
    <row r="2832" spans="1:11" hidden="1">
      <c r="A2832" s="28">
        <v>46317</v>
      </c>
      <c r="B2832" t="s">
        <v>186</v>
      </c>
      <c r="C2832" t="s">
        <v>203</v>
      </c>
      <c r="D2832" t="s">
        <v>217</v>
      </c>
      <c r="E2832">
        <f>IF(LEFT(D2832,6)="CLIENT",IFERROR(VLOOKUP(C2832,Config_Carteiras!$A:$B,2,FALSE),1),"")</f>
        <v>1</v>
      </c>
      <c r="F2832" s="25">
        <v>934.21</v>
      </c>
      <c r="G2832" s="28">
        <f>IF(LEFT(D2832,6)="CLIENT",IF(E2832=0,WORKDAY(A2832-1,1,Dias_Sem_Compensacao!$A$2:$A$500),WORKDAY(A2832,E2832,Dias_Sem_Compensacao!$A$2:$A$500)),"")</f>
        <v>46318</v>
      </c>
      <c r="H2832" s="25">
        <v>0</v>
      </c>
      <c r="I2832" s="28">
        <v>46317</v>
      </c>
      <c r="J2832" t="s">
        <v>2158</v>
      </c>
      <c r="K2832" t="s">
        <v>2159</v>
      </c>
    </row>
    <row r="2833" spans="1:11" hidden="1">
      <c r="A2833" s="28">
        <v>46317</v>
      </c>
      <c r="B2833" t="s">
        <v>186</v>
      </c>
      <c r="C2833" t="s">
        <v>203</v>
      </c>
      <c r="D2833" t="s">
        <v>217</v>
      </c>
      <c r="E2833">
        <f>IF(LEFT(D2833,6)="CLIENT",IFERROR(VLOOKUP(C2833,Config_Carteiras!$A:$B,2,FALSE),1),"")</f>
        <v>1</v>
      </c>
      <c r="F2833" s="25">
        <v>1143.45</v>
      </c>
      <c r="G2833" s="28">
        <f>IF(LEFT(D2833,6)="CLIENT",IF(E2833=0,WORKDAY(A2833-1,1,Dias_Sem_Compensacao!$A$2:$A$500),WORKDAY(A2833,E2833,Dias_Sem_Compensacao!$A$2:$A$500)),"")</f>
        <v>46318</v>
      </c>
      <c r="H2833" s="25">
        <v>0</v>
      </c>
      <c r="I2833" s="28">
        <v>46317</v>
      </c>
      <c r="K2833" t="s">
        <v>2160</v>
      </c>
    </row>
    <row r="2834" spans="1:11" hidden="1">
      <c r="A2834" s="28">
        <v>46317</v>
      </c>
      <c r="B2834" t="s">
        <v>186</v>
      </c>
      <c r="C2834" t="s">
        <v>203</v>
      </c>
      <c r="D2834" t="s">
        <v>217</v>
      </c>
      <c r="E2834">
        <f>IF(LEFT(D2834,6)="CLIENT",IFERROR(VLOOKUP(C2834,Config_Carteiras!$A:$B,2,FALSE),1),"")</f>
        <v>1</v>
      </c>
      <c r="F2834" s="25">
        <v>1115</v>
      </c>
      <c r="G2834" s="28">
        <f>IF(LEFT(D2834,6)="CLIENT",IF(E2834=0,WORKDAY(A2834-1,1,Dias_Sem_Compensacao!$A$2:$A$500),WORKDAY(A2834,E2834,Dias_Sem_Compensacao!$A$2:$A$500)),"")</f>
        <v>46318</v>
      </c>
      <c r="H2834" s="25">
        <v>0</v>
      </c>
      <c r="I2834" s="28">
        <v>46317</v>
      </c>
      <c r="J2834" t="s">
        <v>1476</v>
      </c>
      <c r="K2834" t="s">
        <v>1477</v>
      </c>
    </row>
    <row r="2835" spans="1:11" hidden="1">
      <c r="A2835" s="28">
        <v>46317</v>
      </c>
      <c r="B2835" t="s">
        <v>186</v>
      </c>
      <c r="C2835" t="s">
        <v>203</v>
      </c>
      <c r="D2835" t="s">
        <v>217</v>
      </c>
      <c r="E2835">
        <f>IF(LEFT(D2835,6)="CLIENT",IFERROR(VLOOKUP(C2835,Config_Carteiras!$A:$B,2,FALSE),1),"")</f>
        <v>1</v>
      </c>
      <c r="F2835" s="25">
        <v>7906.85</v>
      </c>
      <c r="G2835" s="28">
        <f>IF(LEFT(D2835,6)="CLIENT",IF(E2835=0,WORKDAY(A2835-1,1,Dias_Sem_Compensacao!$A$2:$A$500),WORKDAY(A2835,E2835,Dias_Sem_Compensacao!$A$2:$A$500)),"")</f>
        <v>46318</v>
      </c>
      <c r="H2835" s="25">
        <v>0</v>
      </c>
      <c r="I2835" s="28">
        <v>46317</v>
      </c>
      <c r="J2835" t="s">
        <v>1478</v>
      </c>
      <c r="K2835" t="s">
        <v>1479</v>
      </c>
    </row>
    <row r="2836" spans="1:11" hidden="1">
      <c r="A2836" s="28">
        <v>46317</v>
      </c>
      <c r="B2836" t="s">
        <v>186</v>
      </c>
      <c r="C2836" t="s">
        <v>203</v>
      </c>
      <c r="D2836" t="s">
        <v>217</v>
      </c>
      <c r="E2836">
        <f>IF(LEFT(D2836,6)="CLIENT",IFERROR(VLOOKUP(C2836,Config_Carteiras!$A:$B,2,FALSE),1),"")</f>
        <v>1</v>
      </c>
      <c r="F2836" s="25">
        <v>5642</v>
      </c>
      <c r="G2836" s="28">
        <f>IF(LEFT(D2836,6)="CLIENT",IF(E2836=0,WORKDAY(A2836-1,1,Dias_Sem_Compensacao!$A$2:$A$500),WORKDAY(A2836,E2836,Dias_Sem_Compensacao!$A$2:$A$500)),"")</f>
        <v>46318</v>
      </c>
      <c r="H2836" s="25">
        <v>0</v>
      </c>
      <c r="I2836" s="28">
        <v>46317</v>
      </c>
      <c r="J2836" t="s">
        <v>3164</v>
      </c>
      <c r="K2836" t="s">
        <v>3165</v>
      </c>
    </row>
    <row r="2837" spans="1:11" hidden="1">
      <c r="A2837" s="28">
        <v>46317</v>
      </c>
      <c r="B2837" t="s">
        <v>186</v>
      </c>
      <c r="C2837" t="s">
        <v>203</v>
      </c>
      <c r="D2837" t="s">
        <v>217</v>
      </c>
      <c r="E2837">
        <f>IF(LEFT(D2837,6)="CLIENT",IFERROR(VLOOKUP(C2837,Config_Carteiras!$A:$B,2,FALSE),1),"")</f>
        <v>1</v>
      </c>
      <c r="F2837" s="25">
        <v>1378</v>
      </c>
      <c r="G2837" s="28">
        <f>IF(LEFT(D2837,6)="CLIENT",IF(E2837=0,WORKDAY(A2837-1,1,Dias_Sem_Compensacao!$A$2:$A$500),WORKDAY(A2837,E2837,Dias_Sem_Compensacao!$A$2:$A$500)),"")</f>
        <v>46318</v>
      </c>
      <c r="H2837" s="25">
        <v>0</v>
      </c>
      <c r="I2837" s="28">
        <v>46317</v>
      </c>
      <c r="J2837" t="s">
        <v>2697</v>
      </c>
      <c r="K2837" t="s">
        <v>2698</v>
      </c>
    </row>
    <row r="2838" spans="1:11" hidden="1">
      <c r="A2838" s="28">
        <v>46317</v>
      </c>
      <c r="B2838" t="s">
        <v>186</v>
      </c>
      <c r="C2838" t="s">
        <v>203</v>
      </c>
      <c r="D2838" t="s">
        <v>217</v>
      </c>
      <c r="E2838">
        <f>IF(LEFT(D2838,6)="CLIENT",IFERROR(VLOOKUP(C2838,Config_Carteiras!$A:$B,2,FALSE),1),"")</f>
        <v>1</v>
      </c>
      <c r="F2838" s="25">
        <v>410</v>
      </c>
      <c r="G2838" s="28">
        <f>IF(LEFT(D2838,6)="CLIENT",IF(E2838=0,WORKDAY(A2838-1,1,Dias_Sem_Compensacao!$A$2:$A$500),WORKDAY(A2838,E2838,Dias_Sem_Compensacao!$A$2:$A$500)),"")</f>
        <v>46318</v>
      </c>
      <c r="H2838" s="25">
        <v>0</v>
      </c>
      <c r="I2838" s="28">
        <v>46317</v>
      </c>
      <c r="J2838" t="s">
        <v>2701</v>
      </c>
      <c r="K2838" t="s">
        <v>2702</v>
      </c>
    </row>
    <row r="2839" spans="1:11" hidden="1">
      <c r="A2839" s="28">
        <v>46317</v>
      </c>
      <c r="B2839" t="s">
        <v>186</v>
      </c>
      <c r="C2839" t="s">
        <v>203</v>
      </c>
      <c r="D2839" t="s">
        <v>217</v>
      </c>
      <c r="E2839">
        <f>IF(LEFT(D2839,6)="CLIENT",IFERROR(VLOOKUP(C2839,Config_Carteiras!$A:$B,2,FALSE),1),"")</f>
        <v>1</v>
      </c>
      <c r="F2839" s="25">
        <v>1208</v>
      </c>
      <c r="G2839" s="28">
        <f>IF(LEFT(D2839,6)="CLIENT",IF(E2839=0,WORKDAY(A2839-1,1,Dias_Sem_Compensacao!$A$2:$A$500),WORKDAY(A2839,E2839,Dias_Sem_Compensacao!$A$2:$A$500)),"")</f>
        <v>46318</v>
      </c>
      <c r="H2839" s="25">
        <v>0</v>
      </c>
      <c r="I2839" s="28">
        <v>46317</v>
      </c>
      <c r="J2839" t="s">
        <v>3166</v>
      </c>
      <c r="K2839" t="s">
        <v>3167</v>
      </c>
    </row>
    <row r="2840" spans="1:11" hidden="1">
      <c r="A2840" s="28">
        <v>46317</v>
      </c>
      <c r="B2840" t="s">
        <v>186</v>
      </c>
      <c r="C2840" t="s">
        <v>203</v>
      </c>
      <c r="D2840" t="s">
        <v>217</v>
      </c>
      <c r="E2840">
        <f>IF(LEFT(D2840,6)="CLIENT",IFERROR(VLOOKUP(C2840,Config_Carteiras!$A:$B,2,FALSE),1),"")</f>
        <v>1</v>
      </c>
      <c r="F2840" s="25">
        <v>644.96</v>
      </c>
      <c r="G2840" s="28">
        <f>IF(LEFT(D2840,6)="CLIENT",IF(E2840=0,WORKDAY(A2840-1,1,Dias_Sem_Compensacao!$A$2:$A$500),WORKDAY(A2840,E2840,Dias_Sem_Compensacao!$A$2:$A$500)),"")</f>
        <v>46318</v>
      </c>
      <c r="H2840" s="25">
        <v>0</v>
      </c>
      <c r="I2840" s="28">
        <v>46317</v>
      </c>
      <c r="J2840" t="s">
        <v>1493</v>
      </c>
      <c r="K2840" t="s">
        <v>1494</v>
      </c>
    </row>
    <row r="2841" spans="1:11" hidden="1">
      <c r="A2841" s="28">
        <v>46317</v>
      </c>
      <c r="B2841" t="s">
        <v>186</v>
      </c>
      <c r="C2841" t="s">
        <v>203</v>
      </c>
      <c r="D2841" t="s">
        <v>217</v>
      </c>
      <c r="E2841">
        <f>IF(LEFT(D2841,6)="CLIENT",IFERROR(VLOOKUP(C2841,Config_Carteiras!$A:$B,2,FALSE),1),"")</f>
        <v>1</v>
      </c>
      <c r="F2841" s="25">
        <v>599.37</v>
      </c>
      <c r="G2841" s="28">
        <f>IF(LEFT(D2841,6)="CLIENT",IF(E2841=0,WORKDAY(A2841-1,1,Dias_Sem_Compensacao!$A$2:$A$500),WORKDAY(A2841,E2841,Dias_Sem_Compensacao!$A$2:$A$500)),"")</f>
        <v>46318</v>
      </c>
      <c r="H2841" s="25">
        <v>0</v>
      </c>
      <c r="I2841" s="28">
        <v>46317</v>
      </c>
      <c r="J2841" t="s">
        <v>1497</v>
      </c>
      <c r="K2841" t="s">
        <v>1498</v>
      </c>
    </row>
    <row r="2842" spans="1:11" hidden="1">
      <c r="A2842" s="28">
        <v>46317</v>
      </c>
      <c r="B2842" t="s">
        <v>186</v>
      </c>
      <c r="C2842" t="s">
        <v>203</v>
      </c>
      <c r="D2842" t="s">
        <v>217</v>
      </c>
      <c r="E2842">
        <f>IF(LEFT(D2842,6)="CLIENT",IFERROR(VLOOKUP(C2842,Config_Carteiras!$A:$B,2,FALSE),1),"")</f>
        <v>1</v>
      </c>
      <c r="F2842" s="25">
        <v>1030.05</v>
      </c>
      <c r="G2842" s="28">
        <f>IF(LEFT(D2842,6)="CLIENT",IF(E2842=0,WORKDAY(A2842-1,1,Dias_Sem_Compensacao!$A$2:$A$500),WORKDAY(A2842,E2842,Dias_Sem_Compensacao!$A$2:$A$500)),"")</f>
        <v>46318</v>
      </c>
      <c r="H2842" s="25">
        <v>0</v>
      </c>
      <c r="I2842" s="28">
        <v>46317</v>
      </c>
      <c r="J2842" t="s">
        <v>3168</v>
      </c>
      <c r="K2842" t="s">
        <v>3169</v>
      </c>
    </row>
    <row r="2843" spans="1:11" hidden="1">
      <c r="A2843" s="28">
        <v>46317</v>
      </c>
      <c r="B2843" t="s">
        <v>186</v>
      </c>
      <c r="C2843" t="s">
        <v>203</v>
      </c>
      <c r="D2843" t="s">
        <v>217</v>
      </c>
      <c r="E2843">
        <f>IF(LEFT(D2843,6)="CLIENT",IFERROR(VLOOKUP(C2843,Config_Carteiras!$A:$B,2,FALSE),1),"")</f>
        <v>1</v>
      </c>
      <c r="F2843" s="25">
        <v>764</v>
      </c>
      <c r="G2843" s="28">
        <f>IF(LEFT(D2843,6)="CLIENT",IF(E2843=0,WORKDAY(A2843-1,1,Dias_Sem_Compensacao!$A$2:$A$500),WORKDAY(A2843,E2843,Dias_Sem_Compensacao!$A$2:$A$500)),"")</f>
        <v>46318</v>
      </c>
      <c r="H2843" s="25">
        <v>0</v>
      </c>
      <c r="I2843" s="28">
        <v>46317</v>
      </c>
      <c r="J2843" t="s">
        <v>1503</v>
      </c>
      <c r="K2843" t="s">
        <v>2170</v>
      </c>
    </row>
    <row r="2844" spans="1:11" hidden="1">
      <c r="A2844" s="28">
        <v>46317</v>
      </c>
      <c r="B2844" t="s">
        <v>186</v>
      </c>
      <c r="C2844" t="s">
        <v>203</v>
      </c>
      <c r="D2844" t="s">
        <v>217</v>
      </c>
      <c r="E2844">
        <f>IF(LEFT(D2844,6)="CLIENT",IFERROR(VLOOKUP(C2844,Config_Carteiras!$A:$B,2,FALSE),1),"")</f>
        <v>1</v>
      </c>
      <c r="F2844" s="25">
        <v>698</v>
      </c>
      <c r="G2844" s="28">
        <f>IF(LEFT(D2844,6)="CLIENT",IF(E2844=0,WORKDAY(A2844-1,1,Dias_Sem_Compensacao!$A$2:$A$500),WORKDAY(A2844,E2844,Dias_Sem_Compensacao!$A$2:$A$500)),"")</f>
        <v>46318</v>
      </c>
      <c r="H2844" s="25">
        <v>0</v>
      </c>
      <c r="I2844" s="28">
        <v>46317</v>
      </c>
      <c r="J2844" t="s">
        <v>2179</v>
      </c>
      <c r="K2844" t="s">
        <v>2180</v>
      </c>
    </row>
    <row r="2845" spans="1:11" hidden="1">
      <c r="A2845" s="28">
        <v>46317</v>
      </c>
      <c r="B2845" t="s">
        <v>186</v>
      </c>
      <c r="C2845" t="s">
        <v>203</v>
      </c>
      <c r="D2845" t="s">
        <v>217</v>
      </c>
      <c r="E2845">
        <f>IF(LEFT(D2845,6)="CLIENT",IFERROR(VLOOKUP(C2845,Config_Carteiras!$A:$B,2,FALSE),1),"")</f>
        <v>1</v>
      </c>
      <c r="F2845" s="25">
        <v>1059</v>
      </c>
      <c r="G2845" s="28">
        <f>IF(LEFT(D2845,6)="CLIENT",IF(E2845=0,WORKDAY(A2845-1,1,Dias_Sem_Compensacao!$A$2:$A$500),WORKDAY(A2845,E2845,Dias_Sem_Compensacao!$A$2:$A$500)),"")</f>
        <v>46318</v>
      </c>
      <c r="H2845" s="25">
        <v>0</v>
      </c>
      <c r="I2845" s="28">
        <v>46317</v>
      </c>
      <c r="J2845" t="s">
        <v>3170</v>
      </c>
      <c r="K2845" t="s">
        <v>3171</v>
      </c>
    </row>
    <row r="2846" spans="1:11" hidden="1">
      <c r="A2846" s="28">
        <v>46317</v>
      </c>
      <c r="B2846" t="s">
        <v>186</v>
      </c>
      <c r="C2846" t="s">
        <v>203</v>
      </c>
      <c r="D2846" t="s">
        <v>217</v>
      </c>
      <c r="E2846">
        <f>IF(LEFT(D2846,6)="CLIENT",IFERROR(VLOOKUP(C2846,Config_Carteiras!$A:$B,2,FALSE),1),"")</f>
        <v>1</v>
      </c>
      <c r="F2846" s="25">
        <v>1144.5899999999999</v>
      </c>
      <c r="G2846" s="28">
        <f>IF(LEFT(D2846,6)="CLIENT",IF(E2846=0,WORKDAY(A2846-1,1,Dias_Sem_Compensacao!$A$2:$A$500),WORKDAY(A2846,E2846,Dias_Sem_Compensacao!$A$2:$A$500)),"")</f>
        <v>46318</v>
      </c>
      <c r="H2846" s="25">
        <v>0</v>
      </c>
      <c r="I2846" s="28">
        <v>46317</v>
      </c>
      <c r="J2846" t="s">
        <v>2184</v>
      </c>
      <c r="K2846" t="s">
        <v>2185</v>
      </c>
    </row>
    <row r="2847" spans="1:11" hidden="1">
      <c r="A2847" s="28">
        <v>46317</v>
      </c>
      <c r="B2847" t="s">
        <v>186</v>
      </c>
      <c r="C2847" t="s">
        <v>203</v>
      </c>
      <c r="D2847" t="s">
        <v>217</v>
      </c>
      <c r="E2847">
        <f>IF(LEFT(D2847,6)="CLIENT",IFERROR(VLOOKUP(C2847,Config_Carteiras!$A:$B,2,FALSE),1),"")</f>
        <v>1</v>
      </c>
      <c r="F2847" s="25">
        <v>1104</v>
      </c>
      <c r="G2847" s="28">
        <f>IF(LEFT(D2847,6)="CLIENT",IF(E2847=0,WORKDAY(A2847-1,1,Dias_Sem_Compensacao!$A$2:$A$500),WORKDAY(A2847,E2847,Dias_Sem_Compensacao!$A$2:$A$500)),"")</f>
        <v>46318</v>
      </c>
      <c r="H2847" s="25">
        <v>0</v>
      </c>
      <c r="I2847" s="28">
        <v>46317</v>
      </c>
      <c r="J2847" t="s">
        <v>224</v>
      </c>
      <c r="K2847" t="s">
        <v>1513</v>
      </c>
    </row>
    <row r="2848" spans="1:11" hidden="1">
      <c r="A2848" s="28">
        <v>46317</v>
      </c>
      <c r="B2848" t="s">
        <v>186</v>
      </c>
      <c r="C2848" t="s">
        <v>203</v>
      </c>
      <c r="D2848" t="s">
        <v>217</v>
      </c>
      <c r="E2848">
        <f>IF(LEFT(D2848,6)="CLIENT",IFERROR(VLOOKUP(C2848,Config_Carteiras!$A:$B,2,FALSE),1),"")</f>
        <v>1</v>
      </c>
      <c r="F2848" s="25">
        <v>816</v>
      </c>
      <c r="G2848" s="28">
        <f>IF(LEFT(D2848,6)="CLIENT",IF(E2848=0,WORKDAY(A2848-1,1,Dias_Sem_Compensacao!$A$2:$A$500),WORKDAY(A2848,E2848,Dias_Sem_Compensacao!$A$2:$A$500)),"")</f>
        <v>46318</v>
      </c>
      <c r="H2848" s="25">
        <v>0</v>
      </c>
      <c r="I2848" s="28">
        <v>46317</v>
      </c>
      <c r="J2848" t="s">
        <v>3172</v>
      </c>
      <c r="K2848" t="s">
        <v>3173</v>
      </c>
    </row>
    <row r="2849" spans="1:11" hidden="1">
      <c r="A2849" s="28">
        <v>46317</v>
      </c>
      <c r="B2849" t="s">
        <v>186</v>
      </c>
      <c r="C2849" t="s">
        <v>203</v>
      </c>
      <c r="D2849" t="s">
        <v>217</v>
      </c>
      <c r="E2849">
        <f>IF(LEFT(D2849,6)="CLIENT",IFERROR(VLOOKUP(C2849,Config_Carteiras!$A:$B,2,FALSE),1),"")</f>
        <v>1</v>
      </c>
      <c r="F2849" s="25">
        <v>9176.82</v>
      </c>
      <c r="G2849" s="28">
        <f>IF(LEFT(D2849,6)="CLIENT",IF(E2849=0,WORKDAY(A2849-1,1,Dias_Sem_Compensacao!$A$2:$A$500),WORKDAY(A2849,E2849,Dias_Sem_Compensacao!$A$2:$A$500)),"")</f>
        <v>46318</v>
      </c>
      <c r="H2849" s="25">
        <v>0</v>
      </c>
      <c r="I2849" s="28">
        <v>46317</v>
      </c>
      <c r="J2849" t="s">
        <v>3174</v>
      </c>
      <c r="K2849" t="s">
        <v>3175</v>
      </c>
    </row>
    <row r="2850" spans="1:11" hidden="1">
      <c r="A2850" s="28">
        <v>46317</v>
      </c>
      <c r="B2850" t="s">
        <v>186</v>
      </c>
      <c r="C2850" t="s">
        <v>203</v>
      </c>
      <c r="D2850" t="s">
        <v>217</v>
      </c>
      <c r="E2850">
        <f>IF(LEFT(D2850,6)="CLIENT",IFERROR(VLOOKUP(C2850,Config_Carteiras!$A:$B,2,FALSE),1),"")</f>
        <v>1</v>
      </c>
      <c r="F2850" s="25">
        <v>602</v>
      </c>
      <c r="G2850" s="28">
        <f>IF(LEFT(D2850,6)="CLIENT",IF(E2850=0,WORKDAY(A2850-1,1,Dias_Sem_Compensacao!$A$2:$A$500),WORKDAY(A2850,E2850,Dias_Sem_Compensacao!$A$2:$A$500)),"")</f>
        <v>46318</v>
      </c>
      <c r="H2850" s="25">
        <v>0</v>
      </c>
      <c r="I2850" s="28">
        <v>46317</v>
      </c>
      <c r="J2850" t="s">
        <v>3176</v>
      </c>
      <c r="K2850" t="s">
        <v>3177</v>
      </c>
    </row>
    <row r="2851" spans="1:11" hidden="1">
      <c r="A2851" s="28">
        <v>46317</v>
      </c>
      <c r="B2851" t="s">
        <v>186</v>
      </c>
      <c r="C2851" t="s">
        <v>203</v>
      </c>
      <c r="D2851" t="s">
        <v>217</v>
      </c>
      <c r="E2851">
        <f>IF(LEFT(D2851,6)="CLIENT",IFERROR(VLOOKUP(C2851,Config_Carteiras!$A:$B,2,FALSE),1),"")</f>
        <v>1</v>
      </c>
      <c r="F2851" s="25">
        <v>517</v>
      </c>
      <c r="G2851" s="28">
        <f>IF(LEFT(D2851,6)="CLIENT",IF(E2851=0,WORKDAY(A2851-1,1,Dias_Sem_Compensacao!$A$2:$A$500),WORKDAY(A2851,E2851,Dias_Sem_Compensacao!$A$2:$A$500)),"")</f>
        <v>46318</v>
      </c>
      <c r="H2851" s="25">
        <v>0</v>
      </c>
      <c r="I2851" s="28">
        <v>46317</v>
      </c>
      <c r="J2851" t="s">
        <v>2186</v>
      </c>
      <c r="K2851" t="s">
        <v>2187</v>
      </c>
    </row>
    <row r="2852" spans="1:11" hidden="1">
      <c r="A2852" s="28">
        <v>46317</v>
      </c>
      <c r="B2852" t="s">
        <v>186</v>
      </c>
      <c r="C2852" t="s">
        <v>203</v>
      </c>
      <c r="D2852" t="s">
        <v>217</v>
      </c>
      <c r="E2852">
        <f>IF(LEFT(D2852,6)="CLIENT",IFERROR(VLOOKUP(C2852,Config_Carteiras!$A:$B,2,FALSE),1),"")</f>
        <v>1</v>
      </c>
      <c r="F2852" s="25">
        <v>600</v>
      </c>
      <c r="G2852" s="28">
        <f>IF(LEFT(D2852,6)="CLIENT",IF(E2852=0,WORKDAY(A2852-1,1,Dias_Sem_Compensacao!$A$2:$A$500),WORKDAY(A2852,E2852,Dias_Sem_Compensacao!$A$2:$A$500)),"")</f>
        <v>46318</v>
      </c>
      <c r="H2852" s="25">
        <v>0</v>
      </c>
      <c r="I2852" s="28">
        <v>46317</v>
      </c>
      <c r="J2852" t="s">
        <v>2711</v>
      </c>
      <c r="K2852" t="s">
        <v>2712</v>
      </c>
    </row>
    <row r="2853" spans="1:11" hidden="1">
      <c r="A2853" s="28">
        <v>46317</v>
      </c>
      <c r="B2853" t="s">
        <v>186</v>
      </c>
      <c r="C2853" t="s">
        <v>203</v>
      </c>
      <c r="D2853" t="s">
        <v>217</v>
      </c>
      <c r="E2853">
        <f>IF(LEFT(D2853,6)="CLIENT",IFERROR(VLOOKUP(C2853,Config_Carteiras!$A:$B,2,FALSE),1),"")</f>
        <v>1</v>
      </c>
      <c r="F2853" s="25">
        <v>2146</v>
      </c>
      <c r="G2853" s="28">
        <f>IF(LEFT(D2853,6)="CLIENT",IF(E2853=0,WORKDAY(A2853-1,1,Dias_Sem_Compensacao!$A$2:$A$500),WORKDAY(A2853,E2853,Dias_Sem_Compensacao!$A$2:$A$500)),"")</f>
        <v>46318</v>
      </c>
      <c r="H2853" s="25">
        <v>0</v>
      </c>
      <c r="I2853" s="28">
        <v>46317</v>
      </c>
      <c r="J2853" t="s">
        <v>3178</v>
      </c>
      <c r="K2853" t="s">
        <v>3179</v>
      </c>
    </row>
    <row r="2854" spans="1:11" hidden="1">
      <c r="A2854" s="28">
        <v>46317</v>
      </c>
      <c r="B2854" t="s">
        <v>186</v>
      </c>
      <c r="C2854" t="s">
        <v>203</v>
      </c>
      <c r="D2854" t="s">
        <v>217</v>
      </c>
      <c r="E2854">
        <f>IF(LEFT(D2854,6)="CLIENT",IFERROR(VLOOKUP(C2854,Config_Carteiras!$A:$B,2,FALSE),1),"")</f>
        <v>1</v>
      </c>
      <c r="F2854" s="25">
        <v>356</v>
      </c>
      <c r="G2854" s="28">
        <f>IF(LEFT(D2854,6)="CLIENT",IF(E2854=0,WORKDAY(A2854-1,1,Dias_Sem_Compensacao!$A$2:$A$500),WORKDAY(A2854,E2854,Dias_Sem_Compensacao!$A$2:$A$500)),"")</f>
        <v>46318</v>
      </c>
      <c r="H2854" s="25">
        <v>0</v>
      </c>
      <c r="I2854" s="28">
        <v>46317</v>
      </c>
      <c r="J2854" t="s">
        <v>2713</v>
      </c>
      <c r="K2854" t="s">
        <v>2714</v>
      </c>
    </row>
    <row r="2855" spans="1:11" hidden="1">
      <c r="A2855" s="28">
        <v>46317</v>
      </c>
      <c r="B2855" t="s">
        <v>186</v>
      </c>
      <c r="C2855" t="s">
        <v>203</v>
      </c>
      <c r="D2855" t="s">
        <v>217</v>
      </c>
      <c r="E2855">
        <f>IF(LEFT(D2855,6)="CLIENT",IFERROR(VLOOKUP(C2855,Config_Carteiras!$A:$B,2,FALSE),1),"")</f>
        <v>1</v>
      </c>
      <c r="F2855" s="25">
        <v>2376.4499999999998</v>
      </c>
      <c r="G2855" s="28">
        <f>IF(LEFT(D2855,6)="CLIENT",IF(E2855=0,WORKDAY(A2855-1,1,Dias_Sem_Compensacao!$A$2:$A$500),WORKDAY(A2855,E2855,Dias_Sem_Compensacao!$A$2:$A$500)),"")</f>
        <v>46318</v>
      </c>
      <c r="H2855" s="25">
        <v>0</v>
      </c>
      <c r="I2855" s="28">
        <v>46317</v>
      </c>
      <c r="J2855" t="s">
        <v>2196</v>
      </c>
      <c r="K2855" t="s">
        <v>2197</v>
      </c>
    </row>
    <row r="2856" spans="1:11" hidden="1">
      <c r="A2856" s="28">
        <v>46317</v>
      </c>
      <c r="B2856" t="s">
        <v>186</v>
      </c>
      <c r="C2856" t="s">
        <v>203</v>
      </c>
      <c r="D2856" t="s">
        <v>217</v>
      </c>
      <c r="E2856">
        <f>IF(LEFT(D2856,6)="CLIENT",IFERROR(VLOOKUP(C2856,Config_Carteiras!$A:$B,2,FALSE),1),"")</f>
        <v>1</v>
      </c>
      <c r="F2856" s="25">
        <v>3288.17</v>
      </c>
      <c r="G2856" s="28">
        <f>IF(LEFT(D2856,6)="CLIENT",IF(E2856=0,WORKDAY(A2856-1,1,Dias_Sem_Compensacao!$A$2:$A$500),WORKDAY(A2856,E2856,Dias_Sem_Compensacao!$A$2:$A$500)),"")</f>
        <v>46318</v>
      </c>
      <c r="H2856" s="25">
        <v>0</v>
      </c>
      <c r="I2856" s="28">
        <v>46317</v>
      </c>
      <c r="J2856" t="s">
        <v>1526</v>
      </c>
      <c r="K2856" t="s">
        <v>1527</v>
      </c>
    </row>
    <row r="2857" spans="1:11" hidden="1">
      <c r="A2857" s="28">
        <v>46317</v>
      </c>
      <c r="B2857" t="s">
        <v>186</v>
      </c>
      <c r="C2857" t="s">
        <v>203</v>
      </c>
      <c r="D2857" t="s">
        <v>217</v>
      </c>
      <c r="E2857">
        <f>IF(LEFT(D2857,6)="CLIENT",IFERROR(VLOOKUP(C2857,Config_Carteiras!$A:$B,2,FALSE),1),"")</f>
        <v>1</v>
      </c>
      <c r="F2857" s="25">
        <v>2218</v>
      </c>
      <c r="G2857" s="28">
        <f>IF(LEFT(D2857,6)="CLIENT",IF(E2857=0,WORKDAY(A2857-1,1,Dias_Sem_Compensacao!$A$2:$A$500),WORKDAY(A2857,E2857,Dias_Sem_Compensacao!$A$2:$A$500)),"")</f>
        <v>46318</v>
      </c>
      <c r="H2857" s="25">
        <v>0</v>
      </c>
      <c r="I2857" s="28">
        <v>46317</v>
      </c>
      <c r="J2857" t="s">
        <v>2717</v>
      </c>
      <c r="K2857" t="s">
        <v>2718</v>
      </c>
    </row>
    <row r="2858" spans="1:11" hidden="1">
      <c r="A2858" s="28">
        <v>46317</v>
      </c>
      <c r="B2858" t="s">
        <v>186</v>
      </c>
      <c r="C2858" t="s">
        <v>203</v>
      </c>
      <c r="D2858" t="s">
        <v>217</v>
      </c>
      <c r="E2858">
        <f>IF(LEFT(D2858,6)="CLIENT",IFERROR(VLOOKUP(C2858,Config_Carteiras!$A:$B,2,FALSE),1),"")</f>
        <v>1</v>
      </c>
      <c r="F2858" s="25">
        <v>4886</v>
      </c>
      <c r="G2858" s="28">
        <f>IF(LEFT(D2858,6)="CLIENT",IF(E2858=0,WORKDAY(A2858-1,1,Dias_Sem_Compensacao!$A$2:$A$500),WORKDAY(A2858,E2858,Dias_Sem_Compensacao!$A$2:$A$500)),"")</f>
        <v>46318</v>
      </c>
      <c r="H2858" s="25">
        <v>0</v>
      </c>
      <c r="I2858" s="28">
        <v>46317</v>
      </c>
      <c r="K2858" t="s">
        <v>2719</v>
      </c>
    </row>
    <row r="2859" spans="1:11" hidden="1">
      <c r="A2859" s="28">
        <v>46317</v>
      </c>
      <c r="B2859" t="s">
        <v>186</v>
      </c>
      <c r="C2859" t="s">
        <v>203</v>
      </c>
      <c r="D2859" t="s">
        <v>217</v>
      </c>
      <c r="E2859">
        <f>IF(LEFT(D2859,6)="CLIENT",IFERROR(VLOOKUP(C2859,Config_Carteiras!$A:$B,2,FALSE),1),"")</f>
        <v>1</v>
      </c>
      <c r="F2859" s="25">
        <v>5345</v>
      </c>
      <c r="G2859" s="28">
        <f>IF(LEFT(D2859,6)="CLIENT",IF(E2859=0,WORKDAY(A2859-1,1,Dias_Sem_Compensacao!$A$2:$A$500),WORKDAY(A2859,E2859,Dias_Sem_Compensacao!$A$2:$A$500)),"")</f>
        <v>46318</v>
      </c>
      <c r="H2859" s="25">
        <v>0</v>
      </c>
      <c r="I2859" s="28">
        <v>46317</v>
      </c>
      <c r="K2859" t="s">
        <v>3180</v>
      </c>
    </row>
    <row r="2860" spans="1:11" hidden="1">
      <c r="A2860" s="28">
        <v>46317</v>
      </c>
      <c r="B2860" t="s">
        <v>186</v>
      </c>
      <c r="C2860" t="s">
        <v>203</v>
      </c>
      <c r="D2860" t="s">
        <v>217</v>
      </c>
      <c r="E2860">
        <f>IF(LEFT(D2860,6)="CLIENT",IFERROR(VLOOKUP(C2860,Config_Carteiras!$A:$B,2,FALSE),1),"")</f>
        <v>1</v>
      </c>
      <c r="F2860" s="25">
        <v>1317</v>
      </c>
      <c r="G2860" s="28">
        <f>IF(LEFT(D2860,6)="CLIENT",IF(E2860=0,WORKDAY(A2860-1,1,Dias_Sem_Compensacao!$A$2:$A$500),WORKDAY(A2860,E2860,Dias_Sem_Compensacao!$A$2:$A$500)),"")</f>
        <v>46318</v>
      </c>
      <c r="H2860" s="25">
        <v>0</v>
      </c>
      <c r="I2860" s="28">
        <v>46317</v>
      </c>
      <c r="J2860" t="s">
        <v>2721</v>
      </c>
      <c r="K2860" t="s">
        <v>2722</v>
      </c>
    </row>
    <row r="2861" spans="1:11" hidden="1">
      <c r="A2861" s="28">
        <v>46317</v>
      </c>
      <c r="B2861" t="s">
        <v>186</v>
      </c>
      <c r="C2861" t="s">
        <v>203</v>
      </c>
      <c r="D2861" t="s">
        <v>217</v>
      </c>
      <c r="E2861">
        <f>IF(LEFT(D2861,6)="CLIENT",IFERROR(VLOOKUP(C2861,Config_Carteiras!$A:$B,2,FALSE),1),"")</f>
        <v>1</v>
      </c>
      <c r="F2861" s="25">
        <v>15925</v>
      </c>
      <c r="G2861" s="28">
        <f>IF(LEFT(D2861,6)="CLIENT",IF(E2861=0,WORKDAY(A2861-1,1,Dias_Sem_Compensacao!$A$2:$A$500),WORKDAY(A2861,E2861,Dias_Sem_Compensacao!$A$2:$A$500)),"")</f>
        <v>46318</v>
      </c>
      <c r="H2861" s="25">
        <v>0</v>
      </c>
      <c r="I2861" s="28">
        <v>46317</v>
      </c>
      <c r="J2861" t="s">
        <v>1201</v>
      </c>
      <c r="K2861" t="s">
        <v>2200</v>
      </c>
    </row>
    <row r="2862" spans="1:11" hidden="1">
      <c r="A2862" s="28">
        <v>46317</v>
      </c>
      <c r="B2862" t="s">
        <v>186</v>
      </c>
      <c r="C2862" t="s">
        <v>203</v>
      </c>
      <c r="D2862" t="s">
        <v>217</v>
      </c>
      <c r="E2862">
        <f>IF(LEFT(D2862,6)="CLIENT",IFERROR(VLOOKUP(C2862,Config_Carteiras!$A:$B,2,FALSE),1),"")</f>
        <v>1</v>
      </c>
      <c r="F2862" s="25">
        <v>1396</v>
      </c>
      <c r="G2862" s="28">
        <f>IF(LEFT(D2862,6)="CLIENT",IF(E2862=0,WORKDAY(A2862-1,1,Dias_Sem_Compensacao!$A$2:$A$500),WORKDAY(A2862,E2862,Dias_Sem_Compensacao!$A$2:$A$500)),"")</f>
        <v>46318</v>
      </c>
      <c r="H2862" s="25">
        <v>0</v>
      </c>
      <c r="I2862" s="28">
        <v>46317</v>
      </c>
      <c r="J2862" t="s">
        <v>2282</v>
      </c>
      <c r="K2862" t="s">
        <v>2727</v>
      </c>
    </row>
    <row r="2863" spans="1:11" hidden="1">
      <c r="A2863" s="28">
        <v>46317</v>
      </c>
      <c r="B2863" t="s">
        <v>186</v>
      </c>
      <c r="C2863" t="s">
        <v>203</v>
      </c>
      <c r="D2863" t="s">
        <v>217</v>
      </c>
      <c r="E2863">
        <f>IF(LEFT(D2863,6)="CLIENT",IFERROR(VLOOKUP(C2863,Config_Carteiras!$A:$B,2,FALSE),1),"")</f>
        <v>1</v>
      </c>
      <c r="F2863" s="25">
        <v>838</v>
      </c>
      <c r="G2863" s="28">
        <f>IF(LEFT(D2863,6)="CLIENT",IF(E2863=0,WORKDAY(A2863-1,1,Dias_Sem_Compensacao!$A$2:$A$500),WORKDAY(A2863,E2863,Dias_Sem_Compensacao!$A$2:$A$500)),"")</f>
        <v>46318</v>
      </c>
      <c r="H2863" s="25">
        <v>0</v>
      </c>
      <c r="I2863" s="28">
        <v>46317</v>
      </c>
      <c r="J2863" t="s">
        <v>2730</v>
      </c>
      <c r="K2863" t="s">
        <v>2731</v>
      </c>
    </row>
    <row r="2864" spans="1:11" hidden="1">
      <c r="A2864" s="28">
        <v>46317</v>
      </c>
      <c r="B2864" t="s">
        <v>186</v>
      </c>
      <c r="C2864" t="s">
        <v>203</v>
      </c>
      <c r="D2864" t="s">
        <v>217</v>
      </c>
      <c r="E2864">
        <f>IF(LEFT(D2864,6)="CLIENT",IFERROR(VLOOKUP(C2864,Config_Carteiras!$A:$B,2,FALSE),1),"")</f>
        <v>1</v>
      </c>
      <c r="F2864" s="25">
        <v>1209</v>
      </c>
      <c r="G2864" s="28">
        <f>IF(LEFT(D2864,6)="CLIENT",IF(E2864=0,WORKDAY(A2864-1,1,Dias_Sem_Compensacao!$A$2:$A$500),WORKDAY(A2864,E2864,Dias_Sem_Compensacao!$A$2:$A$500)),"")</f>
        <v>46318</v>
      </c>
      <c r="H2864" s="25">
        <v>0</v>
      </c>
      <c r="I2864" s="28">
        <v>46317</v>
      </c>
      <c r="J2864" t="s">
        <v>2732</v>
      </c>
      <c r="K2864" t="s">
        <v>2733</v>
      </c>
    </row>
    <row r="2865" spans="1:11" hidden="1">
      <c r="A2865" s="28">
        <v>46317</v>
      </c>
      <c r="B2865" t="s">
        <v>186</v>
      </c>
      <c r="C2865" t="s">
        <v>203</v>
      </c>
      <c r="D2865" t="s">
        <v>217</v>
      </c>
      <c r="E2865">
        <f>IF(LEFT(D2865,6)="CLIENT",IFERROR(VLOOKUP(C2865,Config_Carteiras!$A:$B,2,FALSE),1),"")</f>
        <v>1</v>
      </c>
      <c r="F2865" s="25">
        <v>605.78</v>
      </c>
      <c r="G2865" s="28">
        <f>IF(LEFT(D2865,6)="CLIENT",IF(E2865=0,WORKDAY(A2865-1,1,Dias_Sem_Compensacao!$A$2:$A$500),WORKDAY(A2865,E2865,Dias_Sem_Compensacao!$A$2:$A$500)),"")</f>
        <v>46318</v>
      </c>
      <c r="H2865" s="25">
        <v>0</v>
      </c>
      <c r="I2865" s="28">
        <v>46317</v>
      </c>
      <c r="J2865" t="s">
        <v>1543</v>
      </c>
      <c r="K2865" t="s">
        <v>1544</v>
      </c>
    </row>
    <row r="2866" spans="1:11" hidden="1">
      <c r="A2866" s="28">
        <v>46317</v>
      </c>
      <c r="B2866" t="s">
        <v>186</v>
      </c>
      <c r="C2866" t="s">
        <v>203</v>
      </c>
      <c r="D2866" t="s">
        <v>217</v>
      </c>
      <c r="E2866">
        <f>IF(LEFT(D2866,6)="CLIENT",IFERROR(VLOOKUP(C2866,Config_Carteiras!$A:$B,2,FALSE),1),"")</f>
        <v>1</v>
      </c>
      <c r="F2866" s="25">
        <v>453.81</v>
      </c>
      <c r="G2866" s="28">
        <f>IF(LEFT(D2866,6)="CLIENT",IF(E2866=0,WORKDAY(A2866-1,1,Dias_Sem_Compensacao!$A$2:$A$500),WORKDAY(A2866,E2866,Dias_Sem_Compensacao!$A$2:$A$500)),"")</f>
        <v>46318</v>
      </c>
      <c r="H2866" s="25">
        <v>0</v>
      </c>
      <c r="I2866" s="28">
        <v>46317</v>
      </c>
      <c r="J2866" t="s">
        <v>2201</v>
      </c>
      <c r="K2866" t="s">
        <v>2202</v>
      </c>
    </row>
    <row r="2867" spans="1:11" hidden="1">
      <c r="A2867" s="28">
        <v>46317</v>
      </c>
      <c r="B2867" t="s">
        <v>186</v>
      </c>
      <c r="C2867" t="s">
        <v>203</v>
      </c>
      <c r="D2867" t="s">
        <v>217</v>
      </c>
      <c r="E2867">
        <f>IF(LEFT(D2867,6)="CLIENT",IFERROR(VLOOKUP(C2867,Config_Carteiras!$A:$B,2,FALSE),1),"")</f>
        <v>1</v>
      </c>
      <c r="F2867" s="25">
        <v>409</v>
      </c>
      <c r="G2867" s="28">
        <f>IF(LEFT(D2867,6)="CLIENT",IF(E2867=0,WORKDAY(A2867-1,1,Dias_Sem_Compensacao!$A$2:$A$500),WORKDAY(A2867,E2867,Dias_Sem_Compensacao!$A$2:$A$500)),"")</f>
        <v>46318</v>
      </c>
      <c r="H2867" s="25">
        <v>0</v>
      </c>
      <c r="I2867" s="28">
        <v>46317</v>
      </c>
      <c r="J2867" t="s">
        <v>2735</v>
      </c>
      <c r="K2867" t="s">
        <v>2736</v>
      </c>
    </row>
    <row r="2868" spans="1:11" hidden="1">
      <c r="A2868" s="28">
        <v>46317</v>
      </c>
      <c r="B2868" t="s">
        <v>186</v>
      </c>
      <c r="C2868" t="s">
        <v>203</v>
      </c>
      <c r="D2868" t="s">
        <v>217</v>
      </c>
      <c r="E2868">
        <f>IF(LEFT(D2868,6)="CLIENT",IFERROR(VLOOKUP(C2868,Config_Carteiras!$A:$B,2,FALSE),1),"")</f>
        <v>1</v>
      </c>
      <c r="F2868" s="25">
        <v>1117</v>
      </c>
      <c r="G2868" s="28">
        <f>IF(LEFT(D2868,6)="CLIENT",IF(E2868=0,WORKDAY(A2868-1,1,Dias_Sem_Compensacao!$A$2:$A$500),WORKDAY(A2868,E2868,Dias_Sem_Compensacao!$A$2:$A$500)),"")</f>
        <v>46318</v>
      </c>
      <c r="H2868" s="25">
        <v>0</v>
      </c>
      <c r="I2868" s="28">
        <v>46317</v>
      </c>
      <c r="J2868" t="s">
        <v>3181</v>
      </c>
      <c r="K2868" t="s">
        <v>3182</v>
      </c>
    </row>
    <row r="2869" spans="1:11" hidden="1">
      <c r="A2869" s="28">
        <v>46317</v>
      </c>
      <c r="B2869" t="s">
        <v>186</v>
      </c>
      <c r="C2869" t="s">
        <v>203</v>
      </c>
      <c r="D2869" t="s">
        <v>217</v>
      </c>
      <c r="E2869">
        <f>IF(LEFT(D2869,6)="CLIENT",IFERROR(VLOOKUP(C2869,Config_Carteiras!$A:$B,2,FALSE),1),"")</f>
        <v>1</v>
      </c>
      <c r="F2869" s="25">
        <v>566</v>
      </c>
      <c r="G2869" s="28">
        <f>IF(LEFT(D2869,6)="CLIENT",IF(E2869=0,WORKDAY(A2869-1,1,Dias_Sem_Compensacao!$A$2:$A$500),WORKDAY(A2869,E2869,Dias_Sem_Compensacao!$A$2:$A$500)),"")</f>
        <v>46318</v>
      </c>
      <c r="H2869" s="25">
        <v>0</v>
      </c>
      <c r="I2869" s="28">
        <v>46317</v>
      </c>
      <c r="J2869" t="s">
        <v>2737</v>
      </c>
      <c r="K2869" t="s">
        <v>2738</v>
      </c>
    </row>
    <row r="2870" spans="1:11" hidden="1">
      <c r="A2870" s="28">
        <v>46317</v>
      </c>
      <c r="B2870" t="s">
        <v>186</v>
      </c>
      <c r="C2870" t="s">
        <v>203</v>
      </c>
      <c r="D2870" t="s">
        <v>217</v>
      </c>
      <c r="E2870">
        <f>IF(LEFT(D2870,6)="CLIENT",IFERROR(VLOOKUP(C2870,Config_Carteiras!$A:$B,2,FALSE),1),"")</f>
        <v>1</v>
      </c>
      <c r="F2870" s="25">
        <v>2251</v>
      </c>
      <c r="G2870" s="28">
        <f>IF(LEFT(D2870,6)="CLIENT",IF(E2870=0,WORKDAY(A2870-1,1,Dias_Sem_Compensacao!$A$2:$A$500),WORKDAY(A2870,E2870,Dias_Sem_Compensacao!$A$2:$A$500)),"")</f>
        <v>46318</v>
      </c>
      <c r="H2870" s="25">
        <v>0</v>
      </c>
      <c r="I2870" s="28">
        <v>46317</v>
      </c>
      <c r="J2870" t="s">
        <v>2739</v>
      </c>
      <c r="K2870" t="s">
        <v>2740</v>
      </c>
    </row>
    <row r="2871" spans="1:11" hidden="1">
      <c r="A2871" s="28">
        <v>46317</v>
      </c>
      <c r="B2871" t="s">
        <v>186</v>
      </c>
      <c r="C2871" t="s">
        <v>203</v>
      </c>
      <c r="D2871" t="s">
        <v>217</v>
      </c>
      <c r="E2871">
        <f>IF(LEFT(D2871,6)="CLIENT",IFERROR(VLOOKUP(C2871,Config_Carteiras!$A:$B,2,FALSE),1),"")</f>
        <v>1</v>
      </c>
      <c r="F2871" s="25">
        <v>1263.4100000000001</v>
      </c>
      <c r="G2871" s="28">
        <f>IF(LEFT(D2871,6)="CLIENT",IF(E2871=0,WORKDAY(A2871-1,1,Dias_Sem_Compensacao!$A$2:$A$500),WORKDAY(A2871,E2871,Dias_Sem_Compensacao!$A$2:$A$500)),"")</f>
        <v>46318</v>
      </c>
      <c r="H2871" s="25">
        <v>0</v>
      </c>
      <c r="I2871" s="28">
        <v>46317</v>
      </c>
      <c r="J2871" t="s">
        <v>1550</v>
      </c>
      <c r="K2871" t="s">
        <v>1551</v>
      </c>
    </row>
    <row r="2872" spans="1:11" hidden="1">
      <c r="A2872" s="28">
        <v>46317</v>
      </c>
      <c r="B2872" t="s">
        <v>186</v>
      </c>
      <c r="C2872" t="s">
        <v>203</v>
      </c>
      <c r="D2872" t="s">
        <v>217</v>
      </c>
      <c r="E2872">
        <f>IF(LEFT(D2872,6)="CLIENT",IFERROR(VLOOKUP(C2872,Config_Carteiras!$A:$B,2,FALSE),1),"")</f>
        <v>1</v>
      </c>
      <c r="F2872" s="25">
        <v>1296.79</v>
      </c>
      <c r="G2872" s="28">
        <f>IF(LEFT(D2872,6)="CLIENT",IF(E2872=0,WORKDAY(A2872-1,1,Dias_Sem_Compensacao!$A$2:$A$500),WORKDAY(A2872,E2872,Dias_Sem_Compensacao!$A$2:$A$500)),"")</f>
        <v>46318</v>
      </c>
      <c r="H2872" s="25">
        <v>0</v>
      </c>
      <c r="I2872" s="28">
        <v>46317</v>
      </c>
      <c r="J2872" t="s">
        <v>2741</v>
      </c>
      <c r="K2872" t="s">
        <v>2742</v>
      </c>
    </row>
    <row r="2873" spans="1:11" hidden="1">
      <c r="A2873" s="28">
        <v>46317</v>
      </c>
      <c r="B2873" t="s">
        <v>186</v>
      </c>
      <c r="C2873" t="s">
        <v>203</v>
      </c>
      <c r="D2873" t="s">
        <v>217</v>
      </c>
      <c r="E2873">
        <f>IF(LEFT(D2873,6)="CLIENT",IFERROR(VLOOKUP(C2873,Config_Carteiras!$A:$B,2,FALSE),1),"")</f>
        <v>1</v>
      </c>
      <c r="F2873" s="25">
        <v>1817.74</v>
      </c>
      <c r="G2873" s="28">
        <f>IF(LEFT(D2873,6)="CLIENT",IF(E2873=0,WORKDAY(A2873-1,1,Dias_Sem_Compensacao!$A$2:$A$500),WORKDAY(A2873,E2873,Dias_Sem_Compensacao!$A$2:$A$500)),"")</f>
        <v>46318</v>
      </c>
      <c r="H2873" s="25">
        <v>0</v>
      </c>
      <c r="I2873" s="28">
        <v>46317</v>
      </c>
      <c r="J2873" t="s">
        <v>3183</v>
      </c>
      <c r="K2873" t="s">
        <v>3184</v>
      </c>
    </row>
    <row r="2874" spans="1:11" hidden="1">
      <c r="A2874" s="28">
        <v>46317</v>
      </c>
      <c r="B2874" t="s">
        <v>186</v>
      </c>
      <c r="C2874" t="s">
        <v>203</v>
      </c>
      <c r="D2874" t="s">
        <v>217</v>
      </c>
      <c r="E2874">
        <f>IF(LEFT(D2874,6)="CLIENT",IFERROR(VLOOKUP(C2874,Config_Carteiras!$A:$B,2,FALSE),1),"")</f>
        <v>1</v>
      </c>
      <c r="F2874" s="25">
        <v>2575</v>
      </c>
      <c r="G2874" s="28">
        <f>IF(LEFT(D2874,6)="CLIENT",IF(E2874=0,WORKDAY(A2874-1,1,Dias_Sem_Compensacao!$A$2:$A$500),WORKDAY(A2874,E2874,Dias_Sem_Compensacao!$A$2:$A$500)),"")</f>
        <v>46318</v>
      </c>
      <c r="H2874" s="25">
        <v>0</v>
      </c>
      <c r="I2874" s="28">
        <v>46317</v>
      </c>
      <c r="J2874" t="s">
        <v>2743</v>
      </c>
      <c r="K2874" t="s">
        <v>2744</v>
      </c>
    </row>
    <row r="2875" spans="1:11" hidden="1">
      <c r="A2875" s="28">
        <v>46317</v>
      </c>
      <c r="B2875" t="s">
        <v>186</v>
      </c>
      <c r="C2875" t="s">
        <v>203</v>
      </c>
      <c r="D2875" t="s">
        <v>217</v>
      </c>
      <c r="E2875">
        <f>IF(LEFT(D2875,6)="CLIENT",IFERROR(VLOOKUP(C2875,Config_Carteiras!$A:$B,2,FALSE),1),"")</f>
        <v>1</v>
      </c>
      <c r="F2875" s="25">
        <v>1273.46</v>
      </c>
      <c r="G2875" s="28">
        <f>IF(LEFT(D2875,6)="CLIENT",IF(E2875=0,WORKDAY(A2875-1,1,Dias_Sem_Compensacao!$A$2:$A$500),WORKDAY(A2875,E2875,Dias_Sem_Compensacao!$A$2:$A$500)),"")</f>
        <v>46318</v>
      </c>
      <c r="H2875" s="25">
        <v>0</v>
      </c>
      <c r="I2875" s="28">
        <v>46317</v>
      </c>
      <c r="J2875" t="s">
        <v>1560</v>
      </c>
      <c r="K2875" t="s">
        <v>1561</v>
      </c>
    </row>
    <row r="2876" spans="1:11" hidden="1">
      <c r="A2876" s="28">
        <v>46317</v>
      </c>
      <c r="B2876" t="s">
        <v>186</v>
      </c>
      <c r="C2876" t="s">
        <v>203</v>
      </c>
      <c r="D2876" t="s">
        <v>217</v>
      </c>
      <c r="E2876">
        <f>IF(LEFT(D2876,6)="CLIENT",IFERROR(VLOOKUP(C2876,Config_Carteiras!$A:$B,2,FALSE),1),"")</f>
        <v>1</v>
      </c>
      <c r="F2876" s="25">
        <v>358.71</v>
      </c>
      <c r="G2876" s="28">
        <f>IF(LEFT(D2876,6)="CLIENT",IF(E2876=0,WORKDAY(A2876-1,1,Dias_Sem_Compensacao!$A$2:$A$500),WORKDAY(A2876,E2876,Dias_Sem_Compensacao!$A$2:$A$500)),"")</f>
        <v>46318</v>
      </c>
      <c r="H2876" s="25">
        <v>0</v>
      </c>
      <c r="I2876" s="28">
        <v>46317</v>
      </c>
      <c r="J2876" t="s">
        <v>1562</v>
      </c>
      <c r="K2876" t="s">
        <v>1563</v>
      </c>
    </row>
    <row r="2877" spans="1:11" hidden="1">
      <c r="A2877" s="28">
        <v>46317</v>
      </c>
      <c r="B2877" t="s">
        <v>186</v>
      </c>
      <c r="C2877" t="s">
        <v>203</v>
      </c>
      <c r="D2877" t="s">
        <v>217</v>
      </c>
      <c r="E2877">
        <f>IF(LEFT(D2877,6)="CLIENT",IFERROR(VLOOKUP(C2877,Config_Carteiras!$A:$B,2,FALSE),1),"")</f>
        <v>1</v>
      </c>
      <c r="F2877" s="25">
        <v>774</v>
      </c>
      <c r="G2877" s="28">
        <f>IF(LEFT(D2877,6)="CLIENT",IF(E2877=0,WORKDAY(A2877-1,1,Dias_Sem_Compensacao!$A$2:$A$500),WORKDAY(A2877,E2877,Dias_Sem_Compensacao!$A$2:$A$500)),"")</f>
        <v>46318</v>
      </c>
      <c r="H2877" s="25">
        <v>0</v>
      </c>
      <c r="I2877" s="28">
        <v>46317</v>
      </c>
      <c r="J2877" t="s">
        <v>3185</v>
      </c>
      <c r="K2877" t="s">
        <v>3186</v>
      </c>
    </row>
    <row r="2878" spans="1:11" hidden="1">
      <c r="A2878" s="28">
        <v>46317</v>
      </c>
      <c r="B2878" t="s">
        <v>186</v>
      </c>
      <c r="C2878" t="s">
        <v>203</v>
      </c>
      <c r="D2878" t="s">
        <v>217</v>
      </c>
      <c r="E2878">
        <f>IF(LEFT(D2878,6)="CLIENT",IFERROR(VLOOKUP(C2878,Config_Carteiras!$A:$B,2,FALSE),1),"")</f>
        <v>1</v>
      </c>
      <c r="F2878" s="25">
        <v>1228</v>
      </c>
      <c r="G2878" s="28">
        <f>IF(LEFT(D2878,6)="CLIENT",IF(E2878=0,WORKDAY(A2878-1,1,Dias_Sem_Compensacao!$A$2:$A$500),WORKDAY(A2878,E2878,Dias_Sem_Compensacao!$A$2:$A$500)),"")</f>
        <v>46318</v>
      </c>
      <c r="H2878" s="25">
        <v>0</v>
      </c>
      <c r="I2878" s="28">
        <v>46317</v>
      </c>
      <c r="J2878" t="s">
        <v>2745</v>
      </c>
      <c r="K2878" t="s">
        <v>2746</v>
      </c>
    </row>
    <row r="2879" spans="1:11" hidden="1">
      <c r="A2879" s="28">
        <v>46317</v>
      </c>
      <c r="B2879" t="s">
        <v>186</v>
      </c>
      <c r="C2879" t="s">
        <v>203</v>
      </c>
      <c r="D2879" t="s">
        <v>217</v>
      </c>
      <c r="E2879">
        <f>IF(LEFT(D2879,6)="CLIENT",IFERROR(VLOOKUP(C2879,Config_Carteiras!$A:$B,2,FALSE),1),"")</f>
        <v>1</v>
      </c>
      <c r="F2879" s="25">
        <v>2140.69</v>
      </c>
      <c r="G2879" s="28">
        <f>IF(LEFT(D2879,6)="CLIENT",IF(E2879=0,WORKDAY(A2879-1,1,Dias_Sem_Compensacao!$A$2:$A$500),WORKDAY(A2879,E2879,Dias_Sem_Compensacao!$A$2:$A$500)),"")</f>
        <v>46318</v>
      </c>
      <c r="H2879" s="25">
        <v>0</v>
      </c>
      <c r="I2879" s="28">
        <v>46317</v>
      </c>
      <c r="J2879" t="s">
        <v>3187</v>
      </c>
      <c r="K2879" t="s">
        <v>3188</v>
      </c>
    </row>
    <row r="2880" spans="1:11" hidden="1">
      <c r="A2880" s="28">
        <v>46317</v>
      </c>
      <c r="B2880" t="s">
        <v>186</v>
      </c>
      <c r="C2880" t="s">
        <v>203</v>
      </c>
      <c r="D2880" t="s">
        <v>217</v>
      </c>
      <c r="E2880">
        <f>IF(LEFT(D2880,6)="CLIENT",IFERROR(VLOOKUP(C2880,Config_Carteiras!$A:$B,2,FALSE),1),"")</f>
        <v>1</v>
      </c>
      <c r="F2880" s="25">
        <v>5560</v>
      </c>
      <c r="G2880" s="28">
        <f>IF(LEFT(D2880,6)="CLIENT",IF(E2880=0,WORKDAY(A2880-1,1,Dias_Sem_Compensacao!$A$2:$A$500),WORKDAY(A2880,E2880,Dias_Sem_Compensacao!$A$2:$A$500)),"")</f>
        <v>46318</v>
      </c>
      <c r="H2880" s="25">
        <v>0</v>
      </c>
      <c r="I2880" s="28">
        <v>46317</v>
      </c>
      <c r="J2880" t="s">
        <v>2749</v>
      </c>
      <c r="K2880" t="s">
        <v>2750</v>
      </c>
    </row>
    <row r="2881" spans="1:11" hidden="1">
      <c r="A2881" s="28">
        <v>46317</v>
      </c>
      <c r="B2881" t="s">
        <v>186</v>
      </c>
      <c r="C2881" t="s">
        <v>203</v>
      </c>
      <c r="D2881" t="s">
        <v>217</v>
      </c>
      <c r="E2881">
        <f>IF(LEFT(D2881,6)="CLIENT",IFERROR(VLOOKUP(C2881,Config_Carteiras!$A:$B,2,FALSE),1),"")</f>
        <v>1</v>
      </c>
      <c r="F2881" s="25">
        <v>1060.53</v>
      </c>
      <c r="G2881" s="28">
        <f>IF(LEFT(D2881,6)="CLIENT",IF(E2881=0,WORKDAY(A2881-1,1,Dias_Sem_Compensacao!$A$2:$A$500),WORKDAY(A2881,E2881,Dias_Sem_Compensacao!$A$2:$A$500)),"")</f>
        <v>46318</v>
      </c>
      <c r="H2881" s="25">
        <v>0</v>
      </c>
      <c r="I2881" s="28">
        <v>46317</v>
      </c>
      <c r="J2881" t="s">
        <v>3189</v>
      </c>
      <c r="K2881" t="s">
        <v>3190</v>
      </c>
    </row>
    <row r="2882" spans="1:11" hidden="1">
      <c r="A2882" s="28">
        <v>46317</v>
      </c>
      <c r="B2882" t="s">
        <v>186</v>
      </c>
      <c r="C2882" t="s">
        <v>203</v>
      </c>
      <c r="D2882" t="s">
        <v>217</v>
      </c>
      <c r="E2882">
        <f>IF(LEFT(D2882,6)="CLIENT",IFERROR(VLOOKUP(C2882,Config_Carteiras!$A:$B,2,FALSE),1),"")</f>
        <v>1</v>
      </c>
      <c r="F2882" s="25">
        <v>629.04</v>
      </c>
      <c r="G2882" s="28">
        <f>IF(LEFT(D2882,6)="CLIENT",IF(E2882=0,WORKDAY(A2882-1,1,Dias_Sem_Compensacao!$A$2:$A$500),WORKDAY(A2882,E2882,Dias_Sem_Compensacao!$A$2:$A$500)),"")</f>
        <v>46318</v>
      </c>
      <c r="H2882" s="25">
        <v>0</v>
      </c>
      <c r="I2882" s="28">
        <v>46317</v>
      </c>
      <c r="J2882" t="s">
        <v>2751</v>
      </c>
      <c r="K2882" t="s">
        <v>2752</v>
      </c>
    </row>
    <row r="2883" spans="1:11" hidden="1">
      <c r="A2883" s="28">
        <v>46317</v>
      </c>
      <c r="B2883" t="s">
        <v>186</v>
      </c>
      <c r="C2883" t="s">
        <v>203</v>
      </c>
      <c r="D2883" t="s">
        <v>217</v>
      </c>
      <c r="E2883">
        <f>IF(LEFT(D2883,6)="CLIENT",IFERROR(VLOOKUP(C2883,Config_Carteiras!$A:$B,2,FALSE),1),"")</f>
        <v>1</v>
      </c>
      <c r="F2883" s="25">
        <v>976</v>
      </c>
      <c r="G2883" s="28">
        <f>IF(LEFT(D2883,6)="CLIENT",IF(E2883=0,WORKDAY(A2883-1,1,Dias_Sem_Compensacao!$A$2:$A$500),WORKDAY(A2883,E2883,Dias_Sem_Compensacao!$A$2:$A$500)),"")</f>
        <v>46318</v>
      </c>
      <c r="H2883" s="25">
        <v>0</v>
      </c>
      <c r="I2883" s="28">
        <v>46317</v>
      </c>
      <c r="J2883" t="s">
        <v>3191</v>
      </c>
      <c r="K2883" t="s">
        <v>3192</v>
      </c>
    </row>
    <row r="2884" spans="1:11" hidden="1">
      <c r="A2884" s="28">
        <v>46317</v>
      </c>
      <c r="B2884" t="s">
        <v>186</v>
      </c>
      <c r="C2884" t="s">
        <v>203</v>
      </c>
      <c r="D2884" t="s">
        <v>217</v>
      </c>
      <c r="E2884">
        <f>IF(LEFT(D2884,6)="CLIENT",IFERROR(VLOOKUP(C2884,Config_Carteiras!$A:$B,2,FALSE),1),"")</f>
        <v>1</v>
      </c>
      <c r="F2884" s="25">
        <v>1159</v>
      </c>
      <c r="G2884" s="28">
        <f>IF(LEFT(D2884,6)="CLIENT",IF(E2884=0,WORKDAY(A2884-1,1,Dias_Sem_Compensacao!$A$2:$A$500),WORKDAY(A2884,E2884,Dias_Sem_Compensacao!$A$2:$A$500)),"")</f>
        <v>46318</v>
      </c>
      <c r="H2884" s="25">
        <v>0</v>
      </c>
      <c r="I2884" s="28">
        <v>46317</v>
      </c>
      <c r="J2884" t="s">
        <v>2753</v>
      </c>
      <c r="K2884" t="s">
        <v>2754</v>
      </c>
    </row>
    <row r="2885" spans="1:11" hidden="1">
      <c r="A2885" s="28">
        <v>46317</v>
      </c>
      <c r="B2885" t="s">
        <v>186</v>
      </c>
      <c r="C2885" t="s">
        <v>203</v>
      </c>
      <c r="D2885" t="s">
        <v>217</v>
      </c>
      <c r="E2885">
        <f>IF(LEFT(D2885,6)="CLIENT",IFERROR(VLOOKUP(C2885,Config_Carteiras!$A:$B,2,FALSE),1),"")</f>
        <v>1</v>
      </c>
      <c r="F2885" s="25">
        <v>1812.5</v>
      </c>
      <c r="G2885" s="28">
        <f>IF(LEFT(D2885,6)="CLIENT",IF(E2885=0,WORKDAY(A2885-1,1,Dias_Sem_Compensacao!$A$2:$A$500),WORKDAY(A2885,E2885,Dias_Sem_Compensacao!$A$2:$A$500)),"")</f>
        <v>46318</v>
      </c>
      <c r="H2885" s="25">
        <v>0</v>
      </c>
      <c r="I2885" s="28">
        <v>46317</v>
      </c>
      <c r="J2885" t="s">
        <v>3193</v>
      </c>
      <c r="K2885" t="s">
        <v>3194</v>
      </c>
    </row>
    <row r="2886" spans="1:11" hidden="1">
      <c r="A2886" s="28">
        <v>46317</v>
      </c>
      <c r="B2886" t="s">
        <v>186</v>
      </c>
      <c r="C2886" t="s">
        <v>203</v>
      </c>
      <c r="D2886" t="s">
        <v>217</v>
      </c>
      <c r="E2886">
        <f>IF(LEFT(D2886,6)="CLIENT",IFERROR(VLOOKUP(C2886,Config_Carteiras!$A:$B,2,FALSE),1),"")</f>
        <v>1</v>
      </c>
      <c r="F2886" s="25">
        <v>1365</v>
      </c>
      <c r="G2886" s="28">
        <f>IF(LEFT(D2886,6)="CLIENT",IF(E2886=0,WORKDAY(A2886-1,1,Dias_Sem_Compensacao!$A$2:$A$500),WORKDAY(A2886,E2886,Dias_Sem_Compensacao!$A$2:$A$500)),"")</f>
        <v>46318</v>
      </c>
      <c r="H2886" s="25">
        <v>0</v>
      </c>
      <c r="I2886" s="28">
        <v>46317</v>
      </c>
      <c r="K2886" t="s">
        <v>3195</v>
      </c>
    </row>
    <row r="2887" spans="1:11" hidden="1">
      <c r="A2887" s="28">
        <v>46317</v>
      </c>
      <c r="B2887" t="s">
        <v>186</v>
      </c>
      <c r="C2887" t="s">
        <v>203</v>
      </c>
      <c r="D2887" t="s">
        <v>217</v>
      </c>
      <c r="E2887">
        <f>IF(LEFT(D2887,6)="CLIENT",IFERROR(VLOOKUP(C2887,Config_Carteiras!$A:$B,2,FALSE),1),"")</f>
        <v>1</v>
      </c>
      <c r="F2887" s="25">
        <v>1038.71</v>
      </c>
      <c r="G2887" s="28">
        <f>IF(LEFT(D2887,6)="CLIENT",IF(E2887=0,WORKDAY(A2887-1,1,Dias_Sem_Compensacao!$A$2:$A$500),WORKDAY(A2887,E2887,Dias_Sem_Compensacao!$A$2:$A$500)),"")</f>
        <v>46318</v>
      </c>
      <c r="H2887" s="25">
        <v>0</v>
      </c>
      <c r="I2887" s="28">
        <v>46317</v>
      </c>
      <c r="J2887" t="s">
        <v>3196</v>
      </c>
      <c r="K2887" t="s">
        <v>3197</v>
      </c>
    </row>
    <row r="2888" spans="1:11" hidden="1">
      <c r="A2888" s="28">
        <v>46317</v>
      </c>
      <c r="B2888" t="s">
        <v>186</v>
      </c>
      <c r="C2888" t="s">
        <v>203</v>
      </c>
      <c r="D2888" t="s">
        <v>217</v>
      </c>
      <c r="E2888">
        <f>IF(LEFT(D2888,6)="CLIENT",IFERROR(VLOOKUP(C2888,Config_Carteiras!$A:$B,2,FALSE),1),"")</f>
        <v>1</v>
      </c>
      <c r="F2888" s="25">
        <v>992.71</v>
      </c>
      <c r="G2888" s="28">
        <f>IF(LEFT(D2888,6)="CLIENT",IF(E2888=0,WORKDAY(A2888-1,1,Dias_Sem_Compensacao!$A$2:$A$500),WORKDAY(A2888,E2888,Dias_Sem_Compensacao!$A$2:$A$500)),"")</f>
        <v>46318</v>
      </c>
      <c r="H2888" s="25">
        <v>0</v>
      </c>
      <c r="I2888" s="28">
        <v>46317</v>
      </c>
      <c r="J2888" t="s">
        <v>2208</v>
      </c>
      <c r="K2888" t="s">
        <v>2209</v>
      </c>
    </row>
    <row r="2889" spans="1:11" hidden="1">
      <c r="A2889" s="28">
        <v>46317</v>
      </c>
      <c r="B2889" t="s">
        <v>186</v>
      </c>
      <c r="C2889" t="s">
        <v>203</v>
      </c>
      <c r="D2889" t="s">
        <v>217</v>
      </c>
      <c r="E2889">
        <f>IF(LEFT(D2889,6)="CLIENT",IFERROR(VLOOKUP(C2889,Config_Carteiras!$A:$B,2,FALSE),1),"")</f>
        <v>1</v>
      </c>
      <c r="F2889" s="25">
        <v>902.24</v>
      </c>
      <c r="G2889" s="28">
        <f>IF(LEFT(D2889,6)="CLIENT",IF(E2889=0,WORKDAY(A2889-1,1,Dias_Sem_Compensacao!$A$2:$A$500),WORKDAY(A2889,E2889,Dias_Sem_Compensacao!$A$2:$A$500)),"")</f>
        <v>46318</v>
      </c>
      <c r="H2889" s="25">
        <v>0</v>
      </c>
      <c r="I2889" s="28">
        <v>46317</v>
      </c>
      <c r="J2889" t="s">
        <v>2755</v>
      </c>
      <c r="K2889" t="s">
        <v>2756</v>
      </c>
    </row>
    <row r="2890" spans="1:11" hidden="1">
      <c r="A2890" s="28">
        <v>46317</v>
      </c>
      <c r="B2890" t="s">
        <v>186</v>
      </c>
      <c r="C2890" t="s">
        <v>203</v>
      </c>
      <c r="D2890" t="s">
        <v>217</v>
      </c>
      <c r="E2890">
        <f>IF(LEFT(D2890,6)="CLIENT",IFERROR(VLOOKUP(C2890,Config_Carteiras!$A:$B,2,FALSE),1),"")</f>
        <v>1</v>
      </c>
      <c r="F2890" s="25">
        <v>563</v>
      </c>
      <c r="G2890" s="28">
        <f>IF(LEFT(D2890,6)="CLIENT",IF(E2890=0,WORKDAY(A2890-1,1,Dias_Sem_Compensacao!$A$2:$A$500),WORKDAY(A2890,E2890,Dias_Sem_Compensacao!$A$2:$A$500)),"")</f>
        <v>46318</v>
      </c>
      <c r="H2890" s="25">
        <v>0</v>
      </c>
      <c r="I2890" s="28">
        <v>46317</v>
      </c>
      <c r="J2890" t="s">
        <v>2757</v>
      </c>
      <c r="K2890" t="s">
        <v>2758</v>
      </c>
    </row>
    <row r="2891" spans="1:11" hidden="1">
      <c r="A2891" s="28">
        <v>46317</v>
      </c>
      <c r="B2891" t="s">
        <v>186</v>
      </c>
      <c r="C2891" t="s">
        <v>203</v>
      </c>
      <c r="D2891" t="s">
        <v>217</v>
      </c>
      <c r="E2891">
        <f>IF(LEFT(D2891,6)="CLIENT",IFERROR(VLOOKUP(C2891,Config_Carteiras!$A:$B,2,FALSE),1),"")</f>
        <v>1</v>
      </c>
      <c r="F2891" s="25">
        <v>816</v>
      </c>
      <c r="G2891" s="28">
        <f>IF(LEFT(D2891,6)="CLIENT",IF(E2891=0,WORKDAY(A2891-1,1,Dias_Sem_Compensacao!$A$2:$A$500),WORKDAY(A2891,E2891,Dias_Sem_Compensacao!$A$2:$A$500)),"")</f>
        <v>46318</v>
      </c>
      <c r="H2891" s="25">
        <v>0</v>
      </c>
      <c r="I2891" s="28">
        <v>46317</v>
      </c>
      <c r="J2891" t="s">
        <v>1578</v>
      </c>
      <c r="K2891" t="s">
        <v>1579</v>
      </c>
    </row>
    <row r="2892" spans="1:11" hidden="1">
      <c r="A2892" s="28">
        <v>46317</v>
      </c>
      <c r="B2892" t="s">
        <v>186</v>
      </c>
      <c r="C2892" t="s">
        <v>203</v>
      </c>
      <c r="D2892" t="s">
        <v>217</v>
      </c>
      <c r="E2892">
        <f>IF(LEFT(D2892,6)="CLIENT",IFERROR(VLOOKUP(C2892,Config_Carteiras!$A:$B,2,FALSE),1),"")</f>
        <v>1</v>
      </c>
      <c r="F2892" s="25">
        <v>1126</v>
      </c>
      <c r="G2892" s="28">
        <f>IF(LEFT(D2892,6)="CLIENT",IF(E2892=0,WORKDAY(A2892-1,1,Dias_Sem_Compensacao!$A$2:$A$500),WORKDAY(A2892,E2892,Dias_Sem_Compensacao!$A$2:$A$500)),"")</f>
        <v>46318</v>
      </c>
      <c r="H2892" s="25">
        <v>0</v>
      </c>
      <c r="I2892" s="28">
        <v>46317</v>
      </c>
      <c r="J2892" t="s">
        <v>3198</v>
      </c>
      <c r="K2892" t="s">
        <v>3199</v>
      </c>
    </row>
    <row r="2893" spans="1:11" hidden="1">
      <c r="A2893" s="28">
        <v>46317</v>
      </c>
      <c r="B2893" t="s">
        <v>186</v>
      </c>
      <c r="C2893" t="s">
        <v>203</v>
      </c>
      <c r="D2893" t="s">
        <v>217</v>
      </c>
      <c r="E2893">
        <f>IF(LEFT(D2893,6)="CLIENT",IFERROR(VLOOKUP(C2893,Config_Carteiras!$A:$B,2,FALSE),1),"")</f>
        <v>1</v>
      </c>
      <c r="F2893" s="25">
        <v>1382.42</v>
      </c>
      <c r="G2893" s="28">
        <f>IF(LEFT(D2893,6)="CLIENT",IF(E2893=0,WORKDAY(A2893-1,1,Dias_Sem_Compensacao!$A$2:$A$500),WORKDAY(A2893,E2893,Dias_Sem_Compensacao!$A$2:$A$500)),"")</f>
        <v>46318</v>
      </c>
      <c r="H2893" s="25">
        <v>0</v>
      </c>
      <c r="I2893" s="28">
        <v>46317</v>
      </c>
      <c r="J2893" t="s">
        <v>1580</v>
      </c>
      <c r="K2893" t="s">
        <v>1581</v>
      </c>
    </row>
    <row r="2894" spans="1:11" hidden="1">
      <c r="A2894" s="28">
        <v>46317</v>
      </c>
      <c r="B2894" t="s">
        <v>186</v>
      </c>
      <c r="C2894" t="s">
        <v>203</v>
      </c>
      <c r="D2894" t="s">
        <v>217</v>
      </c>
      <c r="E2894">
        <f>IF(LEFT(D2894,6)="CLIENT",IFERROR(VLOOKUP(C2894,Config_Carteiras!$A:$B,2,FALSE),1),"")</f>
        <v>1</v>
      </c>
      <c r="F2894" s="25">
        <v>703</v>
      </c>
      <c r="G2894" s="28">
        <f>IF(LEFT(D2894,6)="CLIENT",IF(E2894=0,WORKDAY(A2894-1,1,Dias_Sem_Compensacao!$A$2:$A$500),WORKDAY(A2894,E2894,Dias_Sem_Compensacao!$A$2:$A$500)),"")</f>
        <v>46318</v>
      </c>
      <c r="H2894" s="25">
        <v>0</v>
      </c>
      <c r="I2894" s="28">
        <v>46317</v>
      </c>
      <c r="J2894" t="s">
        <v>2761</v>
      </c>
      <c r="K2894" t="s">
        <v>2762</v>
      </c>
    </row>
    <row r="2895" spans="1:11" hidden="1">
      <c r="A2895" s="28">
        <v>46317</v>
      </c>
      <c r="B2895" t="s">
        <v>186</v>
      </c>
      <c r="C2895" t="s">
        <v>203</v>
      </c>
      <c r="D2895" t="s">
        <v>217</v>
      </c>
      <c r="E2895">
        <f>IF(LEFT(D2895,6)="CLIENT",IFERROR(VLOOKUP(C2895,Config_Carteiras!$A:$B,2,FALSE),1),"")</f>
        <v>1</v>
      </c>
      <c r="F2895" s="25">
        <v>666.64</v>
      </c>
      <c r="G2895" s="28">
        <f>IF(LEFT(D2895,6)="CLIENT",IF(E2895=0,WORKDAY(A2895-1,1,Dias_Sem_Compensacao!$A$2:$A$500),WORKDAY(A2895,E2895,Dias_Sem_Compensacao!$A$2:$A$500)),"")</f>
        <v>46318</v>
      </c>
      <c r="H2895" s="25">
        <v>0</v>
      </c>
      <c r="I2895" s="28">
        <v>46317</v>
      </c>
      <c r="J2895" t="s">
        <v>2211</v>
      </c>
      <c r="K2895" t="s">
        <v>2212</v>
      </c>
    </row>
    <row r="2896" spans="1:11" hidden="1">
      <c r="A2896" s="28">
        <v>46317</v>
      </c>
      <c r="B2896" t="s">
        <v>186</v>
      </c>
      <c r="C2896" t="s">
        <v>203</v>
      </c>
      <c r="D2896" t="s">
        <v>217</v>
      </c>
      <c r="E2896">
        <f>IF(LEFT(D2896,6)="CLIENT",IFERROR(VLOOKUP(C2896,Config_Carteiras!$A:$B,2,FALSE),1),"")</f>
        <v>1</v>
      </c>
      <c r="F2896" s="25">
        <v>843</v>
      </c>
      <c r="G2896" s="28">
        <f>IF(LEFT(D2896,6)="CLIENT",IF(E2896=0,WORKDAY(A2896-1,1,Dias_Sem_Compensacao!$A$2:$A$500),WORKDAY(A2896,E2896,Dias_Sem_Compensacao!$A$2:$A$500)),"")</f>
        <v>46318</v>
      </c>
      <c r="H2896" s="25">
        <v>0</v>
      </c>
      <c r="I2896" s="28">
        <v>46317</v>
      </c>
      <c r="J2896" t="s">
        <v>3200</v>
      </c>
      <c r="K2896" t="s">
        <v>3201</v>
      </c>
    </row>
    <row r="2897" spans="1:11" hidden="1">
      <c r="A2897" s="28">
        <v>46317</v>
      </c>
      <c r="B2897" t="s">
        <v>186</v>
      </c>
      <c r="C2897" t="s">
        <v>203</v>
      </c>
      <c r="D2897" t="s">
        <v>217</v>
      </c>
      <c r="E2897">
        <f>IF(LEFT(D2897,6)="CLIENT",IFERROR(VLOOKUP(C2897,Config_Carteiras!$A:$B,2,FALSE),1),"")</f>
        <v>1</v>
      </c>
      <c r="F2897" s="25">
        <v>384</v>
      </c>
      <c r="G2897" s="28">
        <f>IF(LEFT(D2897,6)="CLIENT",IF(E2897=0,WORKDAY(A2897-1,1,Dias_Sem_Compensacao!$A$2:$A$500),WORKDAY(A2897,E2897,Dias_Sem_Compensacao!$A$2:$A$500)),"")</f>
        <v>46318</v>
      </c>
      <c r="H2897" s="25">
        <v>0</v>
      </c>
      <c r="I2897" s="28">
        <v>46317</v>
      </c>
      <c r="J2897" t="s">
        <v>3202</v>
      </c>
      <c r="K2897" t="s">
        <v>3203</v>
      </c>
    </row>
    <row r="2898" spans="1:11" hidden="1">
      <c r="A2898" s="28">
        <v>46317</v>
      </c>
      <c r="B2898" t="s">
        <v>186</v>
      </c>
      <c r="C2898" t="s">
        <v>203</v>
      </c>
      <c r="D2898" t="s">
        <v>217</v>
      </c>
      <c r="E2898">
        <f>IF(LEFT(D2898,6)="CLIENT",IFERROR(VLOOKUP(C2898,Config_Carteiras!$A:$B,2,FALSE),1),"")</f>
        <v>1</v>
      </c>
      <c r="F2898" s="25">
        <v>3109.51</v>
      </c>
      <c r="G2898" s="28">
        <f>IF(LEFT(D2898,6)="CLIENT",IF(E2898=0,WORKDAY(A2898-1,1,Dias_Sem_Compensacao!$A$2:$A$500),WORKDAY(A2898,E2898,Dias_Sem_Compensacao!$A$2:$A$500)),"")</f>
        <v>46318</v>
      </c>
      <c r="H2898" s="25">
        <v>0</v>
      </c>
      <c r="I2898" s="28">
        <v>46317</v>
      </c>
      <c r="J2898" t="s">
        <v>1584</v>
      </c>
      <c r="K2898" t="s">
        <v>1585</v>
      </c>
    </row>
    <row r="2899" spans="1:11" hidden="1">
      <c r="A2899" s="28">
        <v>46317</v>
      </c>
      <c r="B2899" t="s">
        <v>186</v>
      </c>
      <c r="C2899" t="s">
        <v>203</v>
      </c>
      <c r="D2899" t="s">
        <v>217</v>
      </c>
      <c r="E2899">
        <f>IF(LEFT(D2899,6)="CLIENT",IFERROR(VLOOKUP(C2899,Config_Carteiras!$A:$B,2,FALSE),1),"")</f>
        <v>1</v>
      </c>
      <c r="F2899" s="25">
        <v>344.64</v>
      </c>
      <c r="G2899" s="28">
        <f>IF(LEFT(D2899,6)="CLIENT",IF(E2899=0,WORKDAY(A2899-1,1,Dias_Sem_Compensacao!$A$2:$A$500),WORKDAY(A2899,E2899,Dias_Sem_Compensacao!$A$2:$A$500)),"")</f>
        <v>46318</v>
      </c>
      <c r="H2899" s="25">
        <v>0</v>
      </c>
      <c r="I2899" s="28">
        <v>46317</v>
      </c>
      <c r="J2899" t="s">
        <v>2763</v>
      </c>
      <c r="K2899" t="s">
        <v>2764</v>
      </c>
    </row>
    <row r="2900" spans="1:11" hidden="1">
      <c r="A2900" s="28">
        <v>46317</v>
      </c>
      <c r="B2900" t="s">
        <v>186</v>
      </c>
      <c r="C2900" t="s">
        <v>203</v>
      </c>
      <c r="D2900" t="s">
        <v>217</v>
      </c>
      <c r="E2900">
        <f>IF(LEFT(D2900,6)="CLIENT",IFERROR(VLOOKUP(C2900,Config_Carteiras!$A:$B,2,FALSE),1),"")</f>
        <v>1</v>
      </c>
      <c r="F2900" s="25">
        <v>967.12</v>
      </c>
      <c r="G2900" s="28">
        <f>IF(LEFT(D2900,6)="CLIENT",IF(E2900=0,WORKDAY(A2900-1,1,Dias_Sem_Compensacao!$A$2:$A$500),WORKDAY(A2900,E2900,Dias_Sem_Compensacao!$A$2:$A$500)),"")</f>
        <v>46318</v>
      </c>
      <c r="H2900" s="25">
        <v>0</v>
      </c>
      <c r="I2900" s="28">
        <v>46317</v>
      </c>
      <c r="J2900" t="s">
        <v>2214</v>
      </c>
      <c r="K2900" t="s">
        <v>2215</v>
      </c>
    </row>
    <row r="2901" spans="1:11" hidden="1">
      <c r="A2901" s="28">
        <v>46317</v>
      </c>
      <c r="B2901" t="s">
        <v>186</v>
      </c>
      <c r="C2901" t="s">
        <v>203</v>
      </c>
      <c r="D2901" t="s">
        <v>217</v>
      </c>
      <c r="E2901">
        <f>IF(LEFT(D2901,6)="CLIENT",IFERROR(VLOOKUP(C2901,Config_Carteiras!$A:$B,2,FALSE),1),"")</f>
        <v>1</v>
      </c>
      <c r="F2901" s="25">
        <v>2858.86</v>
      </c>
      <c r="G2901" s="28">
        <f>IF(LEFT(D2901,6)="CLIENT",IF(E2901=0,WORKDAY(A2901-1,1,Dias_Sem_Compensacao!$A$2:$A$500),WORKDAY(A2901,E2901,Dias_Sem_Compensacao!$A$2:$A$500)),"")</f>
        <v>46318</v>
      </c>
      <c r="H2901" s="25">
        <v>0</v>
      </c>
      <c r="I2901" s="28">
        <v>46317</v>
      </c>
      <c r="J2901" t="s">
        <v>2220</v>
      </c>
      <c r="K2901" t="s">
        <v>2221</v>
      </c>
    </row>
    <row r="2902" spans="1:11" hidden="1">
      <c r="A2902" s="28">
        <v>46317</v>
      </c>
      <c r="B2902" t="s">
        <v>186</v>
      </c>
      <c r="C2902" t="s">
        <v>203</v>
      </c>
      <c r="D2902" t="s">
        <v>217</v>
      </c>
      <c r="E2902">
        <f>IF(LEFT(D2902,6)="CLIENT",IFERROR(VLOOKUP(C2902,Config_Carteiras!$A:$B,2,FALSE),1),"")</f>
        <v>1</v>
      </c>
      <c r="F2902" s="25">
        <v>489.61</v>
      </c>
      <c r="G2902" s="28">
        <f>IF(LEFT(D2902,6)="CLIENT",IF(E2902=0,WORKDAY(A2902-1,1,Dias_Sem_Compensacao!$A$2:$A$500),WORKDAY(A2902,E2902,Dias_Sem_Compensacao!$A$2:$A$500)),"")</f>
        <v>46318</v>
      </c>
      <c r="H2902" s="25">
        <v>0</v>
      </c>
      <c r="I2902" s="28">
        <v>46317</v>
      </c>
      <c r="J2902" t="s">
        <v>3204</v>
      </c>
      <c r="K2902" t="s">
        <v>3205</v>
      </c>
    </row>
    <row r="2903" spans="1:11" hidden="1">
      <c r="A2903" s="28">
        <v>46317</v>
      </c>
      <c r="B2903" t="s">
        <v>186</v>
      </c>
      <c r="C2903" t="s">
        <v>203</v>
      </c>
      <c r="D2903" t="s">
        <v>217</v>
      </c>
      <c r="E2903">
        <f>IF(LEFT(D2903,6)="CLIENT",IFERROR(VLOOKUP(C2903,Config_Carteiras!$A:$B,2,FALSE),1),"")</f>
        <v>1</v>
      </c>
      <c r="F2903" s="25">
        <v>506.32</v>
      </c>
      <c r="G2903" s="28">
        <f>IF(LEFT(D2903,6)="CLIENT",IF(E2903=0,WORKDAY(A2903-1,1,Dias_Sem_Compensacao!$A$2:$A$500),WORKDAY(A2903,E2903,Dias_Sem_Compensacao!$A$2:$A$500)),"")</f>
        <v>46318</v>
      </c>
      <c r="H2903" s="25">
        <v>0</v>
      </c>
      <c r="I2903" s="28">
        <v>46317</v>
      </c>
      <c r="J2903" t="s">
        <v>1594</v>
      </c>
      <c r="K2903" t="s">
        <v>1595</v>
      </c>
    </row>
    <row r="2904" spans="1:11" hidden="1">
      <c r="A2904" s="28">
        <v>46317</v>
      </c>
      <c r="B2904" t="s">
        <v>186</v>
      </c>
      <c r="C2904" t="s">
        <v>203</v>
      </c>
      <c r="D2904" t="s">
        <v>217</v>
      </c>
      <c r="E2904">
        <f>IF(LEFT(D2904,6)="CLIENT",IFERROR(VLOOKUP(C2904,Config_Carteiras!$A:$B,2,FALSE),1),"")</f>
        <v>1</v>
      </c>
      <c r="F2904" s="25">
        <v>1029.6500000000001</v>
      </c>
      <c r="G2904" s="28">
        <f>IF(LEFT(D2904,6)="CLIENT",IF(E2904=0,WORKDAY(A2904-1,1,Dias_Sem_Compensacao!$A$2:$A$500),WORKDAY(A2904,E2904,Dias_Sem_Compensacao!$A$2:$A$500)),"")</f>
        <v>46318</v>
      </c>
      <c r="H2904" s="25">
        <v>0</v>
      </c>
      <c r="I2904" s="28">
        <v>46317</v>
      </c>
      <c r="J2904" t="s">
        <v>2222</v>
      </c>
      <c r="K2904" t="s">
        <v>2223</v>
      </c>
    </row>
    <row r="2905" spans="1:11" hidden="1">
      <c r="A2905" s="28">
        <v>46317</v>
      </c>
      <c r="B2905" t="s">
        <v>186</v>
      </c>
      <c r="C2905" t="s">
        <v>203</v>
      </c>
      <c r="D2905" t="s">
        <v>217</v>
      </c>
      <c r="E2905">
        <f>IF(LEFT(D2905,6)="CLIENT",IFERROR(VLOOKUP(C2905,Config_Carteiras!$A:$B,2,FALSE),1),"")</f>
        <v>1</v>
      </c>
      <c r="F2905" s="25">
        <v>945.14</v>
      </c>
      <c r="G2905" s="28">
        <f>IF(LEFT(D2905,6)="CLIENT",IF(E2905=0,WORKDAY(A2905-1,1,Dias_Sem_Compensacao!$A$2:$A$500),WORKDAY(A2905,E2905,Dias_Sem_Compensacao!$A$2:$A$500)),"")</f>
        <v>46318</v>
      </c>
      <c r="H2905" s="25">
        <v>0</v>
      </c>
      <c r="I2905" s="28">
        <v>46317</v>
      </c>
      <c r="J2905" t="s">
        <v>2224</v>
      </c>
      <c r="K2905" t="s">
        <v>2225</v>
      </c>
    </row>
    <row r="2906" spans="1:11" hidden="1">
      <c r="A2906" s="28">
        <v>46317</v>
      </c>
      <c r="B2906" t="s">
        <v>186</v>
      </c>
      <c r="C2906" t="s">
        <v>203</v>
      </c>
      <c r="D2906" t="s">
        <v>217</v>
      </c>
      <c r="E2906">
        <f>IF(LEFT(D2906,6)="CLIENT",IFERROR(VLOOKUP(C2906,Config_Carteiras!$A:$B,2,FALSE),1),"")</f>
        <v>1</v>
      </c>
      <c r="F2906" s="25">
        <v>704.13</v>
      </c>
      <c r="G2906" s="28">
        <f>IF(LEFT(D2906,6)="CLIENT",IF(E2906=0,WORKDAY(A2906-1,1,Dias_Sem_Compensacao!$A$2:$A$500),WORKDAY(A2906,E2906,Dias_Sem_Compensacao!$A$2:$A$500)),"")</f>
        <v>46318</v>
      </c>
      <c r="H2906" s="25">
        <v>0</v>
      </c>
      <c r="I2906" s="28">
        <v>46317</v>
      </c>
      <c r="J2906" t="s">
        <v>2765</v>
      </c>
      <c r="K2906" t="s">
        <v>2766</v>
      </c>
    </row>
    <row r="2907" spans="1:11" hidden="1">
      <c r="A2907" s="28">
        <v>46317</v>
      </c>
      <c r="B2907" t="s">
        <v>186</v>
      </c>
      <c r="C2907" t="s">
        <v>203</v>
      </c>
      <c r="D2907" t="s">
        <v>217</v>
      </c>
      <c r="E2907">
        <f>IF(LEFT(D2907,6)="CLIENT",IFERROR(VLOOKUP(C2907,Config_Carteiras!$A:$B,2,FALSE),1),"")</f>
        <v>1</v>
      </c>
      <c r="F2907" s="25">
        <v>766</v>
      </c>
      <c r="G2907" s="28">
        <f>IF(LEFT(D2907,6)="CLIENT",IF(E2907=0,WORKDAY(A2907-1,1,Dias_Sem_Compensacao!$A$2:$A$500),WORKDAY(A2907,E2907,Dias_Sem_Compensacao!$A$2:$A$500)),"")</f>
        <v>46318</v>
      </c>
      <c r="H2907" s="25">
        <v>0</v>
      </c>
      <c r="I2907" s="28">
        <v>46317</v>
      </c>
      <c r="J2907" t="s">
        <v>2767</v>
      </c>
      <c r="K2907" t="s">
        <v>2768</v>
      </c>
    </row>
    <row r="2908" spans="1:11" hidden="1">
      <c r="A2908" s="28">
        <v>46317</v>
      </c>
      <c r="B2908" t="s">
        <v>186</v>
      </c>
      <c r="C2908" t="s">
        <v>203</v>
      </c>
      <c r="D2908" t="s">
        <v>217</v>
      </c>
      <c r="E2908">
        <f>IF(LEFT(D2908,6)="CLIENT",IFERROR(VLOOKUP(C2908,Config_Carteiras!$A:$B,2,FALSE),1),"")</f>
        <v>1</v>
      </c>
      <c r="F2908" s="25">
        <v>276.3</v>
      </c>
      <c r="G2908" s="28">
        <f>IF(LEFT(D2908,6)="CLIENT",IF(E2908=0,WORKDAY(A2908-1,1,Dias_Sem_Compensacao!$A$2:$A$500),WORKDAY(A2908,E2908,Dias_Sem_Compensacao!$A$2:$A$500)),"")</f>
        <v>46318</v>
      </c>
      <c r="H2908" s="25">
        <v>0</v>
      </c>
      <c r="I2908" s="28">
        <v>46317</v>
      </c>
      <c r="J2908" t="s">
        <v>3206</v>
      </c>
      <c r="K2908" t="s">
        <v>3207</v>
      </c>
    </row>
    <row r="2909" spans="1:11" hidden="1">
      <c r="A2909" s="28">
        <v>46317</v>
      </c>
      <c r="B2909" t="s">
        <v>186</v>
      </c>
      <c r="C2909" t="s">
        <v>203</v>
      </c>
      <c r="D2909" t="s">
        <v>217</v>
      </c>
      <c r="E2909">
        <f>IF(LEFT(D2909,6)="CLIENT",IFERROR(VLOOKUP(C2909,Config_Carteiras!$A:$B,2,FALSE),1),"")</f>
        <v>1</v>
      </c>
      <c r="F2909" s="25">
        <v>1004</v>
      </c>
      <c r="G2909" s="28">
        <f>IF(LEFT(D2909,6)="CLIENT",IF(E2909=0,WORKDAY(A2909-1,1,Dias_Sem_Compensacao!$A$2:$A$500),WORKDAY(A2909,E2909,Dias_Sem_Compensacao!$A$2:$A$500)),"")</f>
        <v>46318</v>
      </c>
      <c r="H2909" s="25">
        <v>0</v>
      </c>
      <c r="I2909" s="28">
        <v>46317</v>
      </c>
      <c r="J2909" t="s">
        <v>3208</v>
      </c>
      <c r="K2909" t="s">
        <v>3209</v>
      </c>
    </row>
    <row r="2910" spans="1:11" hidden="1">
      <c r="A2910" s="28">
        <v>46317</v>
      </c>
      <c r="B2910" t="s">
        <v>186</v>
      </c>
      <c r="C2910" t="s">
        <v>203</v>
      </c>
      <c r="D2910" t="s">
        <v>217</v>
      </c>
      <c r="E2910">
        <f>IF(LEFT(D2910,6)="CLIENT",IFERROR(VLOOKUP(C2910,Config_Carteiras!$A:$B,2,FALSE),1),"")</f>
        <v>1</v>
      </c>
      <c r="F2910" s="25">
        <v>913.89</v>
      </c>
      <c r="G2910" s="28">
        <f>IF(LEFT(D2910,6)="CLIENT",IF(E2910=0,WORKDAY(A2910-1,1,Dias_Sem_Compensacao!$A$2:$A$500),WORKDAY(A2910,E2910,Dias_Sem_Compensacao!$A$2:$A$500)),"")</f>
        <v>46318</v>
      </c>
      <c r="H2910" s="25">
        <v>0</v>
      </c>
      <c r="I2910" s="28">
        <v>46317</v>
      </c>
      <c r="J2910" t="s">
        <v>1608</v>
      </c>
      <c r="K2910" t="s">
        <v>2230</v>
      </c>
    </row>
    <row r="2911" spans="1:11" hidden="1">
      <c r="A2911" s="28">
        <v>46317</v>
      </c>
      <c r="B2911" t="s">
        <v>186</v>
      </c>
      <c r="C2911" t="s">
        <v>203</v>
      </c>
      <c r="D2911" t="s">
        <v>217</v>
      </c>
      <c r="E2911">
        <f>IF(LEFT(D2911,6)="CLIENT",IFERROR(VLOOKUP(C2911,Config_Carteiras!$A:$B,2,FALSE),1),"")</f>
        <v>1</v>
      </c>
      <c r="F2911" s="25">
        <v>1264</v>
      </c>
      <c r="G2911" s="28">
        <f>IF(LEFT(D2911,6)="CLIENT",IF(E2911=0,WORKDAY(A2911-1,1,Dias_Sem_Compensacao!$A$2:$A$500),WORKDAY(A2911,E2911,Dias_Sem_Compensacao!$A$2:$A$500)),"")</f>
        <v>46318</v>
      </c>
      <c r="H2911" s="25">
        <v>0</v>
      </c>
      <c r="I2911" s="28">
        <v>46317</v>
      </c>
      <c r="J2911" t="s">
        <v>356</v>
      </c>
      <c r="K2911" t="s">
        <v>2231</v>
      </c>
    </row>
    <row r="2912" spans="1:11" hidden="1">
      <c r="A2912" s="28">
        <v>46317</v>
      </c>
      <c r="B2912" t="s">
        <v>186</v>
      </c>
      <c r="C2912" t="s">
        <v>203</v>
      </c>
      <c r="D2912" t="s">
        <v>217</v>
      </c>
      <c r="E2912">
        <f>IF(LEFT(D2912,6)="CLIENT",IFERROR(VLOOKUP(C2912,Config_Carteiras!$A:$B,2,FALSE),1),"")</f>
        <v>1</v>
      </c>
      <c r="F2912" s="25">
        <v>666</v>
      </c>
      <c r="G2912" s="28">
        <f>IF(LEFT(D2912,6)="CLIENT",IF(E2912=0,WORKDAY(A2912-1,1,Dias_Sem_Compensacao!$A$2:$A$500),WORKDAY(A2912,E2912,Dias_Sem_Compensacao!$A$2:$A$500)),"")</f>
        <v>46318</v>
      </c>
      <c r="H2912" s="25">
        <v>0</v>
      </c>
      <c r="I2912" s="28">
        <v>46317</v>
      </c>
      <c r="J2912" t="s">
        <v>2777</v>
      </c>
      <c r="K2912" t="s">
        <v>2778</v>
      </c>
    </row>
    <row r="2913" spans="1:11" hidden="1">
      <c r="A2913" s="28">
        <v>46317</v>
      </c>
      <c r="B2913" t="s">
        <v>186</v>
      </c>
      <c r="C2913" t="s">
        <v>203</v>
      </c>
      <c r="D2913" t="s">
        <v>217</v>
      </c>
      <c r="E2913">
        <f>IF(LEFT(D2913,6)="CLIENT",IFERROR(VLOOKUP(C2913,Config_Carteiras!$A:$B,2,FALSE),1),"")</f>
        <v>1</v>
      </c>
      <c r="F2913" s="25">
        <v>1040</v>
      </c>
      <c r="G2913" s="28">
        <f>IF(LEFT(D2913,6)="CLIENT",IF(E2913=0,WORKDAY(A2913-1,1,Dias_Sem_Compensacao!$A$2:$A$500),WORKDAY(A2913,E2913,Dias_Sem_Compensacao!$A$2:$A$500)),"")</f>
        <v>46318</v>
      </c>
      <c r="H2913" s="25">
        <v>0</v>
      </c>
      <c r="I2913" s="28">
        <v>46317</v>
      </c>
      <c r="J2913" t="s">
        <v>2779</v>
      </c>
      <c r="K2913" t="s">
        <v>2780</v>
      </c>
    </row>
    <row r="2914" spans="1:11" hidden="1">
      <c r="A2914" s="28">
        <v>46317</v>
      </c>
      <c r="B2914" t="s">
        <v>186</v>
      </c>
      <c r="C2914" t="s">
        <v>203</v>
      </c>
      <c r="D2914" t="s">
        <v>217</v>
      </c>
      <c r="E2914">
        <f>IF(LEFT(D2914,6)="CLIENT",IFERROR(VLOOKUP(C2914,Config_Carteiras!$A:$B,2,FALSE),1),"")</f>
        <v>1</v>
      </c>
      <c r="F2914" s="25">
        <v>410</v>
      </c>
      <c r="G2914" s="28">
        <f>IF(LEFT(D2914,6)="CLIENT",IF(E2914=0,WORKDAY(A2914-1,1,Dias_Sem_Compensacao!$A$2:$A$500),WORKDAY(A2914,E2914,Dias_Sem_Compensacao!$A$2:$A$500)),"")</f>
        <v>46318</v>
      </c>
      <c r="H2914" s="25">
        <v>0</v>
      </c>
      <c r="I2914" s="28">
        <v>46317</v>
      </c>
      <c r="J2914" t="s">
        <v>1072</v>
      </c>
      <c r="K2914" t="s">
        <v>2781</v>
      </c>
    </row>
    <row r="2915" spans="1:11" hidden="1">
      <c r="A2915" s="28">
        <v>46317</v>
      </c>
      <c r="B2915" t="s">
        <v>186</v>
      </c>
      <c r="C2915" t="s">
        <v>203</v>
      </c>
      <c r="D2915" t="s">
        <v>217</v>
      </c>
      <c r="E2915">
        <f>IF(LEFT(D2915,6)="CLIENT",IFERROR(VLOOKUP(C2915,Config_Carteiras!$A:$B,2,FALSE),1),"")</f>
        <v>1</v>
      </c>
      <c r="F2915" s="25">
        <v>381</v>
      </c>
      <c r="G2915" s="28">
        <f>IF(LEFT(D2915,6)="CLIENT",IF(E2915=0,WORKDAY(A2915-1,1,Dias_Sem_Compensacao!$A$2:$A$500),WORKDAY(A2915,E2915,Dias_Sem_Compensacao!$A$2:$A$500)),"")</f>
        <v>46318</v>
      </c>
      <c r="H2915" s="25">
        <v>0</v>
      </c>
      <c r="I2915" s="28">
        <v>46317</v>
      </c>
      <c r="J2915" t="s">
        <v>2236</v>
      </c>
      <c r="K2915" t="s">
        <v>2237</v>
      </c>
    </row>
    <row r="2916" spans="1:11" hidden="1">
      <c r="A2916" s="28">
        <v>46317</v>
      </c>
      <c r="B2916" t="s">
        <v>186</v>
      </c>
      <c r="C2916" t="s">
        <v>203</v>
      </c>
      <c r="D2916" t="s">
        <v>217</v>
      </c>
      <c r="E2916">
        <f>IF(LEFT(D2916,6)="CLIENT",IFERROR(VLOOKUP(C2916,Config_Carteiras!$A:$B,2,FALSE),1),"")</f>
        <v>1</v>
      </c>
      <c r="F2916" s="25">
        <v>713</v>
      </c>
      <c r="G2916" s="28">
        <f>IF(LEFT(D2916,6)="CLIENT",IF(E2916=0,WORKDAY(A2916-1,1,Dias_Sem_Compensacao!$A$2:$A$500),WORKDAY(A2916,E2916,Dias_Sem_Compensacao!$A$2:$A$500)),"")</f>
        <v>46318</v>
      </c>
      <c r="H2916" s="25">
        <v>0</v>
      </c>
      <c r="I2916" s="28">
        <v>46317</v>
      </c>
      <c r="J2916" t="s">
        <v>1622</v>
      </c>
      <c r="K2916" t="s">
        <v>1623</v>
      </c>
    </row>
    <row r="2917" spans="1:11" hidden="1">
      <c r="A2917" s="28">
        <v>46317</v>
      </c>
      <c r="B2917" t="s">
        <v>186</v>
      </c>
      <c r="C2917" t="s">
        <v>203</v>
      </c>
      <c r="D2917" t="s">
        <v>217</v>
      </c>
      <c r="E2917">
        <f>IF(LEFT(D2917,6)="CLIENT",IFERROR(VLOOKUP(C2917,Config_Carteiras!$A:$B,2,FALSE),1),"")</f>
        <v>1</v>
      </c>
      <c r="F2917" s="25">
        <v>6611</v>
      </c>
      <c r="G2917" s="28">
        <f>IF(LEFT(D2917,6)="CLIENT",IF(E2917=0,WORKDAY(A2917-1,1,Dias_Sem_Compensacao!$A$2:$A$500),WORKDAY(A2917,E2917,Dias_Sem_Compensacao!$A$2:$A$500)),"")</f>
        <v>46318</v>
      </c>
      <c r="H2917" s="25">
        <v>0</v>
      </c>
      <c r="I2917" s="28">
        <v>46317</v>
      </c>
      <c r="J2917" t="s">
        <v>169</v>
      </c>
      <c r="K2917" t="s">
        <v>2784</v>
      </c>
    </row>
    <row r="2918" spans="1:11" hidden="1">
      <c r="A2918" s="28">
        <v>46317</v>
      </c>
      <c r="B2918" t="s">
        <v>186</v>
      </c>
      <c r="C2918" t="s">
        <v>203</v>
      </c>
      <c r="D2918" t="s">
        <v>217</v>
      </c>
      <c r="E2918">
        <f>IF(LEFT(D2918,6)="CLIENT",IFERROR(VLOOKUP(C2918,Config_Carteiras!$A:$B,2,FALSE),1),"")</f>
        <v>1</v>
      </c>
      <c r="F2918" s="25">
        <v>1802</v>
      </c>
      <c r="G2918" s="28">
        <f>IF(LEFT(D2918,6)="CLIENT",IF(E2918=0,WORKDAY(A2918-1,1,Dias_Sem_Compensacao!$A$2:$A$500),WORKDAY(A2918,E2918,Dias_Sem_Compensacao!$A$2:$A$500)),"")</f>
        <v>46318</v>
      </c>
      <c r="H2918" s="25">
        <v>0</v>
      </c>
      <c r="I2918" s="28">
        <v>46317</v>
      </c>
      <c r="J2918" t="s">
        <v>2785</v>
      </c>
      <c r="K2918" t="s">
        <v>2786</v>
      </c>
    </row>
    <row r="2919" spans="1:11" hidden="1">
      <c r="A2919" s="28">
        <v>46317</v>
      </c>
      <c r="B2919" t="s">
        <v>186</v>
      </c>
      <c r="C2919" t="s">
        <v>203</v>
      </c>
      <c r="D2919" t="s">
        <v>217</v>
      </c>
      <c r="E2919">
        <f>IF(LEFT(D2919,6)="CLIENT",IFERROR(VLOOKUP(C2919,Config_Carteiras!$A:$B,2,FALSE),1),"")</f>
        <v>1</v>
      </c>
      <c r="F2919" s="25">
        <v>1005.88</v>
      </c>
      <c r="G2919" s="28">
        <f>IF(LEFT(D2919,6)="CLIENT",IF(E2919=0,WORKDAY(A2919-1,1,Dias_Sem_Compensacao!$A$2:$A$500),WORKDAY(A2919,E2919,Dias_Sem_Compensacao!$A$2:$A$500)),"")</f>
        <v>46318</v>
      </c>
      <c r="H2919" s="25">
        <v>0</v>
      </c>
      <c r="I2919" s="28">
        <v>46317</v>
      </c>
      <c r="J2919" t="s">
        <v>3210</v>
      </c>
      <c r="K2919" t="s">
        <v>3211</v>
      </c>
    </row>
    <row r="2920" spans="1:11" hidden="1">
      <c r="A2920" s="28">
        <v>46317</v>
      </c>
      <c r="B2920" t="s">
        <v>186</v>
      </c>
      <c r="C2920" t="s">
        <v>203</v>
      </c>
      <c r="D2920" t="s">
        <v>217</v>
      </c>
      <c r="E2920">
        <f>IF(LEFT(D2920,6)="CLIENT",IFERROR(VLOOKUP(C2920,Config_Carteiras!$A:$B,2,FALSE),1),"")</f>
        <v>1</v>
      </c>
      <c r="F2920" s="25">
        <v>829</v>
      </c>
      <c r="G2920" s="28">
        <f>IF(LEFT(D2920,6)="CLIENT",IF(E2920=0,WORKDAY(A2920-1,1,Dias_Sem_Compensacao!$A$2:$A$500),WORKDAY(A2920,E2920,Dias_Sem_Compensacao!$A$2:$A$500)),"")</f>
        <v>46318</v>
      </c>
      <c r="H2920" s="25">
        <v>0</v>
      </c>
      <c r="I2920" s="28">
        <v>46317</v>
      </c>
      <c r="J2920" t="s">
        <v>2787</v>
      </c>
      <c r="K2920" t="s">
        <v>2788</v>
      </c>
    </row>
    <row r="2921" spans="1:11" hidden="1">
      <c r="A2921" s="28">
        <v>46317</v>
      </c>
      <c r="B2921" t="s">
        <v>186</v>
      </c>
      <c r="C2921" t="s">
        <v>203</v>
      </c>
      <c r="D2921" t="s">
        <v>217</v>
      </c>
      <c r="E2921">
        <f>IF(LEFT(D2921,6)="CLIENT",IFERROR(VLOOKUP(C2921,Config_Carteiras!$A:$B,2,FALSE),1),"")</f>
        <v>1</v>
      </c>
      <c r="F2921" s="25">
        <v>1634.32</v>
      </c>
      <c r="G2921" s="28">
        <f>IF(LEFT(D2921,6)="CLIENT",IF(E2921=0,WORKDAY(A2921-1,1,Dias_Sem_Compensacao!$A$2:$A$500),WORKDAY(A2921,E2921,Dias_Sem_Compensacao!$A$2:$A$500)),"")</f>
        <v>46318</v>
      </c>
      <c r="H2921" s="25">
        <v>0</v>
      </c>
      <c r="I2921" s="28">
        <v>46317</v>
      </c>
      <c r="J2921" t="s">
        <v>2248</v>
      </c>
      <c r="K2921" t="s">
        <v>2249</v>
      </c>
    </row>
    <row r="2922" spans="1:11" hidden="1">
      <c r="A2922" s="28">
        <v>46317</v>
      </c>
      <c r="B2922" t="s">
        <v>186</v>
      </c>
      <c r="C2922" t="s">
        <v>203</v>
      </c>
      <c r="D2922" t="s">
        <v>217</v>
      </c>
      <c r="E2922">
        <f>IF(LEFT(D2922,6)="CLIENT",IFERROR(VLOOKUP(C2922,Config_Carteiras!$A:$B,2,FALSE),1),"")</f>
        <v>1</v>
      </c>
      <c r="F2922" s="25">
        <v>497.65</v>
      </c>
      <c r="G2922" s="28">
        <f>IF(LEFT(D2922,6)="CLIENT",IF(E2922=0,WORKDAY(A2922-1,1,Dias_Sem_Compensacao!$A$2:$A$500),WORKDAY(A2922,E2922,Dias_Sem_Compensacao!$A$2:$A$500)),"")</f>
        <v>46318</v>
      </c>
      <c r="H2922" s="25">
        <v>0</v>
      </c>
      <c r="I2922" s="28">
        <v>46317</v>
      </c>
      <c r="J2922" t="s">
        <v>2250</v>
      </c>
      <c r="K2922" t="s">
        <v>2251</v>
      </c>
    </row>
    <row r="2923" spans="1:11" hidden="1">
      <c r="A2923" s="28">
        <v>46317</v>
      </c>
      <c r="B2923" t="s">
        <v>186</v>
      </c>
      <c r="C2923" t="s">
        <v>203</v>
      </c>
      <c r="D2923" t="s">
        <v>217</v>
      </c>
      <c r="E2923">
        <f>IF(LEFT(D2923,6)="CLIENT",IFERROR(VLOOKUP(C2923,Config_Carteiras!$A:$B,2,FALSE),1),"")</f>
        <v>1</v>
      </c>
      <c r="F2923" s="25">
        <v>1320</v>
      </c>
      <c r="G2923" s="28">
        <f>IF(LEFT(D2923,6)="CLIENT",IF(E2923=0,WORKDAY(A2923-1,1,Dias_Sem_Compensacao!$A$2:$A$500),WORKDAY(A2923,E2923,Dias_Sem_Compensacao!$A$2:$A$500)),"")</f>
        <v>46318</v>
      </c>
      <c r="H2923" s="25">
        <v>0</v>
      </c>
      <c r="I2923" s="28">
        <v>46317</v>
      </c>
      <c r="J2923" t="s">
        <v>2889</v>
      </c>
      <c r="K2923" t="s">
        <v>3212</v>
      </c>
    </row>
    <row r="2924" spans="1:11" hidden="1">
      <c r="A2924" s="28">
        <v>46317</v>
      </c>
      <c r="B2924" t="s">
        <v>186</v>
      </c>
      <c r="C2924" t="s">
        <v>203</v>
      </c>
      <c r="D2924" t="s">
        <v>217</v>
      </c>
      <c r="E2924">
        <f>IF(LEFT(D2924,6)="CLIENT",IFERROR(VLOOKUP(C2924,Config_Carteiras!$A:$B,2,FALSE),1),"")</f>
        <v>1</v>
      </c>
      <c r="F2924" s="25">
        <v>478</v>
      </c>
      <c r="G2924" s="28">
        <f>IF(LEFT(D2924,6)="CLIENT",IF(E2924=0,WORKDAY(A2924-1,1,Dias_Sem_Compensacao!$A$2:$A$500),WORKDAY(A2924,E2924,Dias_Sem_Compensacao!$A$2:$A$500)),"")</f>
        <v>46318</v>
      </c>
      <c r="H2924" s="25">
        <v>0</v>
      </c>
      <c r="I2924" s="28">
        <v>46317</v>
      </c>
      <c r="J2924" t="s">
        <v>1289</v>
      </c>
      <c r="K2924" t="s">
        <v>2252</v>
      </c>
    </row>
    <row r="2925" spans="1:11" hidden="1">
      <c r="A2925" s="28">
        <v>46317</v>
      </c>
      <c r="B2925" t="s">
        <v>186</v>
      </c>
      <c r="C2925" t="s">
        <v>203</v>
      </c>
      <c r="D2925" t="s">
        <v>217</v>
      </c>
      <c r="E2925">
        <f>IF(LEFT(D2925,6)="CLIENT",IFERROR(VLOOKUP(C2925,Config_Carteiras!$A:$B,2,FALSE),1),"")</f>
        <v>1</v>
      </c>
      <c r="F2925" s="25">
        <v>570.09</v>
      </c>
      <c r="G2925" s="28">
        <f>IF(LEFT(D2925,6)="CLIENT",IF(E2925=0,WORKDAY(A2925-1,1,Dias_Sem_Compensacao!$A$2:$A$500),WORKDAY(A2925,E2925,Dias_Sem_Compensacao!$A$2:$A$500)),"")</f>
        <v>46318</v>
      </c>
      <c r="H2925" s="25">
        <v>0</v>
      </c>
      <c r="I2925" s="28">
        <v>46317</v>
      </c>
      <c r="J2925" t="s">
        <v>2789</v>
      </c>
      <c r="K2925" t="s">
        <v>2790</v>
      </c>
    </row>
    <row r="2926" spans="1:11" hidden="1">
      <c r="A2926" s="28">
        <v>46318</v>
      </c>
      <c r="B2926" t="s">
        <v>186</v>
      </c>
      <c r="C2926" t="s">
        <v>203</v>
      </c>
      <c r="D2926" t="s">
        <v>217</v>
      </c>
      <c r="E2926">
        <f>IF(LEFT(D2926,6)="CLIENT",IFERROR(VLOOKUP(C2926,Config_Carteiras!$A:$B,2,FALSE),1),"")</f>
        <v>1</v>
      </c>
      <c r="F2926" s="25">
        <v>1142</v>
      </c>
      <c r="G2926" s="28">
        <f>IF(LEFT(D2926,6)="CLIENT",IF(E2926=0,WORKDAY(A2926-1,1,Dias_Sem_Compensacao!$A$2:$A$500),WORKDAY(A2926,E2926,Dias_Sem_Compensacao!$A$2:$A$500)),"")</f>
        <v>46321</v>
      </c>
      <c r="H2926" s="25">
        <v>0</v>
      </c>
      <c r="I2926" s="28">
        <v>46318</v>
      </c>
      <c r="J2926" t="s">
        <v>3213</v>
      </c>
      <c r="K2926" t="s">
        <v>3214</v>
      </c>
    </row>
    <row r="2927" spans="1:11" hidden="1">
      <c r="A2927" s="28">
        <v>46318</v>
      </c>
      <c r="B2927" t="s">
        <v>186</v>
      </c>
      <c r="C2927" t="s">
        <v>203</v>
      </c>
      <c r="D2927" t="s">
        <v>217</v>
      </c>
      <c r="E2927">
        <f>IF(LEFT(D2927,6)="CLIENT",IFERROR(VLOOKUP(C2927,Config_Carteiras!$A:$B,2,FALSE),1),"")</f>
        <v>1</v>
      </c>
      <c r="F2927" s="25">
        <v>1645.16</v>
      </c>
      <c r="G2927" s="28">
        <f>IF(LEFT(D2927,6)="CLIENT",IF(E2927=0,WORKDAY(A2927-1,1,Dias_Sem_Compensacao!$A$2:$A$500),WORKDAY(A2927,E2927,Dias_Sem_Compensacao!$A$2:$A$500)),"")</f>
        <v>46321</v>
      </c>
      <c r="H2927" s="25">
        <v>0</v>
      </c>
      <c r="I2927" s="28">
        <v>46318</v>
      </c>
      <c r="J2927" t="s">
        <v>1430</v>
      </c>
      <c r="K2927" t="s">
        <v>1651</v>
      </c>
    </row>
    <row r="2928" spans="1:11" hidden="1">
      <c r="A2928" s="28">
        <v>46318</v>
      </c>
      <c r="B2928" t="s">
        <v>186</v>
      </c>
      <c r="C2928" t="s">
        <v>203</v>
      </c>
      <c r="D2928" t="s">
        <v>217</v>
      </c>
      <c r="E2928">
        <f>IF(LEFT(D2928,6)="CLIENT",IFERROR(VLOOKUP(C2928,Config_Carteiras!$A:$B,2,FALSE),1),"")</f>
        <v>1</v>
      </c>
      <c r="F2928" s="25">
        <v>1353.97</v>
      </c>
      <c r="G2928" s="28">
        <f>IF(LEFT(D2928,6)="CLIENT",IF(E2928=0,WORKDAY(A2928-1,1,Dias_Sem_Compensacao!$A$2:$A$500),WORKDAY(A2928,E2928,Dias_Sem_Compensacao!$A$2:$A$500)),"")</f>
        <v>46321</v>
      </c>
      <c r="H2928" s="25">
        <v>0</v>
      </c>
      <c r="I2928" s="28">
        <v>46318</v>
      </c>
      <c r="J2928" t="s">
        <v>1654</v>
      </c>
      <c r="K2928" t="s">
        <v>1655</v>
      </c>
    </row>
    <row r="2929" spans="1:11" hidden="1">
      <c r="A2929" s="28">
        <v>46318</v>
      </c>
      <c r="B2929" t="s">
        <v>186</v>
      </c>
      <c r="C2929" t="s">
        <v>203</v>
      </c>
      <c r="D2929" t="s">
        <v>217</v>
      </c>
      <c r="E2929">
        <f>IF(LEFT(D2929,6)="CLIENT",IFERROR(VLOOKUP(C2929,Config_Carteiras!$A:$B,2,FALSE),1),"")</f>
        <v>1</v>
      </c>
      <c r="F2929" s="25">
        <v>771</v>
      </c>
      <c r="G2929" s="28">
        <f>IF(LEFT(D2929,6)="CLIENT",IF(E2929=0,WORKDAY(A2929-1,1,Dias_Sem_Compensacao!$A$2:$A$500),WORKDAY(A2929,E2929,Dias_Sem_Compensacao!$A$2:$A$500)),"")</f>
        <v>46321</v>
      </c>
      <c r="H2929" s="25">
        <v>0</v>
      </c>
      <c r="I2929" s="28">
        <v>46318</v>
      </c>
      <c r="J2929" t="s">
        <v>2795</v>
      </c>
      <c r="K2929" t="s">
        <v>2796</v>
      </c>
    </row>
    <row r="2930" spans="1:11" hidden="1">
      <c r="A2930" s="28">
        <v>46318</v>
      </c>
      <c r="B2930" t="s">
        <v>186</v>
      </c>
      <c r="C2930" t="s">
        <v>203</v>
      </c>
      <c r="D2930" t="s">
        <v>217</v>
      </c>
      <c r="E2930">
        <f>IF(LEFT(D2930,6)="CLIENT",IFERROR(VLOOKUP(C2930,Config_Carteiras!$A:$B,2,FALSE),1),"")</f>
        <v>1</v>
      </c>
      <c r="F2930" s="25">
        <v>547</v>
      </c>
      <c r="G2930" s="28">
        <f>IF(LEFT(D2930,6)="CLIENT",IF(E2930=0,WORKDAY(A2930-1,1,Dias_Sem_Compensacao!$A$2:$A$500),WORKDAY(A2930,E2930,Dias_Sem_Compensacao!$A$2:$A$500)),"")</f>
        <v>46321</v>
      </c>
      <c r="H2930" s="25">
        <v>0</v>
      </c>
      <c r="I2930" s="28">
        <v>46318</v>
      </c>
      <c r="J2930" t="s">
        <v>3215</v>
      </c>
      <c r="K2930" t="s">
        <v>3216</v>
      </c>
    </row>
    <row r="2931" spans="1:11" hidden="1">
      <c r="A2931" s="28">
        <v>46318</v>
      </c>
      <c r="B2931" t="s">
        <v>186</v>
      </c>
      <c r="C2931" t="s">
        <v>203</v>
      </c>
      <c r="D2931" t="s">
        <v>217</v>
      </c>
      <c r="E2931">
        <f>IF(LEFT(D2931,6)="CLIENT",IFERROR(VLOOKUP(C2931,Config_Carteiras!$A:$B,2,FALSE),1),"")</f>
        <v>1</v>
      </c>
      <c r="F2931" s="25">
        <v>1279</v>
      </c>
      <c r="G2931" s="28">
        <f>IF(LEFT(D2931,6)="CLIENT",IF(E2931=0,WORKDAY(A2931-1,1,Dias_Sem_Compensacao!$A$2:$A$500),WORKDAY(A2931,E2931,Dias_Sem_Compensacao!$A$2:$A$500)),"")</f>
        <v>46321</v>
      </c>
      <c r="H2931" s="25">
        <v>0</v>
      </c>
      <c r="I2931" s="28">
        <v>46318</v>
      </c>
      <c r="J2931" t="s">
        <v>3217</v>
      </c>
      <c r="K2931" t="s">
        <v>3218</v>
      </c>
    </row>
    <row r="2932" spans="1:11" hidden="1">
      <c r="A2932" s="28">
        <v>46318</v>
      </c>
      <c r="B2932" t="s">
        <v>186</v>
      </c>
      <c r="C2932" t="s">
        <v>203</v>
      </c>
      <c r="D2932" t="s">
        <v>217</v>
      </c>
      <c r="E2932">
        <f>IF(LEFT(D2932,6)="CLIENT",IFERROR(VLOOKUP(C2932,Config_Carteiras!$A:$B,2,FALSE),1),"")</f>
        <v>1</v>
      </c>
      <c r="F2932" s="25">
        <v>8214.5300000000007</v>
      </c>
      <c r="G2932" s="28">
        <f>IF(LEFT(D2932,6)="CLIENT",IF(E2932=0,WORKDAY(A2932-1,1,Dias_Sem_Compensacao!$A$2:$A$500),WORKDAY(A2932,E2932,Dias_Sem_Compensacao!$A$2:$A$500)),"")</f>
        <v>46321</v>
      </c>
      <c r="H2932" s="25">
        <v>0</v>
      </c>
      <c r="I2932" s="28">
        <v>46318</v>
      </c>
      <c r="J2932" t="s">
        <v>1666</v>
      </c>
      <c r="K2932" t="s">
        <v>2797</v>
      </c>
    </row>
    <row r="2933" spans="1:11" hidden="1">
      <c r="A2933" s="28">
        <v>46318</v>
      </c>
      <c r="B2933" t="s">
        <v>186</v>
      </c>
      <c r="C2933" t="s">
        <v>203</v>
      </c>
      <c r="D2933" t="s">
        <v>217</v>
      </c>
      <c r="E2933">
        <f>IF(LEFT(D2933,6)="CLIENT",IFERROR(VLOOKUP(C2933,Config_Carteiras!$A:$B,2,FALSE),1),"")</f>
        <v>1</v>
      </c>
      <c r="F2933" s="25">
        <v>1472</v>
      </c>
      <c r="G2933" s="28">
        <f>IF(LEFT(D2933,6)="CLIENT",IF(E2933=0,WORKDAY(A2933-1,1,Dias_Sem_Compensacao!$A$2:$A$500),WORKDAY(A2933,E2933,Dias_Sem_Compensacao!$A$2:$A$500)),"")</f>
        <v>46321</v>
      </c>
      <c r="H2933" s="25">
        <v>0</v>
      </c>
      <c r="I2933" s="28">
        <v>46318</v>
      </c>
      <c r="J2933" t="s">
        <v>2798</v>
      </c>
      <c r="K2933" t="s">
        <v>2799</v>
      </c>
    </row>
    <row r="2934" spans="1:11" hidden="1">
      <c r="A2934" s="28">
        <v>46318</v>
      </c>
      <c r="B2934" t="s">
        <v>186</v>
      </c>
      <c r="C2934" t="s">
        <v>203</v>
      </c>
      <c r="D2934" t="s">
        <v>217</v>
      </c>
      <c r="E2934">
        <f>IF(LEFT(D2934,6)="CLIENT",IFERROR(VLOOKUP(C2934,Config_Carteiras!$A:$B,2,FALSE),1),"")</f>
        <v>1</v>
      </c>
      <c r="F2934" s="25">
        <v>733.34</v>
      </c>
      <c r="G2934" s="28">
        <f>IF(LEFT(D2934,6)="CLIENT",IF(E2934=0,WORKDAY(A2934-1,1,Dias_Sem_Compensacao!$A$2:$A$500),WORKDAY(A2934,E2934,Dias_Sem_Compensacao!$A$2:$A$500)),"")</f>
        <v>46321</v>
      </c>
      <c r="H2934" s="25">
        <v>0</v>
      </c>
      <c r="I2934" s="28">
        <v>46318</v>
      </c>
      <c r="J2934" t="s">
        <v>2255</v>
      </c>
      <c r="K2934" t="s">
        <v>2256</v>
      </c>
    </row>
    <row r="2935" spans="1:11" hidden="1">
      <c r="A2935" s="28">
        <v>46318</v>
      </c>
      <c r="B2935" t="s">
        <v>186</v>
      </c>
      <c r="C2935" t="s">
        <v>203</v>
      </c>
      <c r="D2935" t="s">
        <v>217</v>
      </c>
      <c r="E2935">
        <f>IF(LEFT(D2935,6)="CLIENT",IFERROR(VLOOKUP(C2935,Config_Carteiras!$A:$B,2,FALSE),1),"")</f>
        <v>1</v>
      </c>
      <c r="F2935" s="25">
        <v>2858</v>
      </c>
      <c r="G2935" s="28">
        <f>IF(LEFT(D2935,6)="CLIENT",IF(E2935=0,WORKDAY(A2935-1,1,Dias_Sem_Compensacao!$A$2:$A$500),WORKDAY(A2935,E2935,Dias_Sem_Compensacao!$A$2:$A$500)),"")</f>
        <v>46321</v>
      </c>
      <c r="H2935" s="25">
        <v>0</v>
      </c>
      <c r="I2935" s="28">
        <v>46318</v>
      </c>
      <c r="J2935" t="s">
        <v>3219</v>
      </c>
      <c r="K2935" t="s">
        <v>3220</v>
      </c>
    </row>
    <row r="2936" spans="1:11" hidden="1">
      <c r="A2936" s="28">
        <v>46318</v>
      </c>
      <c r="B2936" t="s">
        <v>186</v>
      </c>
      <c r="C2936" t="s">
        <v>203</v>
      </c>
      <c r="D2936" t="s">
        <v>217</v>
      </c>
      <c r="E2936">
        <f>IF(LEFT(D2936,6)="CLIENT",IFERROR(VLOOKUP(C2936,Config_Carteiras!$A:$B,2,FALSE),1),"")</f>
        <v>1</v>
      </c>
      <c r="F2936" s="25">
        <v>1855.5</v>
      </c>
      <c r="G2936" s="28">
        <f>IF(LEFT(D2936,6)="CLIENT",IF(E2936=0,WORKDAY(A2936-1,1,Dias_Sem_Compensacao!$A$2:$A$500),WORKDAY(A2936,E2936,Dias_Sem_Compensacao!$A$2:$A$500)),"")</f>
        <v>46321</v>
      </c>
      <c r="H2936" s="25">
        <v>0</v>
      </c>
      <c r="I2936" s="28">
        <v>46318</v>
      </c>
      <c r="J2936" t="s">
        <v>2259</v>
      </c>
      <c r="K2936" t="s">
        <v>2260</v>
      </c>
    </row>
    <row r="2937" spans="1:11" hidden="1">
      <c r="A2937" s="28">
        <v>46318</v>
      </c>
      <c r="B2937" t="s">
        <v>186</v>
      </c>
      <c r="C2937" t="s">
        <v>203</v>
      </c>
      <c r="D2937" t="s">
        <v>217</v>
      </c>
      <c r="E2937">
        <f>IF(LEFT(D2937,6)="CLIENT",IFERROR(VLOOKUP(C2937,Config_Carteiras!$A:$B,2,FALSE),1),"")</f>
        <v>1</v>
      </c>
      <c r="F2937" s="25">
        <v>993.18</v>
      </c>
      <c r="G2937" s="28">
        <f>IF(LEFT(D2937,6)="CLIENT",IF(E2937=0,WORKDAY(A2937-1,1,Dias_Sem_Compensacao!$A$2:$A$500),WORKDAY(A2937,E2937,Dias_Sem_Compensacao!$A$2:$A$500)),"")</f>
        <v>46321</v>
      </c>
      <c r="H2937" s="25">
        <v>0</v>
      </c>
      <c r="I2937" s="28">
        <v>46318</v>
      </c>
      <c r="J2937" t="s">
        <v>3221</v>
      </c>
      <c r="K2937" t="s">
        <v>3222</v>
      </c>
    </row>
    <row r="2938" spans="1:11" hidden="1">
      <c r="A2938" s="28">
        <v>46318</v>
      </c>
      <c r="B2938" t="s">
        <v>186</v>
      </c>
      <c r="C2938" t="s">
        <v>203</v>
      </c>
      <c r="D2938" t="s">
        <v>217</v>
      </c>
      <c r="E2938">
        <f>IF(LEFT(D2938,6)="CLIENT",IFERROR(VLOOKUP(C2938,Config_Carteiras!$A:$B,2,FALSE),1),"")</f>
        <v>1</v>
      </c>
      <c r="F2938" s="25">
        <v>1738</v>
      </c>
      <c r="G2938" s="28">
        <f>IF(LEFT(D2938,6)="CLIENT",IF(E2938=0,WORKDAY(A2938-1,1,Dias_Sem_Compensacao!$A$2:$A$500),WORKDAY(A2938,E2938,Dias_Sem_Compensacao!$A$2:$A$500)),"")</f>
        <v>46321</v>
      </c>
      <c r="H2938" s="25">
        <v>0</v>
      </c>
      <c r="I2938" s="28">
        <v>46318</v>
      </c>
      <c r="J2938" t="s">
        <v>1796</v>
      </c>
      <c r="K2938" t="s">
        <v>2805</v>
      </c>
    </row>
    <row r="2939" spans="1:11" hidden="1">
      <c r="A2939" s="28">
        <v>46318</v>
      </c>
      <c r="B2939" t="s">
        <v>186</v>
      </c>
      <c r="C2939" t="s">
        <v>203</v>
      </c>
      <c r="D2939" t="s">
        <v>217</v>
      </c>
      <c r="E2939">
        <f>IF(LEFT(D2939,6)="CLIENT",IFERROR(VLOOKUP(C2939,Config_Carteiras!$A:$B,2,FALSE),1),"")</f>
        <v>1</v>
      </c>
      <c r="F2939" s="25">
        <v>19365</v>
      </c>
      <c r="G2939" s="28">
        <f>IF(LEFT(D2939,6)="CLIENT",IF(E2939=0,WORKDAY(A2939-1,1,Dias_Sem_Compensacao!$A$2:$A$500),WORKDAY(A2939,E2939,Dias_Sem_Compensacao!$A$2:$A$500)),"")</f>
        <v>46321</v>
      </c>
      <c r="H2939" s="25">
        <v>0</v>
      </c>
      <c r="I2939" s="28">
        <v>46318</v>
      </c>
      <c r="J2939" t="s">
        <v>1002</v>
      </c>
      <c r="K2939" t="s">
        <v>3223</v>
      </c>
    </row>
    <row r="2940" spans="1:11" hidden="1">
      <c r="A2940" s="28">
        <v>46318</v>
      </c>
      <c r="B2940" t="s">
        <v>186</v>
      </c>
      <c r="C2940" t="s">
        <v>203</v>
      </c>
      <c r="D2940" t="s">
        <v>217</v>
      </c>
      <c r="E2940">
        <f>IF(LEFT(D2940,6)="CLIENT",IFERROR(VLOOKUP(C2940,Config_Carteiras!$A:$B,2,FALSE),1),"")</f>
        <v>1</v>
      </c>
      <c r="F2940" s="25">
        <v>10732.5</v>
      </c>
      <c r="G2940" s="28">
        <f>IF(LEFT(D2940,6)="CLIENT",IF(E2940=0,WORKDAY(A2940-1,1,Dias_Sem_Compensacao!$A$2:$A$500),WORKDAY(A2940,E2940,Dias_Sem_Compensacao!$A$2:$A$500)),"")</f>
        <v>46321</v>
      </c>
      <c r="H2940" s="25">
        <v>0</v>
      </c>
      <c r="I2940" s="28">
        <v>46318</v>
      </c>
      <c r="K2940" t="s">
        <v>3224</v>
      </c>
    </row>
    <row r="2941" spans="1:11" hidden="1">
      <c r="A2941" s="28">
        <v>46318</v>
      </c>
      <c r="B2941" t="s">
        <v>186</v>
      </c>
      <c r="C2941" t="s">
        <v>203</v>
      </c>
      <c r="D2941" t="s">
        <v>217</v>
      </c>
      <c r="E2941">
        <f>IF(LEFT(D2941,6)="CLIENT",IFERROR(VLOOKUP(C2941,Config_Carteiras!$A:$B,2,FALSE),1),"")</f>
        <v>1</v>
      </c>
      <c r="F2941" s="25">
        <v>5638.14</v>
      </c>
      <c r="G2941" s="28">
        <f>IF(LEFT(D2941,6)="CLIENT",IF(E2941=0,WORKDAY(A2941-1,1,Dias_Sem_Compensacao!$A$2:$A$500),WORKDAY(A2941,E2941,Dias_Sem_Compensacao!$A$2:$A$500)),"")</f>
        <v>46321</v>
      </c>
      <c r="H2941" s="25">
        <v>0</v>
      </c>
      <c r="I2941" s="28">
        <v>46318</v>
      </c>
      <c r="J2941" t="s">
        <v>2806</v>
      </c>
      <c r="K2941" t="s">
        <v>2807</v>
      </c>
    </row>
    <row r="2942" spans="1:11" hidden="1">
      <c r="A2942" s="28">
        <v>46318</v>
      </c>
      <c r="B2942" t="s">
        <v>186</v>
      </c>
      <c r="C2942" t="s">
        <v>203</v>
      </c>
      <c r="D2942" t="s">
        <v>217</v>
      </c>
      <c r="E2942">
        <f>IF(LEFT(D2942,6)="CLIENT",IFERROR(VLOOKUP(C2942,Config_Carteiras!$A:$B,2,FALSE),1),"")</f>
        <v>1</v>
      </c>
      <c r="F2942" s="25">
        <v>25828</v>
      </c>
      <c r="G2942" s="28">
        <f>IF(LEFT(D2942,6)="CLIENT",IF(E2942=0,WORKDAY(A2942-1,1,Dias_Sem_Compensacao!$A$2:$A$500),WORKDAY(A2942,E2942,Dias_Sem_Compensacao!$A$2:$A$500)),"")</f>
        <v>46321</v>
      </c>
      <c r="H2942" s="25">
        <v>0</v>
      </c>
      <c r="I2942" s="28">
        <v>46318</v>
      </c>
      <c r="J2942" t="s">
        <v>1138</v>
      </c>
      <c r="K2942" t="s">
        <v>3225</v>
      </c>
    </row>
    <row r="2943" spans="1:11" hidden="1">
      <c r="A2943" s="28">
        <v>46318</v>
      </c>
      <c r="B2943" t="s">
        <v>186</v>
      </c>
      <c r="C2943" t="s">
        <v>203</v>
      </c>
      <c r="D2943" t="s">
        <v>217</v>
      </c>
      <c r="E2943">
        <f>IF(LEFT(D2943,6)="CLIENT",IFERROR(VLOOKUP(C2943,Config_Carteiras!$A:$B,2,FALSE),1),"")</f>
        <v>1</v>
      </c>
      <c r="F2943" s="25">
        <v>2902</v>
      </c>
      <c r="G2943" s="28">
        <f>IF(LEFT(D2943,6)="CLIENT",IF(E2943=0,WORKDAY(A2943-1,1,Dias_Sem_Compensacao!$A$2:$A$500),WORKDAY(A2943,E2943,Dias_Sem_Compensacao!$A$2:$A$500)),"")</f>
        <v>46321</v>
      </c>
      <c r="H2943" s="25">
        <v>0</v>
      </c>
      <c r="I2943" s="28">
        <v>46318</v>
      </c>
      <c r="J2943" t="s">
        <v>2808</v>
      </c>
      <c r="K2943" t="s">
        <v>2809</v>
      </c>
    </row>
    <row r="2944" spans="1:11" hidden="1">
      <c r="A2944" s="28">
        <v>46318</v>
      </c>
      <c r="B2944" t="s">
        <v>186</v>
      </c>
      <c r="C2944" t="s">
        <v>203</v>
      </c>
      <c r="D2944" t="s">
        <v>217</v>
      </c>
      <c r="E2944">
        <f>IF(LEFT(D2944,6)="CLIENT",IFERROR(VLOOKUP(C2944,Config_Carteiras!$A:$B,2,FALSE),1),"")</f>
        <v>1</v>
      </c>
      <c r="F2944" s="25">
        <v>524</v>
      </c>
      <c r="G2944" s="28">
        <f>IF(LEFT(D2944,6)="CLIENT",IF(E2944=0,WORKDAY(A2944-1,1,Dias_Sem_Compensacao!$A$2:$A$500),WORKDAY(A2944,E2944,Dias_Sem_Compensacao!$A$2:$A$500)),"")</f>
        <v>46321</v>
      </c>
      <c r="H2944" s="25">
        <v>0</v>
      </c>
      <c r="I2944" s="28">
        <v>46318</v>
      </c>
      <c r="J2944" t="s">
        <v>2810</v>
      </c>
      <c r="K2944" t="s">
        <v>2811</v>
      </c>
    </row>
    <row r="2945" spans="1:11" hidden="1">
      <c r="A2945" s="28">
        <v>46318</v>
      </c>
      <c r="B2945" t="s">
        <v>186</v>
      </c>
      <c r="C2945" t="s">
        <v>203</v>
      </c>
      <c r="D2945" t="s">
        <v>217</v>
      </c>
      <c r="E2945">
        <f>IF(LEFT(D2945,6)="CLIENT",IFERROR(VLOOKUP(C2945,Config_Carteiras!$A:$B,2,FALSE),1),"")</f>
        <v>1</v>
      </c>
      <c r="F2945" s="25">
        <v>803.9</v>
      </c>
      <c r="G2945" s="28">
        <f>IF(LEFT(D2945,6)="CLIENT",IF(E2945=0,WORKDAY(A2945-1,1,Dias_Sem_Compensacao!$A$2:$A$500),WORKDAY(A2945,E2945,Dias_Sem_Compensacao!$A$2:$A$500)),"")</f>
        <v>46321</v>
      </c>
      <c r="H2945" s="25">
        <v>0</v>
      </c>
      <c r="I2945" s="28">
        <v>46318</v>
      </c>
      <c r="J2945" t="s">
        <v>2812</v>
      </c>
      <c r="K2945" t="s">
        <v>2813</v>
      </c>
    </row>
    <row r="2946" spans="1:11" hidden="1">
      <c r="A2946" s="28">
        <v>46318</v>
      </c>
      <c r="B2946" t="s">
        <v>186</v>
      </c>
      <c r="C2946" t="s">
        <v>203</v>
      </c>
      <c r="D2946" t="s">
        <v>217</v>
      </c>
      <c r="E2946">
        <f>IF(LEFT(D2946,6)="CLIENT",IFERROR(VLOOKUP(C2946,Config_Carteiras!$A:$B,2,FALSE),1),"")</f>
        <v>1</v>
      </c>
      <c r="F2946" s="25">
        <v>729</v>
      </c>
      <c r="G2946" s="28">
        <f>IF(LEFT(D2946,6)="CLIENT",IF(E2946=0,WORKDAY(A2946-1,1,Dias_Sem_Compensacao!$A$2:$A$500),WORKDAY(A2946,E2946,Dias_Sem_Compensacao!$A$2:$A$500)),"")</f>
        <v>46321</v>
      </c>
      <c r="H2946" s="25">
        <v>0</v>
      </c>
      <c r="I2946" s="28">
        <v>46318</v>
      </c>
      <c r="J2946" t="s">
        <v>3226</v>
      </c>
      <c r="K2946" t="s">
        <v>3227</v>
      </c>
    </row>
    <row r="2947" spans="1:11" hidden="1">
      <c r="A2947" s="28">
        <v>46318</v>
      </c>
      <c r="B2947" t="s">
        <v>186</v>
      </c>
      <c r="C2947" t="s">
        <v>203</v>
      </c>
      <c r="D2947" t="s">
        <v>217</v>
      </c>
      <c r="E2947">
        <f>IF(LEFT(D2947,6)="CLIENT",IFERROR(VLOOKUP(C2947,Config_Carteiras!$A:$B,2,FALSE),1),"")</f>
        <v>1</v>
      </c>
      <c r="F2947" s="25">
        <v>420</v>
      </c>
      <c r="G2947" s="28">
        <f>IF(LEFT(D2947,6)="CLIENT",IF(E2947=0,WORKDAY(A2947-1,1,Dias_Sem_Compensacao!$A$2:$A$500),WORKDAY(A2947,E2947,Dias_Sem_Compensacao!$A$2:$A$500)),"")</f>
        <v>46321</v>
      </c>
      <c r="H2947" s="25">
        <v>0</v>
      </c>
      <c r="I2947" s="28">
        <v>46318</v>
      </c>
      <c r="J2947" t="s">
        <v>2814</v>
      </c>
      <c r="K2947" t="s">
        <v>2815</v>
      </c>
    </row>
    <row r="2948" spans="1:11" hidden="1">
      <c r="A2948" s="28">
        <v>46318</v>
      </c>
      <c r="B2948" t="s">
        <v>186</v>
      </c>
      <c r="C2948" t="s">
        <v>203</v>
      </c>
      <c r="D2948" t="s">
        <v>217</v>
      </c>
      <c r="E2948">
        <f>IF(LEFT(D2948,6)="CLIENT",IFERROR(VLOOKUP(C2948,Config_Carteiras!$A:$B,2,FALSE),1),"")</f>
        <v>1</v>
      </c>
      <c r="F2948" s="25">
        <v>1087.74</v>
      </c>
      <c r="G2948" s="28">
        <f>IF(LEFT(D2948,6)="CLIENT",IF(E2948=0,WORKDAY(A2948-1,1,Dias_Sem_Compensacao!$A$2:$A$500),WORKDAY(A2948,E2948,Dias_Sem_Compensacao!$A$2:$A$500)),"")</f>
        <v>46321</v>
      </c>
      <c r="H2948" s="25">
        <v>0</v>
      </c>
      <c r="I2948" s="28">
        <v>46318</v>
      </c>
      <c r="J2948" t="s">
        <v>3228</v>
      </c>
      <c r="K2948" t="s">
        <v>3229</v>
      </c>
    </row>
    <row r="2949" spans="1:11" hidden="1">
      <c r="A2949" s="28">
        <v>46318</v>
      </c>
      <c r="B2949" t="s">
        <v>186</v>
      </c>
      <c r="C2949" t="s">
        <v>203</v>
      </c>
      <c r="D2949" t="s">
        <v>217</v>
      </c>
      <c r="E2949">
        <f>IF(LEFT(D2949,6)="CLIENT",IFERROR(VLOOKUP(C2949,Config_Carteiras!$A:$B,2,FALSE),1),"")</f>
        <v>1</v>
      </c>
      <c r="F2949" s="25">
        <v>1685.5</v>
      </c>
      <c r="G2949" s="28">
        <f>IF(LEFT(D2949,6)="CLIENT",IF(E2949=0,WORKDAY(A2949-1,1,Dias_Sem_Compensacao!$A$2:$A$500),WORKDAY(A2949,E2949,Dias_Sem_Compensacao!$A$2:$A$500)),"")</f>
        <v>46321</v>
      </c>
      <c r="H2949" s="25">
        <v>0</v>
      </c>
      <c r="I2949" s="28">
        <v>46318</v>
      </c>
      <c r="J2949" t="s">
        <v>3230</v>
      </c>
      <c r="K2949" t="s">
        <v>3231</v>
      </c>
    </row>
    <row r="2950" spans="1:11" hidden="1">
      <c r="A2950" s="28">
        <v>46318</v>
      </c>
      <c r="B2950" t="s">
        <v>186</v>
      </c>
      <c r="C2950" t="s">
        <v>203</v>
      </c>
      <c r="D2950" t="s">
        <v>217</v>
      </c>
      <c r="E2950">
        <f>IF(LEFT(D2950,6)="CLIENT",IFERROR(VLOOKUP(C2950,Config_Carteiras!$A:$B,2,FALSE),1),"")</f>
        <v>1</v>
      </c>
      <c r="F2950" s="25">
        <v>363.4</v>
      </c>
      <c r="G2950" s="28">
        <f>IF(LEFT(D2950,6)="CLIENT",IF(E2950=0,WORKDAY(A2950-1,1,Dias_Sem_Compensacao!$A$2:$A$500),WORKDAY(A2950,E2950,Dias_Sem_Compensacao!$A$2:$A$500)),"")</f>
        <v>46321</v>
      </c>
      <c r="H2950" s="25">
        <v>0</v>
      </c>
      <c r="I2950" s="28">
        <v>46318</v>
      </c>
      <c r="J2950" t="s">
        <v>2820</v>
      </c>
      <c r="K2950" t="s">
        <v>2821</v>
      </c>
    </row>
    <row r="2951" spans="1:11" hidden="1">
      <c r="A2951" s="28">
        <v>46318</v>
      </c>
      <c r="B2951" t="s">
        <v>186</v>
      </c>
      <c r="C2951" t="s">
        <v>203</v>
      </c>
      <c r="D2951" t="s">
        <v>217</v>
      </c>
      <c r="E2951">
        <f>IF(LEFT(D2951,6)="CLIENT",IFERROR(VLOOKUP(C2951,Config_Carteiras!$A:$B,2,FALSE),1),"")</f>
        <v>1</v>
      </c>
      <c r="F2951" s="25">
        <v>1851.68</v>
      </c>
      <c r="G2951" s="28">
        <f>IF(LEFT(D2951,6)="CLIENT",IF(E2951=0,WORKDAY(A2951-1,1,Dias_Sem_Compensacao!$A$2:$A$500),WORKDAY(A2951,E2951,Dias_Sem_Compensacao!$A$2:$A$500)),"")</f>
        <v>46321</v>
      </c>
      <c r="H2951" s="25">
        <v>0</v>
      </c>
      <c r="I2951" s="28">
        <v>46318</v>
      </c>
      <c r="J2951" t="s">
        <v>2261</v>
      </c>
      <c r="K2951" t="s">
        <v>2262</v>
      </c>
    </row>
    <row r="2952" spans="1:11" hidden="1">
      <c r="A2952" s="28">
        <v>46318</v>
      </c>
      <c r="B2952" t="s">
        <v>186</v>
      </c>
      <c r="C2952" t="s">
        <v>203</v>
      </c>
      <c r="D2952" t="s">
        <v>217</v>
      </c>
      <c r="E2952">
        <f>IF(LEFT(D2952,6)="CLIENT",IFERROR(VLOOKUP(C2952,Config_Carteiras!$A:$B,2,FALSE),1),"")</f>
        <v>1</v>
      </c>
      <c r="F2952" s="25">
        <v>830</v>
      </c>
      <c r="G2952" s="28">
        <f>IF(LEFT(D2952,6)="CLIENT",IF(E2952=0,WORKDAY(A2952-1,1,Dias_Sem_Compensacao!$A$2:$A$500),WORKDAY(A2952,E2952,Dias_Sem_Compensacao!$A$2:$A$500)),"")</f>
        <v>46321</v>
      </c>
      <c r="H2952" s="25">
        <v>0</v>
      </c>
      <c r="I2952" s="28">
        <v>46318</v>
      </c>
      <c r="J2952" t="s">
        <v>2822</v>
      </c>
      <c r="K2952" t="s">
        <v>2823</v>
      </c>
    </row>
    <row r="2953" spans="1:11" hidden="1">
      <c r="A2953" s="28">
        <v>46318</v>
      </c>
      <c r="B2953" t="s">
        <v>186</v>
      </c>
      <c r="C2953" t="s">
        <v>203</v>
      </c>
      <c r="D2953" t="s">
        <v>217</v>
      </c>
      <c r="E2953">
        <f>IF(LEFT(D2953,6)="CLIENT",IFERROR(VLOOKUP(C2953,Config_Carteiras!$A:$B,2,FALSE),1),"")</f>
        <v>1</v>
      </c>
      <c r="F2953" s="25">
        <v>3438.94</v>
      </c>
      <c r="G2953" s="28">
        <f>IF(LEFT(D2953,6)="CLIENT",IF(E2953=0,WORKDAY(A2953-1,1,Dias_Sem_Compensacao!$A$2:$A$500),WORKDAY(A2953,E2953,Dias_Sem_Compensacao!$A$2:$A$500)),"")</f>
        <v>46321</v>
      </c>
      <c r="H2953" s="25">
        <v>0</v>
      </c>
      <c r="I2953" s="28">
        <v>46318</v>
      </c>
      <c r="J2953" t="s">
        <v>2161</v>
      </c>
      <c r="K2953" t="s">
        <v>2162</v>
      </c>
    </row>
    <row r="2954" spans="1:11" hidden="1">
      <c r="A2954" s="28">
        <v>46318</v>
      </c>
      <c r="B2954" t="s">
        <v>186</v>
      </c>
      <c r="C2954" t="s">
        <v>203</v>
      </c>
      <c r="D2954" t="s">
        <v>217</v>
      </c>
      <c r="E2954">
        <f>IF(LEFT(D2954,6)="CLIENT",IFERROR(VLOOKUP(C2954,Config_Carteiras!$A:$B,2,FALSE),1),"")</f>
        <v>1</v>
      </c>
      <c r="F2954" s="25">
        <v>17991.12</v>
      </c>
      <c r="G2954" s="28">
        <f>IF(LEFT(D2954,6)="CLIENT",IF(E2954=0,WORKDAY(A2954-1,1,Dias_Sem_Compensacao!$A$2:$A$500),WORKDAY(A2954,E2954,Dias_Sem_Compensacao!$A$2:$A$500)),"")</f>
        <v>46321</v>
      </c>
      <c r="H2954" s="25">
        <v>0</v>
      </c>
      <c r="I2954" s="28">
        <v>46318</v>
      </c>
      <c r="J2954" t="s">
        <v>2163</v>
      </c>
      <c r="K2954" t="s">
        <v>2164</v>
      </c>
    </row>
    <row r="2955" spans="1:11" hidden="1">
      <c r="A2955" s="28">
        <v>46318</v>
      </c>
      <c r="B2955" t="s">
        <v>186</v>
      </c>
      <c r="C2955" t="s">
        <v>203</v>
      </c>
      <c r="D2955" t="s">
        <v>217</v>
      </c>
      <c r="E2955">
        <f>IF(LEFT(D2955,6)="CLIENT",IFERROR(VLOOKUP(C2955,Config_Carteiras!$A:$B,2,FALSE),1),"")</f>
        <v>1</v>
      </c>
      <c r="F2955" s="25">
        <v>1743.38</v>
      </c>
      <c r="G2955" s="28">
        <f>IF(LEFT(D2955,6)="CLIENT",IF(E2955=0,WORKDAY(A2955-1,1,Dias_Sem_Compensacao!$A$2:$A$500),WORKDAY(A2955,E2955,Dias_Sem_Compensacao!$A$2:$A$500)),"")</f>
        <v>46321</v>
      </c>
      <c r="H2955" s="25">
        <v>0</v>
      </c>
      <c r="I2955" s="28">
        <v>46318</v>
      </c>
      <c r="J2955" t="s">
        <v>3232</v>
      </c>
      <c r="K2955" t="s">
        <v>3233</v>
      </c>
    </row>
    <row r="2956" spans="1:11" hidden="1">
      <c r="A2956" s="28">
        <v>46318</v>
      </c>
      <c r="B2956" t="s">
        <v>186</v>
      </c>
      <c r="C2956" t="s">
        <v>203</v>
      </c>
      <c r="D2956" t="s">
        <v>217</v>
      </c>
      <c r="E2956">
        <f>IF(LEFT(D2956,6)="CLIENT",IFERROR(VLOOKUP(C2956,Config_Carteiras!$A:$B,2,FALSE),1),"")</f>
        <v>1</v>
      </c>
      <c r="F2956" s="25">
        <v>866</v>
      </c>
      <c r="G2956" s="28">
        <f>IF(LEFT(D2956,6)="CLIENT",IF(E2956=0,WORKDAY(A2956-1,1,Dias_Sem_Compensacao!$A$2:$A$500),WORKDAY(A2956,E2956,Dias_Sem_Compensacao!$A$2:$A$500)),"")</f>
        <v>46321</v>
      </c>
      <c r="H2956" s="25">
        <v>0</v>
      </c>
      <c r="I2956" s="28">
        <v>46318</v>
      </c>
      <c r="J2956" t="s">
        <v>1485</v>
      </c>
      <c r="K2956" t="s">
        <v>3234</v>
      </c>
    </row>
    <row r="2957" spans="1:11" hidden="1">
      <c r="A2957" s="28">
        <v>46318</v>
      </c>
      <c r="B2957" t="s">
        <v>186</v>
      </c>
      <c r="C2957" t="s">
        <v>203</v>
      </c>
      <c r="D2957" t="s">
        <v>217</v>
      </c>
      <c r="E2957">
        <f>IF(LEFT(D2957,6)="CLIENT",IFERROR(VLOOKUP(C2957,Config_Carteiras!$A:$B,2,FALSE),1),"")</f>
        <v>1</v>
      </c>
      <c r="F2957" s="25">
        <v>1718</v>
      </c>
      <c r="G2957" s="28">
        <f>IF(LEFT(D2957,6)="CLIENT",IF(E2957=0,WORKDAY(A2957-1,1,Dias_Sem_Compensacao!$A$2:$A$500),WORKDAY(A2957,E2957,Dias_Sem_Compensacao!$A$2:$A$500)),"")</f>
        <v>46321</v>
      </c>
      <c r="H2957" s="25">
        <v>0</v>
      </c>
      <c r="I2957" s="28">
        <v>46318</v>
      </c>
      <c r="J2957" t="s">
        <v>3235</v>
      </c>
      <c r="K2957" t="s">
        <v>3236</v>
      </c>
    </row>
    <row r="2958" spans="1:11" hidden="1">
      <c r="A2958" s="28">
        <v>46318</v>
      </c>
      <c r="B2958" t="s">
        <v>186</v>
      </c>
      <c r="C2958" t="s">
        <v>203</v>
      </c>
      <c r="D2958" t="s">
        <v>217</v>
      </c>
      <c r="E2958">
        <f>IF(LEFT(D2958,6)="CLIENT",IFERROR(VLOOKUP(C2958,Config_Carteiras!$A:$B,2,FALSE),1),"")</f>
        <v>1</v>
      </c>
      <c r="F2958" s="25">
        <v>739</v>
      </c>
      <c r="G2958" s="28">
        <f>IF(LEFT(D2958,6)="CLIENT",IF(E2958=0,WORKDAY(A2958-1,1,Dias_Sem_Compensacao!$A$2:$A$500),WORKDAY(A2958,E2958,Dias_Sem_Compensacao!$A$2:$A$500)),"")</f>
        <v>46321</v>
      </c>
      <c r="H2958" s="25">
        <v>0</v>
      </c>
      <c r="I2958" s="28">
        <v>46318</v>
      </c>
      <c r="J2958" t="s">
        <v>2829</v>
      </c>
      <c r="K2958" t="s">
        <v>2830</v>
      </c>
    </row>
    <row r="2959" spans="1:11" hidden="1">
      <c r="A2959" s="28">
        <v>46318</v>
      </c>
      <c r="B2959" t="s">
        <v>186</v>
      </c>
      <c r="C2959" t="s">
        <v>203</v>
      </c>
      <c r="D2959" t="s">
        <v>217</v>
      </c>
      <c r="E2959">
        <f>IF(LEFT(D2959,6)="CLIENT",IFERROR(VLOOKUP(C2959,Config_Carteiras!$A:$B,2,FALSE),1),"")</f>
        <v>1</v>
      </c>
      <c r="F2959" s="25">
        <v>918.33</v>
      </c>
      <c r="G2959" s="28">
        <f>IF(LEFT(D2959,6)="CLIENT",IF(E2959=0,WORKDAY(A2959-1,1,Dias_Sem_Compensacao!$A$2:$A$500),WORKDAY(A2959,E2959,Dias_Sem_Compensacao!$A$2:$A$500)),"")</f>
        <v>46321</v>
      </c>
      <c r="H2959" s="25">
        <v>0</v>
      </c>
      <c r="I2959" s="28">
        <v>46318</v>
      </c>
      <c r="J2959" t="s">
        <v>2270</v>
      </c>
      <c r="K2959" t="s">
        <v>2271</v>
      </c>
    </row>
    <row r="2960" spans="1:11" hidden="1">
      <c r="A2960" s="28">
        <v>46318</v>
      </c>
      <c r="B2960" t="s">
        <v>186</v>
      </c>
      <c r="C2960" t="s">
        <v>203</v>
      </c>
      <c r="D2960" t="s">
        <v>217</v>
      </c>
      <c r="E2960">
        <f>IF(LEFT(D2960,6)="CLIENT",IFERROR(VLOOKUP(C2960,Config_Carteiras!$A:$B,2,FALSE),1),"")</f>
        <v>1</v>
      </c>
      <c r="F2960" s="25">
        <v>1126.8599999999999</v>
      </c>
      <c r="G2960" s="28">
        <f>IF(LEFT(D2960,6)="CLIENT",IF(E2960=0,WORKDAY(A2960-1,1,Dias_Sem_Compensacao!$A$2:$A$500),WORKDAY(A2960,E2960,Dias_Sem_Compensacao!$A$2:$A$500)),"")</f>
        <v>46321</v>
      </c>
      <c r="H2960" s="25">
        <v>0</v>
      </c>
      <c r="I2960" s="28">
        <v>46318</v>
      </c>
      <c r="J2960" t="s">
        <v>2272</v>
      </c>
      <c r="K2960" t="s">
        <v>2273</v>
      </c>
    </row>
    <row r="2961" spans="1:11" hidden="1">
      <c r="A2961" s="28">
        <v>46318</v>
      </c>
      <c r="B2961" t="s">
        <v>186</v>
      </c>
      <c r="C2961" t="s">
        <v>203</v>
      </c>
      <c r="D2961" t="s">
        <v>217</v>
      </c>
      <c r="E2961">
        <f>IF(LEFT(D2961,6)="CLIENT",IFERROR(VLOOKUP(C2961,Config_Carteiras!$A:$B,2,FALSE),1),"")</f>
        <v>1</v>
      </c>
      <c r="F2961" s="25">
        <v>1300</v>
      </c>
      <c r="G2961" s="28">
        <f>IF(LEFT(D2961,6)="CLIENT",IF(E2961=0,WORKDAY(A2961-1,1,Dias_Sem_Compensacao!$A$2:$A$500),WORKDAY(A2961,E2961,Dias_Sem_Compensacao!$A$2:$A$500)),"")</f>
        <v>46321</v>
      </c>
      <c r="H2961" s="25">
        <v>0</v>
      </c>
      <c r="I2961" s="28">
        <v>46318</v>
      </c>
      <c r="J2961" t="s">
        <v>1822</v>
      </c>
      <c r="K2961" t="s">
        <v>2831</v>
      </c>
    </row>
    <row r="2962" spans="1:11" hidden="1">
      <c r="A2962" s="28">
        <v>46318</v>
      </c>
      <c r="B2962" t="s">
        <v>186</v>
      </c>
      <c r="C2962" t="s">
        <v>203</v>
      </c>
      <c r="D2962" t="s">
        <v>217</v>
      </c>
      <c r="E2962">
        <f>IF(LEFT(D2962,6)="CLIENT",IFERROR(VLOOKUP(C2962,Config_Carteiras!$A:$B,2,FALSE),1),"")</f>
        <v>1</v>
      </c>
      <c r="F2962" s="25">
        <v>721</v>
      </c>
      <c r="G2962" s="28">
        <f>IF(LEFT(D2962,6)="CLIENT",IF(E2962=0,WORKDAY(A2962-1,1,Dias_Sem_Compensacao!$A$2:$A$500),WORKDAY(A2962,E2962,Dias_Sem_Compensacao!$A$2:$A$500)),"")</f>
        <v>46321</v>
      </c>
      <c r="H2962" s="25">
        <v>0</v>
      </c>
      <c r="I2962" s="28">
        <v>46318</v>
      </c>
      <c r="J2962" t="s">
        <v>3237</v>
      </c>
      <c r="K2962" t="s">
        <v>3238</v>
      </c>
    </row>
    <row r="2963" spans="1:11" hidden="1">
      <c r="A2963" s="28">
        <v>46318</v>
      </c>
      <c r="B2963" t="s">
        <v>186</v>
      </c>
      <c r="C2963" t="s">
        <v>203</v>
      </c>
      <c r="D2963" t="s">
        <v>217</v>
      </c>
      <c r="E2963">
        <f>IF(LEFT(D2963,6)="CLIENT",IFERROR(VLOOKUP(C2963,Config_Carteiras!$A:$B,2,FALSE),1),"")</f>
        <v>1</v>
      </c>
      <c r="F2963" s="25">
        <v>2667</v>
      </c>
      <c r="G2963" s="28">
        <f>IF(LEFT(D2963,6)="CLIENT",IF(E2963=0,WORKDAY(A2963-1,1,Dias_Sem_Compensacao!$A$2:$A$500),WORKDAY(A2963,E2963,Dias_Sem_Compensacao!$A$2:$A$500)),"")</f>
        <v>46321</v>
      </c>
      <c r="H2963" s="25">
        <v>0</v>
      </c>
      <c r="I2963" s="28">
        <v>46318</v>
      </c>
      <c r="J2963" t="s">
        <v>3239</v>
      </c>
      <c r="K2963" t="s">
        <v>3240</v>
      </c>
    </row>
    <row r="2964" spans="1:11" hidden="1">
      <c r="A2964" s="28">
        <v>46318</v>
      </c>
      <c r="B2964" t="s">
        <v>186</v>
      </c>
      <c r="C2964" t="s">
        <v>203</v>
      </c>
      <c r="D2964" t="s">
        <v>217</v>
      </c>
      <c r="E2964">
        <f>IF(LEFT(D2964,6)="CLIENT",IFERROR(VLOOKUP(C2964,Config_Carteiras!$A:$B,2,FALSE),1),"")</f>
        <v>1</v>
      </c>
      <c r="F2964" s="25">
        <v>5591.64</v>
      </c>
      <c r="G2964" s="28">
        <f>IF(LEFT(D2964,6)="CLIENT",IF(E2964=0,WORKDAY(A2964-1,1,Dias_Sem_Compensacao!$A$2:$A$500),WORKDAY(A2964,E2964,Dias_Sem_Compensacao!$A$2:$A$500)),"")</f>
        <v>46321</v>
      </c>
      <c r="H2964" s="25">
        <v>0</v>
      </c>
      <c r="I2964" s="28">
        <v>46318</v>
      </c>
      <c r="J2964" t="s">
        <v>1701</v>
      </c>
      <c r="K2964" t="s">
        <v>1702</v>
      </c>
    </row>
    <row r="2965" spans="1:11" hidden="1">
      <c r="A2965" s="28">
        <v>46318</v>
      </c>
      <c r="B2965" t="s">
        <v>186</v>
      </c>
      <c r="C2965" t="s">
        <v>203</v>
      </c>
      <c r="D2965" t="s">
        <v>217</v>
      </c>
      <c r="E2965">
        <f>IF(LEFT(D2965,6)="CLIENT",IFERROR(VLOOKUP(C2965,Config_Carteiras!$A:$B,2,FALSE),1),"")</f>
        <v>1</v>
      </c>
      <c r="F2965" s="25">
        <v>338</v>
      </c>
      <c r="G2965" s="28">
        <f>IF(LEFT(D2965,6)="CLIENT",IF(E2965=0,WORKDAY(A2965-1,1,Dias_Sem_Compensacao!$A$2:$A$500),WORKDAY(A2965,E2965,Dias_Sem_Compensacao!$A$2:$A$500)),"")</f>
        <v>46321</v>
      </c>
      <c r="H2965" s="25">
        <v>0</v>
      </c>
      <c r="I2965" s="28">
        <v>46318</v>
      </c>
      <c r="J2965" t="s">
        <v>2274</v>
      </c>
      <c r="K2965" t="s">
        <v>2275</v>
      </c>
    </row>
    <row r="2966" spans="1:11" hidden="1">
      <c r="A2966" s="28">
        <v>46318</v>
      </c>
      <c r="B2966" t="s">
        <v>186</v>
      </c>
      <c r="C2966" t="s">
        <v>203</v>
      </c>
      <c r="D2966" t="s">
        <v>217</v>
      </c>
      <c r="E2966">
        <f>IF(LEFT(D2966,6)="CLIENT",IFERROR(VLOOKUP(C2966,Config_Carteiras!$A:$B,2,FALSE),1),"")</f>
        <v>1</v>
      </c>
      <c r="F2966" s="25">
        <v>643</v>
      </c>
      <c r="G2966" s="28">
        <f>IF(LEFT(D2966,6)="CLIENT",IF(E2966=0,WORKDAY(A2966-1,1,Dias_Sem_Compensacao!$A$2:$A$500),WORKDAY(A2966,E2966,Dias_Sem_Compensacao!$A$2:$A$500)),"")</f>
        <v>46321</v>
      </c>
      <c r="H2966" s="25">
        <v>0</v>
      </c>
      <c r="I2966" s="28">
        <v>46318</v>
      </c>
      <c r="J2966" t="s">
        <v>1184</v>
      </c>
      <c r="K2966" t="s">
        <v>2276</v>
      </c>
    </row>
    <row r="2967" spans="1:11" hidden="1">
      <c r="A2967" s="28">
        <v>46318</v>
      </c>
      <c r="B2967" t="s">
        <v>186</v>
      </c>
      <c r="C2967" t="s">
        <v>203</v>
      </c>
      <c r="D2967" t="s">
        <v>217</v>
      </c>
      <c r="E2967">
        <f>IF(LEFT(D2967,6)="CLIENT",IFERROR(VLOOKUP(C2967,Config_Carteiras!$A:$B,2,FALSE),1),"")</f>
        <v>1</v>
      </c>
      <c r="F2967" s="25">
        <v>1628.82</v>
      </c>
      <c r="G2967" s="28">
        <f>IF(LEFT(D2967,6)="CLIENT",IF(E2967=0,WORKDAY(A2967-1,1,Dias_Sem_Compensacao!$A$2:$A$500),WORKDAY(A2967,E2967,Dias_Sem_Compensacao!$A$2:$A$500)),"")</f>
        <v>46321</v>
      </c>
      <c r="H2967" s="25">
        <v>0</v>
      </c>
      <c r="I2967" s="28">
        <v>46318</v>
      </c>
      <c r="J2967" t="s">
        <v>1709</v>
      </c>
      <c r="K2967" t="s">
        <v>2277</v>
      </c>
    </row>
    <row r="2968" spans="1:11" hidden="1">
      <c r="A2968" s="28">
        <v>46318</v>
      </c>
      <c r="B2968" t="s">
        <v>186</v>
      </c>
      <c r="C2968" t="s">
        <v>203</v>
      </c>
      <c r="D2968" t="s">
        <v>217</v>
      </c>
      <c r="E2968">
        <f>IF(LEFT(D2968,6)="CLIENT",IFERROR(VLOOKUP(C2968,Config_Carteiras!$A:$B,2,FALSE),1),"")</f>
        <v>1</v>
      </c>
      <c r="F2968" s="25">
        <v>1025</v>
      </c>
      <c r="G2968" s="28">
        <f>IF(LEFT(D2968,6)="CLIENT",IF(E2968=0,WORKDAY(A2968-1,1,Dias_Sem_Compensacao!$A$2:$A$500),WORKDAY(A2968,E2968,Dias_Sem_Compensacao!$A$2:$A$500)),"")</f>
        <v>46321</v>
      </c>
      <c r="H2968" s="25">
        <v>0</v>
      </c>
      <c r="I2968" s="28">
        <v>46318</v>
      </c>
      <c r="J2968" t="s">
        <v>3241</v>
      </c>
      <c r="K2968" t="s">
        <v>3242</v>
      </c>
    </row>
    <row r="2969" spans="1:11" hidden="1">
      <c r="A2969" s="28">
        <v>46318</v>
      </c>
      <c r="B2969" t="s">
        <v>186</v>
      </c>
      <c r="C2969" t="s">
        <v>203</v>
      </c>
      <c r="D2969" t="s">
        <v>217</v>
      </c>
      <c r="E2969">
        <f>IF(LEFT(D2969,6)="CLIENT",IFERROR(VLOOKUP(C2969,Config_Carteiras!$A:$B,2,FALSE),1),"")</f>
        <v>1</v>
      </c>
      <c r="F2969" s="25">
        <v>1052</v>
      </c>
      <c r="G2969" s="28">
        <f>IF(LEFT(D2969,6)="CLIENT",IF(E2969=0,WORKDAY(A2969-1,1,Dias_Sem_Compensacao!$A$2:$A$500),WORKDAY(A2969,E2969,Dias_Sem_Compensacao!$A$2:$A$500)),"")</f>
        <v>46321</v>
      </c>
      <c r="H2969" s="25">
        <v>0</v>
      </c>
      <c r="I2969" s="28">
        <v>46318</v>
      </c>
      <c r="J2969" t="s">
        <v>3243</v>
      </c>
      <c r="K2969" t="s">
        <v>3244</v>
      </c>
    </row>
    <row r="2970" spans="1:11" hidden="1">
      <c r="A2970" s="28">
        <v>46318</v>
      </c>
      <c r="B2970" t="s">
        <v>186</v>
      </c>
      <c r="C2970" t="s">
        <v>203</v>
      </c>
      <c r="D2970" t="s">
        <v>217</v>
      </c>
      <c r="E2970">
        <f>IF(LEFT(D2970,6)="CLIENT",IFERROR(VLOOKUP(C2970,Config_Carteiras!$A:$B,2,FALSE),1),"")</f>
        <v>1</v>
      </c>
      <c r="F2970" s="25">
        <v>6412</v>
      </c>
      <c r="G2970" s="28">
        <f>IF(LEFT(D2970,6)="CLIENT",IF(E2970=0,WORKDAY(A2970-1,1,Dias_Sem_Compensacao!$A$2:$A$500),WORKDAY(A2970,E2970,Dias_Sem_Compensacao!$A$2:$A$500)),"")</f>
        <v>46321</v>
      </c>
      <c r="H2970" s="25">
        <v>0</v>
      </c>
      <c r="I2970" s="28">
        <v>46318</v>
      </c>
      <c r="J2970" t="s">
        <v>3245</v>
      </c>
      <c r="K2970" t="s">
        <v>3246</v>
      </c>
    </row>
    <row r="2971" spans="1:11" hidden="1">
      <c r="A2971" s="28">
        <v>46318</v>
      </c>
      <c r="B2971" t="s">
        <v>186</v>
      </c>
      <c r="C2971" t="s">
        <v>203</v>
      </c>
      <c r="D2971" t="s">
        <v>217</v>
      </c>
      <c r="E2971">
        <f>IF(LEFT(D2971,6)="CLIENT",IFERROR(VLOOKUP(C2971,Config_Carteiras!$A:$B,2,FALSE),1),"")</f>
        <v>1</v>
      </c>
      <c r="F2971" s="25">
        <v>1119</v>
      </c>
      <c r="G2971" s="28">
        <f>IF(LEFT(D2971,6)="CLIENT",IF(E2971=0,WORKDAY(A2971-1,1,Dias_Sem_Compensacao!$A$2:$A$500),WORKDAY(A2971,E2971,Dias_Sem_Compensacao!$A$2:$A$500)),"")</f>
        <v>46321</v>
      </c>
      <c r="H2971" s="25">
        <v>0</v>
      </c>
      <c r="I2971" s="28">
        <v>46318</v>
      </c>
      <c r="J2971" t="s">
        <v>3247</v>
      </c>
      <c r="K2971" t="s">
        <v>3248</v>
      </c>
    </row>
    <row r="2972" spans="1:11" hidden="1">
      <c r="A2972" s="28">
        <v>46318</v>
      </c>
      <c r="B2972" t="s">
        <v>186</v>
      </c>
      <c r="C2972" t="s">
        <v>203</v>
      </c>
      <c r="D2972" t="s">
        <v>217</v>
      </c>
      <c r="E2972">
        <f>IF(LEFT(D2972,6)="CLIENT",IFERROR(VLOOKUP(C2972,Config_Carteiras!$A:$B,2,FALSE),1),"")</f>
        <v>1</v>
      </c>
      <c r="F2972" s="25">
        <v>1104</v>
      </c>
      <c r="G2972" s="28">
        <f>IF(LEFT(D2972,6)="CLIENT",IF(E2972=0,WORKDAY(A2972-1,1,Dias_Sem_Compensacao!$A$2:$A$500),WORKDAY(A2972,E2972,Dias_Sem_Compensacao!$A$2:$A$500)),"")</f>
        <v>46321</v>
      </c>
      <c r="H2972" s="25">
        <v>0</v>
      </c>
      <c r="I2972" s="28">
        <v>46318</v>
      </c>
      <c r="J2972" t="s">
        <v>2832</v>
      </c>
      <c r="K2972" t="s">
        <v>2833</v>
      </c>
    </row>
    <row r="2973" spans="1:11" hidden="1">
      <c r="A2973" s="28">
        <v>46318</v>
      </c>
      <c r="B2973" t="s">
        <v>186</v>
      </c>
      <c r="C2973" t="s">
        <v>203</v>
      </c>
      <c r="D2973" t="s">
        <v>217</v>
      </c>
      <c r="E2973">
        <f>IF(LEFT(D2973,6)="CLIENT",IFERROR(VLOOKUP(C2973,Config_Carteiras!$A:$B,2,FALSE),1),"")</f>
        <v>1</v>
      </c>
      <c r="F2973" s="25">
        <v>1257</v>
      </c>
      <c r="G2973" s="28">
        <f>IF(LEFT(D2973,6)="CLIENT",IF(E2973=0,WORKDAY(A2973-1,1,Dias_Sem_Compensacao!$A$2:$A$500),WORKDAY(A2973,E2973,Dias_Sem_Compensacao!$A$2:$A$500)),"")</f>
        <v>46321</v>
      </c>
      <c r="H2973" s="25">
        <v>0</v>
      </c>
      <c r="I2973" s="28">
        <v>46318</v>
      </c>
      <c r="J2973" t="s">
        <v>2834</v>
      </c>
      <c r="K2973" t="s">
        <v>2835</v>
      </c>
    </row>
    <row r="2974" spans="1:11" hidden="1">
      <c r="A2974" s="28">
        <v>46318</v>
      </c>
      <c r="B2974" t="s">
        <v>186</v>
      </c>
      <c r="C2974" t="s">
        <v>203</v>
      </c>
      <c r="D2974" t="s">
        <v>217</v>
      </c>
      <c r="E2974">
        <f>IF(LEFT(D2974,6)="CLIENT",IFERROR(VLOOKUP(C2974,Config_Carteiras!$A:$B,2,FALSE),1),"")</f>
        <v>1</v>
      </c>
      <c r="F2974" s="25">
        <v>1078</v>
      </c>
      <c r="G2974" s="28">
        <f>IF(LEFT(D2974,6)="CLIENT",IF(E2974=0,WORKDAY(A2974-1,1,Dias_Sem_Compensacao!$A$2:$A$500),WORKDAY(A2974,E2974,Dias_Sem_Compensacao!$A$2:$A$500)),"")</f>
        <v>46321</v>
      </c>
      <c r="H2974" s="25">
        <v>0</v>
      </c>
      <c r="I2974" s="28">
        <v>46318</v>
      </c>
      <c r="J2974" t="s">
        <v>2837</v>
      </c>
      <c r="K2974" t="s">
        <v>2838</v>
      </c>
    </row>
    <row r="2975" spans="1:11" hidden="1">
      <c r="A2975" s="28">
        <v>46318</v>
      </c>
      <c r="B2975" t="s">
        <v>186</v>
      </c>
      <c r="C2975" t="s">
        <v>203</v>
      </c>
      <c r="D2975" t="s">
        <v>217</v>
      </c>
      <c r="E2975">
        <f>IF(LEFT(D2975,6)="CLIENT",IFERROR(VLOOKUP(C2975,Config_Carteiras!$A:$B,2,FALSE),1),"")</f>
        <v>1</v>
      </c>
      <c r="F2975" s="25">
        <v>6558</v>
      </c>
      <c r="G2975" s="28">
        <f>IF(LEFT(D2975,6)="CLIENT",IF(E2975=0,WORKDAY(A2975-1,1,Dias_Sem_Compensacao!$A$2:$A$500),WORKDAY(A2975,E2975,Dias_Sem_Compensacao!$A$2:$A$500)),"")</f>
        <v>46321</v>
      </c>
      <c r="H2975" s="25">
        <v>0</v>
      </c>
      <c r="I2975" s="28">
        <v>46318</v>
      </c>
      <c r="J2975" t="s">
        <v>2721</v>
      </c>
      <c r="K2975" t="s">
        <v>3249</v>
      </c>
    </row>
    <row r="2976" spans="1:11" hidden="1">
      <c r="A2976" s="28">
        <v>46318</v>
      </c>
      <c r="B2976" t="s">
        <v>186</v>
      </c>
      <c r="C2976" t="s">
        <v>203</v>
      </c>
      <c r="D2976" t="s">
        <v>217</v>
      </c>
      <c r="E2976">
        <f>IF(LEFT(D2976,6)="CLIENT",IFERROR(VLOOKUP(C2976,Config_Carteiras!$A:$B,2,FALSE),1),"")</f>
        <v>1</v>
      </c>
      <c r="F2976" s="25">
        <v>4179</v>
      </c>
      <c r="G2976" s="28">
        <f>IF(LEFT(D2976,6)="CLIENT",IF(E2976=0,WORKDAY(A2976-1,1,Dias_Sem_Compensacao!$A$2:$A$500),WORKDAY(A2976,E2976,Dias_Sem_Compensacao!$A$2:$A$500)),"")</f>
        <v>46321</v>
      </c>
      <c r="H2976" s="25">
        <v>0</v>
      </c>
      <c r="I2976" s="28">
        <v>46318</v>
      </c>
      <c r="J2976" t="s">
        <v>2839</v>
      </c>
      <c r="K2976" t="s">
        <v>2840</v>
      </c>
    </row>
    <row r="2977" spans="1:11" hidden="1">
      <c r="A2977" s="28">
        <v>46318</v>
      </c>
      <c r="B2977" t="s">
        <v>186</v>
      </c>
      <c r="C2977" t="s">
        <v>203</v>
      </c>
      <c r="D2977" t="s">
        <v>217</v>
      </c>
      <c r="E2977">
        <f>IF(LEFT(D2977,6)="CLIENT",IFERROR(VLOOKUP(C2977,Config_Carteiras!$A:$B,2,FALSE),1),"")</f>
        <v>1</v>
      </c>
      <c r="F2977" s="25">
        <v>1141.8699999999999</v>
      </c>
      <c r="G2977" s="28">
        <f>IF(LEFT(D2977,6)="CLIENT",IF(E2977=0,WORKDAY(A2977-1,1,Dias_Sem_Compensacao!$A$2:$A$500),WORKDAY(A2977,E2977,Dias_Sem_Compensacao!$A$2:$A$500)),"")</f>
        <v>46321</v>
      </c>
      <c r="H2977" s="25">
        <v>0</v>
      </c>
      <c r="I2977" s="28">
        <v>46318</v>
      </c>
      <c r="J2977" t="s">
        <v>3250</v>
      </c>
      <c r="K2977" t="s">
        <v>3251</v>
      </c>
    </row>
    <row r="2978" spans="1:11" hidden="1">
      <c r="A2978" s="28">
        <v>46318</v>
      </c>
      <c r="B2978" t="s">
        <v>186</v>
      </c>
      <c r="C2978" t="s">
        <v>203</v>
      </c>
      <c r="D2978" t="s">
        <v>217</v>
      </c>
      <c r="E2978">
        <f>IF(LEFT(D2978,6)="CLIENT",IFERROR(VLOOKUP(C2978,Config_Carteiras!$A:$B,2,FALSE),1),"")</f>
        <v>1</v>
      </c>
      <c r="F2978" s="25">
        <v>1029</v>
      </c>
      <c r="G2978" s="28">
        <f>IF(LEFT(D2978,6)="CLIENT",IF(E2978=0,WORKDAY(A2978-1,1,Dias_Sem_Compensacao!$A$2:$A$500),WORKDAY(A2978,E2978,Dias_Sem_Compensacao!$A$2:$A$500)),"")</f>
        <v>46321</v>
      </c>
      <c r="H2978" s="25">
        <v>0</v>
      </c>
      <c r="I2978" s="28">
        <v>46318</v>
      </c>
      <c r="J2978" t="s">
        <v>3252</v>
      </c>
      <c r="K2978" t="s">
        <v>3253</v>
      </c>
    </row>
    <row r="2979" spans="1:11" hidden="1">
      <c r="A2979" s="28">
        <v>46318</v>
      </c>
      <c r="B2979" t="s">
        <v>186</v>
      </c>
      <c r="C2979" t="s">
        <v>203</v>
      </c>
      <c r="D2979" t="s">
        <v>217</v>
      </c>
      <c r="E2979">
        <f>IF(LEFT(D2979,6)="CLIENT",IFERROR(VLOOKUP(C2979,Config_Carteiras!$A:$B,2,FALSE),1),"")</f>
        <v>1</v>
      </c>
      <c r="F2979" s="25">
        <v>2821.75</v>
      </c>
      <c r="G2979" s="28">
        <f>IF(LEFT(D2979,6)="CLIENT",IF(E2979=0,WORKDAY(A2979-1,1,Dias_Sem_Compensacao!$A$2:$A$500),WORKDAY(A2979,E2979,Dias_Sem_Compensacao!$A$2:$A$500)),"")</f>
        <v>46321</v>
      </c>
      <c r="H2979" s="25">
        <v>0</v>
      </c>
      <c r="I2979" s="28">
        <v>46318</v>
      </c>
      <c r="J2979" t="s">
        <v>2282</v>
      </c>
      <c r="K2979" t="s">
        <v>2283</v>
      </c>
    </row>
    <row r="2980" spans="1:11" hidden="1">
      <c r="A2980" s="28">
        <v>46318</v>
      </c>
      <c r="B2980" t="s">
        <v>186</v>
      </c>
      <c r="C2980" t="s">
        <v>203</v>
      </c>
      <c r="D2980" t="s">
        <v>217</v>
      </c>
      <c r="E2980">
        <f>IF(LEFT(D2980,6)="CLIENT",IFERROR(VLOOKUP(C2980,Config_Carteiras!$A:$B,2,FALSE),1),"")</f>
        <v>1</v>
      </c>
      <c r="F2980" s="25">
        <v>879</v>
      </c>
      <c r="G2980" s="28">
        <f>IF(LEFT(D2980,6)="CLIENT",IF(E2980=0,WORKDAY(A2980-1,1,Dias_Sem_Compensacao!$A$2:$A$500),WORKDAY(A2980,E2980,Dias_Sem_Compensacao!$A$2:$A$500)),"")</f>
        <v>46321</v>
      </c>
      <c r="H2980" s="25">
        <v>0</v>
      </c>
      <c r="I2980" s="28">
        <v>46318</v>
      </c>
      <c r="J2980" t="s">
        <v>3254</v>
      </c>
      <c r="K2980" t="s">
        <v>3255</v>
      </c>
    </row>
    <row r="2981" spans="1:11" hidden="1">
      <c r="A2981" s="28">
        <v>46318</v>
      </c>
      <c r="B2981" t="s">
        <v>186</v>
      </c>
      <c r="C2981" t="s">
        <v>203</v>
      </c>
      <c r="D2981" t="s">
        <v>217</v>
      </c>
      <c r="E2981">
        <f>IF(LEFT(D2981,6)="CLIENT",IFERROR(VLOOKUP(C2981,Config_Carteiras!$A:$B,2,FALSE),1),"")</f>
        <v>1</v>
      </c>
      <c r="F2981" s="25">
        <v>27868.74</v>
      </c>
      <c r="G2981" s="28">
        <f>IF(LEFT(D2981,6)="CLIENT",IF(E2981=0,WORKDAY(A2981-1,1,Dias_Sem_Compensacao!$A$2:$A$500),WORKDAY(A2981,E2981,Dias_Sem_Compensacao!$A$2:$A$500)),"")</f>
        <v>46321</v>
      </c>
      <c r="H2981" s="25">
        <v>0</v>
      </c>
      <c r="I2981" s="28">
        <v>46318</v>
      </c>
      <c r="J2981" t="s">
        <v>3256</v>
      </c>
      <c r="K2981" t="s">
        <v>3257</v>
      </c>
    </row>
    <row r="2982" spans="1:11" hidden="1">
      <c r="A2982" s="28">
        <v>46318</v>
      </c>
      <c r="B2982" t="s">
        <v>186</v>
      </c>
      <c r="C2982" t="s">
        <v>203</v>
      </c>
      <c r="D2982" t="s">
        <v>217</v>
      </c>
      <c r="E2982">
        <f>IF(LEFT(D2982,6)="CLIENT",IFERROR(VLOOKUP(C2982,Config_Carteiras!$A:$B,2,FALSE),1),"")</f>
        <v>1</v>
      </c>
      <c r="F2982" s="25">
        <v>780.1</v>
      </c>
      <c r="G2982" s="28">
        <f>IF(LEFT(D2982,6)="CLIENT",IF(E2982=0,WORKDAY(A2982-1,1,Dias_Sem_Compensacao!$A$2:$A$500),WORKDAY(A2982,E2982,Dias_Sem_Compensacao!$A$2:$A$500)),"")</f>
        <v>46321</v>
      </c>
      <c r="H2982" s="25">
        <v>0</v>
      </c>
      <c r="I2982" s="28">
        <v>46318</v>
      </c>
      <c r="J2982" t="s">
        <v>1365</v>
      </c>
      <c r="K2982" t="s">
        <v>3258</v>
      </c>
    </row>
    <row r="2983" spans="1:11" hidden="1">
      <c r="A2983" s="28">
        <v>46318</v>
      </c>
      <c r="B2983" t="s">
        <v>186</v>
      </c>
      <c r="C2983" t="s">
        <v>203</v>
      </c>
      <c r="D2983" t="s">
        <v>217</v>
      </c>
      <c r="E2983">
        <f>IF(LEFT(D2983,6)="CLIENT",IFERROR(VLOOKUP(C2983,Config_Carteiras!$A:$B,2,FALSE),1),"")</f>
        <v>1</v>
      </c>
      <c r="F2983" s="25">
        <v>1347</v>
      </c>
      <c r="G2983" s="28">
        <f>IF(LEFT(D2983,6)="CLIENT",IF(E2983=0,WORKDAY(A2983-1,1,Dias_Sem_Compensacao!$A$2:$A$500),WORKDAY(A2983,E2983,Dias_Sem_Compensacao!$A$2:$A$500)),"")</f>
        <v>46321</v>
      </c>
      <c r="H2983" s="25">
        <v>0</v>
      </c>
      <c r="I2983" s="28">
        <v>46318</v>
      </c>
      <c r="J2983" t="s">
        <v>2286</v>
      </c>
      <c r="K2983" t="s">
        <v>2287</v>
      </c>
    </row>
    <row r="2984" spans="1:11" hidden="1">
      <c r="A2984" s="28">
        <v>46318</v>
      </c>
      <c r="B2984" t="s">
        <v>186</v>
      </c>
      <c r="C2984" t="s">
        <v>203</v>
      </c>
      <c r="D2984" t="s">
        <v>217</v>
      </c>
      <c r="E2984">
        <f>IF(LEFT(D2984,6)="CLIENT",IFERROR(VLOOKUP(C2984,Config_Carteiras!$A:$B,2,FALSE),1),"")</f>
        <v>1</v>
      </c>
      <c r="F2984" s="25">
        <v>449.74</v>
      </c>
      <c r="G2984" s="28">
        <f>IF(LEFT(D2984,6)="CLIENT",IF(E2984=0,WORKDAY(A2984-1,1,Dias_Sem_Compensacao!$A$2:$A$500),WORKDAY(A2984,E2984,Dias_Sem_Compensacao!$A$2:$A$500)),"")</f>
        <v>46321</v>
      </c>
      <c r="H2984" s="25">
        <v>0</v>
      </c>
      <c r="I2984" s="28">
        <v>46318</v>
      </c>
      <c r="J2984" t="s">
        <v>2290</v>
      </c>
      <c r="K2984" t="s">
        <v>2291</v>
      </c>
    </row>
    <row r="2985" spans="1:11" hidden="1">
      <c r="A2985" s="28">
        <v>46318</v>
      </c>
      <c r="B2985" t="s">
        <v>186</v>
      </c>
      <c r="C2985" t="s">
        <v>203</v>
      </c>
      <c r="D2985" t="s">
        <v>217</v>
      </c>
      <c r="E2985">
        <f>IF(LEFT(D2985,6)="CLIENT",IFERROR(VLOOKUP(C2985,Config_Carteiras!$A:$B,2,FALSE),1),"")</f>
        <v>1</v>
      </c>
      <c r="F2985" s="25">
        <v>346</v>
      </c>
      <c r="G2985" s="28">
        <f>IF(LEFT(D2985,6)="CLIENT",IF(E2985=0,WORKDAY(A2985-1,1,Dias_Sem_Compensacao!$A$2:$A$500),WORKDAY(A2985,E2985,Dias_Sem_Compensacao!$A$2:$A$500)),"")</f>
        <v>46321</v>
      </c>
      <c r="H2985" s="25">
        <v>0</v>
      </c>
      <c r="I2985" s="28">
        <v>46318</v>
      </c>
      <c r="J2985" t="s">
        <v>2845</v>
      </c>
      <c r="K2985" t="s">
        <v>2846</v>
      </c>
    </row>
    <row r="2986" spans="1:11" hidden="1">
      <c r="A2986" s="28">
        <v>46318</v>
      </c>
      <c r="B2986" t="s">
        <v>186</v>
      </c>
      <c r="C2986" t="s">
        <v>203</v>
      </c>
      <c r="D2986" t="s">
        <v>217</v>
      </c>
      <c r="E2986">
        <f>IF(LEFT(D2986,6)="CLIENT",IFERROR(VLOOKUP(C2986,Config_Carteiras!$A:$B,2,FALSE),1),"")</f>
        <v>1</v>
      </c>
      <c r="F2986" s="25">
        <v>1804</v>
      </c>
      <c r="G2986" s="28">
        <f>IF(LEFT(D2986,6)="CLIENT",IF(E2986=0,WORKDAY(A2986-1,1,Dias_Sem_Compensacao!$A$2:$A$500),WORKDAY(A2986,E2986,Dias_Sem_Compensacao!$A$2:$A$500)),"")</f>
        <v>46321</v>
      </c>
      <c r="H2986" s="25">
        <v>0</v>
      </c>
      <c r="I2986" s="28">
        <v>46318</v>
      </c>
      <c r="J2986" t="s">
        <v>3259</v>
      </c>
      <c r="K2986" t="s">
        <v>3260</v>
      </c>
    </row>
    <row r="2987" spans="1:11" hidden="1">
      <c r="A2987" s="28">
        <v>46318</v>
      </c>
      <c r="B2987" t="s">
        <v>186</v>
      </c>
      <c r="C2987" t="s">
        <v>203</v>
      </c>
      <c r="D2987" t="s">
        <v>217</v>
      </c>
      <c r="E2987">
        <f>IF(LEFT(D2987,6)="CLIENT",IFERROR(VLOOKUP(C2987,Config_Carteiras!$A:$B,2,FALSE),1),"")</f>
        <v>1</v>
      </c>
      <c r="F2987" s="25">
        <v>54604.800000000003</v>
      </c>
      <c r="G2987" s="28">
        <f>IF(LEFT(D2987,6)="CLIENT",IF(E2987=0,WORKDAY(A2987-1,1,Dias_Sem_Compensacao!$A$2:$A$500),WORKDAY(A2987,E2987,Dias_Sem_Compensacao!$A$2:$A$500)),"")</f>
        <v>46321</v>
      </c>
      <c r="H2987" s="25">
        <v>0</v>
      </c>
      <c r="I2987" s="28">
        <v>46318</v>
      </c>
      <c r="J2987" t="s">
        <v>134</v>
      </c>
      <c r="K2987" t="s">
        <v>3261</v>
      </c>
    </row>
    <row r="2988" spans="1:11" hidden="1">
      <c r="A2988" s="28">
        <v>46318</v>
      </c>
      <c r="B2988" t="s">
        <v>186</v>
      </c>
      <c r="C2988" t="s">
        <v>203</v>
      </c>
      <c r="D2988" t="s">
        <v>217</v>
      </c>
      <c r="E2988">
        <f>IF(LEFT(D2988,6)="CLIENT",IFERROR(VLOOKUP(C2988,Config_Carteiras!$A:$B,2,FALSE),1),"")</f>
        <v>1</v>
      </c>
      <c r="F2988" s="25">
        <v>1309.17</v>
      </c>
      <c r="G2988" s="28">
        <f>IF(LEFT(D2988,6)="CLIENT",IF(E2988=0,WORKDAY(A2988-1,1,Dias_Sem_Compensacao!$A$2:$A$500),WORKDAY(A2988,E2988,Dias_Sem_Compensacao!$A$2:$A$500)),"")</f>
        <v>46321</v>
      </c>
      <c r="H2988" s="25">
        <v>0</v>
      </c>
      <c r="I2988" s="28">
        <v>46318</v>
      </c>
      <c r="J2988" t="s">
        <v>2293</v>
      </c>
      <c r="K2988" t="s">
        <v>2294</v>
      </c>
    </row>
    <row r="2989" spans="1:11" hidden="1">
      <c r="A2989" s="28">
        <v>46318</v>
      </c>
      <c r="B2989" t="s">
        <v>186</v>
      </c>
      <c r="C2989" t="s">
        <v>203</v>
      </c>
      <c r="D2989" t="s">
        <v>217</v>
      </c>
      <c r="E2989">
        <f>IF(LEFT(D2989,6)="CLIENT",IFERROR(VLOOKUP(C2989,Config_Carteiras!$A:$B,2,FALSE),1),"")</f>
        <v>1</v>
      </c>
      <c r="F2989" s="25">
        <v>3905</v>
      </c>
      <c r="G2989" s="28">
        <f>IF(LEFT(D2989,6)="CLIENT",IF(E2989=0,WORKDAY(A2989-1,1,Dias_Sem_Compensacao!$A$2:$A$500),WORKDAY(A2989,E2989,Dias_Sem_Compensacao!$A$2:$A$500)),"")</f>
        <v>46321</v>
      </c>
      <c r="H2989" s="25">
        <v>0</v>
      </c>
      <c r="I2989" s="28">
        <v>46318</v>
      </c>
      <c r="J2989" t="s">
        <v>2295</v>
      </c>
      <c r="K2989" t="s">
        <v>2296</v>
      </c>
    </row>
    <row r="2990" spans="1:11" hidden="1">
      <c r="A2990" s="28">
        <v>46318</v>
      </c>
      <c r="B2990" t="s">
        <v>186</v>
      </c>
      <c r="C2990" t="s">
        <v>203</v>
      </c>
      <c r="D2990" t="s">
        <v>217</v>
      </c>
      <c r="E2990">
        <f>IF(LEFT(D2990,6)="CLIENT",IFERROR(VLOOKUP(C2990,Config_Carteiras!$A:$B,2,FALSE),1),"")</f>
        <v>1</v>
      </c>
      <c r="F2990" s="25">
        <v>650</v>
      </c>
      <c r="G2990" s="28">
        <f>IF(LEFT(D2990,6)="CLIENT",IF(E2990=0,WORKDAY(A2990-1,1,Dias_Sem_Compensacao!$A$2:$A$500),WORKDAY(A2990,E2990,Dias_Sem_Compensacao!$A$2:$A$500)),"")</f>
        <v>46321</v>
      </c>
      <c r="H2990" s="25">
        <v>0</v>
      </c>
      <c r="I2990" s="28">
        <v>46318</v>
      </c>
      <c r="J2990" t="s">
        <v>3262</v>
      </c>
      <c r="K2990" t="s">
        <v>3263</v>
      </c>
    </row>
    <row r="2991" spans="1:11" hidden="1">
      <c r="A2991" s="28">
        <v>46318</v>
      </c>
      <c r="B2991" t="s">
        <v>186</v>
      </c>
      <c r="C2991" t="s">
        <v>203</v>
      </c>
      <c r="D2991" t="s">
        <v>217</v>
      </c>
      <c r="E2991">
        <f>IF(LEFT(D2991,6)="CLIENT",IFERROR(VLOOKUP(C2991,Config_Carteiras!$A:$B,2,FALSE),1),"")</f>
        <v>1</v>
      </c>
      <c r="F2991" s="25">
        <v>1221</v>
      </c>
      <c r="G2991" s="28">
        <f>IF(LEFT(D2991,6)="CLIENT",IF(E2991=0,WORKDAY(A2991-1,1,Dias_Sem_Compensacao!$A$2:$A$500),WORKDAY(A2991,E2991,Dias_Sem_Compensacao!$A$2:$A$500)),"")</f>
        <v>46321</v>
      </c>
      <c r="H2991" s="25">
        <v>0</v>
      </c>
      <c r="I2991" s="28">
        <v>46318</v>
      </c>
      <c r="J2991" t="s">
        <v>2297</v>
      </c>
      <c r="K2991" t="s">
        <v>2298</v>
      </c>
    </row>
    <row r="2992" spans="1:11" hidden="1">
      <c r="A2992" s="28">
        <v>46318</v>
      </c>
      <c r="B2992" t="s">
        <v>186</v>
      </c>
      <c r="C2992" t="s">
        <v>203</v>
      </c>
      <c r="D2992" t="s">
        <v>217</v>
      </c>
      <c r="E2992">
        <f>IF(LEFT(D2992,6)="CLIENT",IFERROR(VLOOKUP(C2992,Config_Carteiras!$A:$B,2,FALSE),1),"")</f>
        <v>1</v>
      </c>
      <c r="F2992" s="25">
        <v>650</v>
      </c>
      <c r="G2992" s="28">
        <f>IF(LEFT(D2992,6)="CLIENT",IF(E2992=0,WORKDAY(A2992-1,1,Dias_Sem_Compensacao!$A$2:$A$500),WORKDAY(A2992,E2992,Dias_Sem_Compensacao!$A$2:$A$500)),"")</f>
        <v>46321</v>
      </c>
      <c r="H2992" s="25">
        <v>0</v>
      </c>
      <c r="I2992" s="28">
        <v>46318</v>
      </c>
      <c r="J2992" t="s">
        <v>3264</v>
      </c>
      <c r="K2992" t="s">
        <v>3265</v>
      </c>
    </row>
    <row r="2993" spans="1:11" hidden="1">
      <c r="A2993" s="28">
        <v>46318</v>
      </c>
      <c r="B2993" t="s">
        <v>186</v>
      </c>
      <c r="C2993" t="s">
        <v>203</v>
      </c>
      <c r="D2993" t="s">
        <v>217</v>
      </c>
      <c r="E2993">
        <f>IF(LEFT(D2993,6)="CLIENT",IFERROR(VLOOKUP(C2993,Config_Carteiras!$A:$B,2,FALSE),1),"")</f>
        <v>1</v>
      </c>
      <c r="F2993" s="25">
        <v>991.13</v>
      </c>
      <c r="G2993" s="28">
        <f>IF(LEFT(D2993,6)="CLIENT",IF(E2993=0,WORKDAY(A2993-1,1,Dias_Sem_Compensacao!$A$2:$A$500),WORKDAY(A2993,E2993,Dias_Sem_Compensacao!$A$2:$A$500)),"")</f>
        <v>46321</v>
      </c>
      <c r="H2993" s="25">
        <v>0</v>
      </c>
      <c r="I2993" s="28">
        <v>46318</v>
      </c>
      <c r="J2993" t="s">
        <v>2481</v>
      </c>
      <c r="K2993" t="s">
        <v>3266</v>
      </c>
    </row>
    <row r="2994" spans="1:11" hidden="1">
      <c r="A2994" s="28">
        <v>46318</v>
      </c>
      <c r="B2994" t="s">
        <v>186</v>
      </c>
      <c r="C2994" t="s">
        <v>203</v>
      </c>
      <c r="D2994" t="s">
        <v>217</v>
      </c>
      <c r="E2994">
        <f>IF(LEFT(D2994,6)="CLIENT",IFERROR(VLOOKUP(C2994,Config_Carteiras!$A:$B,2,FALSE),1),"")</f>
        <v>1</v>
      </c>
      <c r="F2994" s="25">
        <v>598</v>
      </c>
      <c r="G2994" s="28">
        <f>IF(LEFT(D2994,6)="CLIENT",IF(E2994=0,WORKDAY(A2994-1,1,Dias_Sem_Compensacao!$A$2:$A$500),WORKDAY(A2994,E2994,Dias_Sem_Compensacao!$A$2:$A$500)),"")</f>
        <v>46321</v>
      </c>
      <c r="H2994" s="25">
        <v>0</v>
      </c>
      <c r="I2994" s="28">
        <v>46318</v>
      </c>
      <c r="J2994" t="s">
        <v>2299</v>
      </c>
      <c r="K2994" t="s">
        <v>2300</v>
      </c>
    </row>
    <row r="2995" spans="1:11" hidden="1">
      <c r="A2995" s="28">
        <v>46318</v>
      </c>
      <c r="B2995" t="s">
        <v>186</v>
      </c>
      <c r="C2995" t="s">
        <v>203</v>
      </c>
      <c r="D2995" t="s">
        <v>217</v>
      </c>
      <c r="E2995">
        <f>IF(LEFT(D2995,6)="CLIENT",IFERROR(VLOOKUP(C2995,Config_Carteiras!$A:$B,2,FALSE),1),"")</f>
        <v>1</v>
      </c>
      <c r="F2995" s="25">
        <v>2195.25</v>
      </c>
      <c r="G2995" s="28">
        <f>IF(LEFT(D2995,6)="CLIENT",IF(E2995=0,WORKDAY(A2995-1,1,Dias_Sem_Compensacao!$A$2:$A$500),WORKDAY(A2995,E2995,Dias_Sem_Compensacao!$A$2:$A$500)),"")</f>
        <v>46321</v>
      </c>
      <c r="H2995" s="25">
        <v>0</v>
      </c>
      <c r="I2995" s="28">
        <v>46318</v>
      </c>
      <c r="J2995" t="s">
        <v>2301</v>
      </c>
      <c r="K2995" t="s">
        <v>2302</v>
      </c>
    </row>
    <row r="2996" spans="1:11" hidden="1">
      <c r="A2996" s="28">
        <v>46318</v>
      </c>
      <c r="B2996" t="s">
        <v>186</v>
      </c>
      <c r="C2996" t="s">
        <v>203</v>
      </c>
      <c r="D2996" t="s">
        <v>217</v>
      </c>
      <c r="E2996">
        <f>IF(LEFT(D2996,6)="CLIENT",IFERROR(VLOOKUP(C2996,Config_Carteiras!$A:$B,2,FALSE),1),"")</f>
        <v>1</v>
      </c>
      <c r="F2996" s="25">
        <v>1602.96</v>
      </c>
      <c r="G2996" s="28">
        <f>IF(LEFT(D2996,6)="CLIENT",IF(E2996=0,WORKDAY(A2996-1,1,Dias_Sem_Compensacao!$A$2:$A$500),WORKDAY(A2996,E2996,Dias_Sem_Compensacao!$A$2:$A$500)),"")</f>
        <v>46321</v>
      </c>
      <c r="H2996" s="25">
        <v>0</v>
      </c>
      <c r="I2996" s="28">
        <v>46318</v>
      </c>
      <c r="J2996" t="s">
        <v>3267</v>
      </c>
      <c r="K2996" t="s">
        <v>3268</v>
      </c>
    </row>
    <row r="2997" spans="1:11" hidden="1">
      <c r="A2997" s="28">
        <v>46318</v>
      </c>
      <c r="B2997" t="s">
        <v>186</v>
      </c>
      <c r="C2997" t="s">
        <v>203</v>
      </c>
      <c r="D2997" t="s">
        <v>217</v>
      </c>
      <c r="E2997">
        <f>IF(LEFT(D2997,6)="CLIENT",IFERROR(VLOOKUP(C2997,Config_Carteiras!$A:$B,2,FALSE),1),"")</f>
        <v>1</v>
      </c>
      <c r="F2997" s="25">
        <v>1902</v>
      </c>
      <c r="G2997" s="28">
        <f>IF(LEFT(D2997,6)="CLIENT",IF(E2997=0,WORKDAY(A2997-1,1,Dias_Sem_Compensacao!$A$2:$A$500),WORKDAY(A2997,E2997,Dias_Sem_Compensacao!$A$2:$A$500)),"")</f>
        <v>46321</v>
      </c>
      <c r="H2997" s="25">
        <v>0</v>
      </c>
      <c r="I2997" s="28">
        <v>46318</v>
      </c>
      <c r="J2997" t="s">
        <v>3269</v>
      </c>
      <c r="K2997" t="s">
        <v>3270</v>
      </c>
    </row>
    <row r="2998" spans="1:11" hidden="1">
      <c r="A2998" s="28">
        <v>46318</v>
      </c>
      <c r="B2998" t="s">
        <v>186</v>
      </c>
      <c r="C2998" t="s">
        <v>203</v>
      </c>
      <c r="D2998" t="s">
        <v>217</v>
      </c>
      <c r="E2998">
        <f>IF(LEFT(D2998,6)="CLIENT",IFERROR(VLOOKUP(C2998,Config_Carteiras!$A:$B,2,FALSE),1),"")</f>
        <v>1</v>
      </c>
      <c r="F2998" s="25">
        <v>1391.91</v>
      </c>
      <c r="G2998" s="28">
        <f>IF(LEFT(D2998,6)="CLIENT",IF(E2998=0,WORKDAY(A2998-1,1,Dias_Sem_Compensacao!$A$2:$A$500),WORKDAY(A2998,E2998,Dias_Sem_Compensacao!$A$2:$A$500)),"")</f>
        <v>46321</v>
      </c>
      <c r="H2998" s="25">
        <v>0</v>
      </c>
      <c r="I2998" s="28">
        <v>46318</v>
      </c>
      <c r="J2998" t="s">
        <v>1586</v>
      </c>
      <c r="K2998" t="s">
        <v>3271</v>
      </c>
    </row>
    <row r="2999" spans="1:11" hidden="1">
      <c r="A2999" s="28">
        <v>46318</v>
      </c>
      <c r="B2999" t="s">
        <v>186</v>
      </c>
      <c r="C2999" t="s">
        <v>203</v>
      </c>
      <c r="D2999" t="s">
        <v>217</v>
      </c>
      <c r="E2999">
        <f>IF(LEFT(D2999,6)="CLIENT",IFERROR(VLOOKUP(C2999,Config_Carteiras!$A:$B,2,FALSE),1),"")</f>
        <v>1</v>
      </c>
      <c r="F2999" s="25">
        <v>1012</v>
      </c>
      <c r="G2999" s="28">
        <f>IF(LEFT(D2999,6)="CLIENT",IF(E2999=0,WORKDAY(A2999-1,1,Dias_Sem_Compensacao!$A$2:$A$500),WORKDAY(A2999,E2999,Dias_Sem_Compensacao!$A$2:$A$500)),"")</f>
        <v>46321</v>
      </c>
      <c r="H2999" s="25">
        <v>0</v>
      </c>
      <c r="I2999" s="28">
        <v>46318</v>
      </c>
      <c r="J2999" t="s">
        <v>2852</v>
      </c>
      <c r="K2999" t="s">
        <v>2853</v>
      </c>
    </row>
    <row r="3000" spans="1:11" hidden="1">
      <c r="A3000" s="28">
        <v>46318</v>
      </c>
      <c r="B3000" t="s">
        <v>186</v>
      </c>
      <c r="C3000" t="s">
        <v>203</v>
      </c>
      <c r="D3000" t="s">
        <v>217</v>
      </c>
      <c r="E3000">
        <f>IF(LEFT(D3000,6)="CLIENT",IFERROR(VLOOKUP(C3000,Config_Carteiras!$A:$B,2,FALSE),1),"")</f>
        <v>1</v>
      </c>
      <c r="F3000" s="25">
        <v>636</v>
      </c>
      <c r="G3000" s="28">
        <f>IF(LEFT(D3000,6)="CLIENT",IF(E3000=0,WORKDAY(A3000-1,1,Dias_Sem_Compensacao!$A$2:$A$500),WORKDAY(A3000,E3000,Dias_Sem_Compensacao!$A$2:$A$500)),"")</f>
        <v>46321</v>
      </c>
      <c r="H3000" s="25">
        <v>0</v>
      </c>
      <c r="I3000" s="28">
        <v>46318</v>
      </c>
      <c r="J3000" t="s">
        <v>513</v>
      </c>
      <c r="K3000" t="s">
        <v>2854</v>
      </c>
    </row>
    <row r="3001" spans="1:11" hidden="1">
      <c r="A3001" s="28">
        <v>46318</v>
      </c>
      <c r="B3001" t="s">
        <v>186</v>
      </c>
      <c r="C3001" t="s">
        <v>203</v>
      </c>
      <c r="D3001" t="s">
        <v>217</v>
      </c>
      <c r="E3001">
        <f>IF(LEFT(D3001,6)="CLIENT",IFERROR(VLOOKUP(C3001,Config_Carteiras!$A:$B,2,FALSE),1),"")</f>
        <v>1</v>
      </c>
      <c r="F3001" s="25">
        <v>898</v>
      </c>
      <c r="G3001" s="28">
        <f>IF(LEFT(D3001,6)="CLIENT",IF(E3001=0,WORKDAY(A3001-1,1,Dias_Sem_Compensacao!$A$2:$A$500),WORKDAY(A3001,E3001,Dias_Sem_Compensacao!$A$2:$A$500)),"")</f>
        <v>46321</v>
      </c>
      <c r="H3001" s="25">
        <v>0</v>
      </c>
      <c r="I3001" s="28">
        <v>46318</v>
      </c>
      <c r="J3001" t="s">
        <v>3272</v>
      </c>
      <c r="K3001" t="s">
        <v>3273</v>
      </c>
    </row>
    <row r="3002" spans="1:11" hidden="1">
      <c r="A3002" s="28">
        <v>46318</v>
      </c>
      <c r="B3002" t="s">
        <v>186</v>
      </c>
      <c r="C3002" t="s">
        <v>203</v>
      </c>
      <c r="D3002" t="s">
        <v>217</v>
      </c>
      <c r="E3002">
        <f>IF(LEFT(D3002,6)="CLIENT",IFERROR(VLOOKUP(C3002,Config_Carteiras!$A:$B,2,FALSE),1),"")</f>
        <v>1</v>
      </c>
      <c r="F3002" s="25">
        <v>1334</v>
      </c>
      <c r="G3002" s="28">
        <f>IF(LEFT(D3002,6)="CLIENT",IF(E3002=0,WORKDAY(A3002-1,1,Dias_Sem_Compensacao!$A$2:$A$500),WORKDAY(A3002,E3002,Dias_Sem_Compensacao!$A$2:$A$500)),"")</f>
        <v>46321</v>
      </c>
      <c r="H3002" s="25">
        <v>0</v>
      </c>
      <c r="I3002" s="28">
        <v>46318</v>
      </c>
      <c r="J3002" t="s">
        <v>2855</v>
      </c>
      <c r="K3002" t="s">
        <v>2856</v>
      </c>
    </row>
    <row r="3003" spans="1:11" hidden="1">
      <c r="A3003" s="28">
        <v>46318</v>
      </c>
      <c r="B3003" t="s">
        <v>186</v>
      </c>
      <c r="C3003" t="s">
        <v>203</v>
      </c>
      <c r="D3003" t="s">
        <v>217</v>
      </c>
      <c r="E3003">
        <f>IF(LEFT(D3003,6)="CLIENT",IFERROR(VLOOKUP(C3003,Config_Carteiras!$A:$B,2,FALSE),1),"")</f>
        <v>1</v>
      </c>
      <c r="F3003" s="25">
        <v>622</v>
      </c>
      <c r="G3003" s="28">
        <f>IF(LEFT(D3003,6)="CLIENT",IF(E3003=0,WORKDAY(A3003-1,1,Dias_Sem_Compensacao!$A$2:$A$500),WORKDAY(A3003,E3003,Dias_Sem_Compensacao!$A$2:$A$500)),"")</f>
        <v>46321</v>
      </c>
      <c r="H3003" s="25">
        <v>0</v>
      </c>
      <c r="I3003" s="28">
        <v>46318</v>
      </c>
      <c r="J3003" t="s">
        <v>3274</v>
      </c>
      <c r="K3003" t="s">
        <v>3275</v>
      </c>
    </row>
    <row r="3004" spans="1:11" hidden="1">
      <c r="A3004" s="28">
        <v>46318</v>
      </c>
      <c r="B3004" t="s">
        <v>186</v>
      </c>
      <c r="C3004" t="s">
        <v>203</v>
      </c>
      <c r="D3004" t="s">
        <v>217</v>
      </c>
      <c r="E3004">
        <f>IF(LEFT(D3004,6)="CLIENT",IFERROR(VLOOKUP(C3004,Config_Carteiras!$A:$B,2,FALSE),1),"")</f>
        <v>1</v>
      </c>
      <c r="F3004" s="25">
        <v>8360.65</v>
      </c>
      <c r="G3004" s="28">
        <f>IF(LEFT(D3004,6)="CLIENT",IF(E3004=0,WORKDAY(A3004-1,1,Dias_Sem_Compensacao!$A$2:$A$500),WORKDAY(A3004,E3004,Dias_Sem_Compensacao!$A$2:$A$500)),"")</f>
        <v>46321</v>
      </c>
      <c r="H3004" s="25">
        <v>0</v>
      </c>
      <c r="I3004" s="28">
        <v>46318</v>
      </c>
      <c r="J3004" t="s">
        <v>3276</v>
      </c>
      <c r="K3004" t="s">
        <v>3277</v>
      </c>
    </row>
    <row r="3005" spans="1:11" hidden="1">
      <c r="A3005" s="28">
        <v>46318</v>
      </c>
      <c r="B3005" t="s">
        <v>186</v>
      </c>
      <c r="C3005" t="s">
        <v>203</v>
      </c>
      <c r="D3005" t="s">
        <v>217</v>
      </c>
      <c r="E3005">
        <f>IF(LEFT(D3005,6)="CLIENT",IFERROR(VLOOKUP(C3005,Config_Carteiras!$A:$B,2,FALSE),1),"")</f>
        <v>1</v>
      </c>
      <c r="F3005" s="25">
        <v>815</v>
      </c>
      <c r="G3005" s="28">
        <f>IF(LEFT(D3005,6)="CLIENT",IF(E3005=0,WORKDAY(A3005-1,1,Dias_Sem_Compensacao!$A$2:$A$500),WORKDAY(A3005,E3005,Dias_Sem_Compensacao!$A$2:$A$500)),"")</f>
        <v>46321</v>
      </c>
      <c r="H3005" s="25">
        <v>0</v>
      </c>
      <c r="I3005" s="28">
        <v>46318</v>
      </c>
      <c r="J3005" t="s">
        <v>2857</v>
      </c>
      <c r="K3005" t="s">
        <v>2858</v>
      </c>
    </row>
    <row r="3006" spans="1:11" hidden="1">
      <c r="A3006" s="28">
        <v>46318</v>
      </c>
      <c r="B3006" t="s">
        <v>186</v>
      </c>
      <c r="C3006" t="s">
        <v>203</v>
      </c>
      <c r="D3006" t="s">
        <v>217</v>
      </c>
      <c r="E3006">
        <f>IF(LEFT(D3006,6)="CLIENT",IFERROR(VLOOKUP(C3006,Config_Carteiras!$A:$B,2,FALSE),1),"")</f>
        <v>1</v>
      </c>
      <c r="F3006" s="25">
        <v>870.19</v>
      </c>
      <c r="G3006" s="28">
        <f>IF(LEFT(D3006,6)="CLIENT",IF(E3006=0,WORKDAY(A3006-1,1,Dias_Sem_Compensacao!$A$2:$A$500),WORKDAY(A3006,E3006,Dias_Sem_Compensacao!$A$2:$A$500)),"")</f>
        <v>46321</v>
      </c>
      <c r="H3006" s="25">
        <v>0</v>
      </c>
      <c r="I3006" s="28">
        <v>46318</v>
      </c>
      <c r="J3006" t="s">
        <v>1764</v>
      </c>
      <c r="K3006" t="s">
        <v>1765</v>
      </c>
    </row>
    <row r="3007" spans="1:11" hidden="1">
      <c r="A3007" s="28">
        <v>46318</v>
      </c>
      <c r="B3007" t="s">
        <v>186</v>
      </c>
      <c r="C3007" t="s">
        <v>203</v>
      </c>
      <c r="D3007" t="s">
        <v>217</v>
      </c>
      <c r="E3007">
        <f>IF(LEFT(D3007,6)="CLIENT",IFERROR(VLOOKUP(C3007,Config_Carteiras!$A:$B,2,FALSE),1),"")</f>
        <v>1</v>
      </c>
      <c r="F3007" s="25">
        <v>1600</v>
      </c>
      <c r="G3007" s="28">
        <f>IF(LEFT(D3007,6)="CLIENT",IF(E3007=0,WORKDAY(A3007-1,1,Dias_Sem_Compensacao!$A$2:$A$500),WORKDAY(A3007,E3007,Dias_Sem_Compensacao!$A$2:$A$500)),"")</f>
        <v>46321</v>
      </c>
      <c r="H3007" s="25">
        <v>0</v>
      </c>
      <c r="I3007" s="28">
        <v>46318</v>
      </c>
      <c r="J3007" t="s">
        <v>3278</v>
      </c>
      <c r="K3007" t="s">
        <v>3279</v>
      </c>
    </row>
    <row r="3008" spans="1:11" hidden="1">
      <c r="A3008" s="28">
        <v>46318</v>
      </c>
      <c r="B3008" t="s">
        <v>186</v>
      </c>
      <c r="C3008" t="s">
        <v>203</v>
      </c>
      <c r="D3008" t="s">
        <v>217</v>
      </c>
      <c r="E3008">
        <f>IF(LEFT(D3008,6)="CLIENT",IFERROR(VLOOKUP(C3008,Config_Carteiras!$A:$B,2,FALSE),1),"")</f>
        <v>1</v>
      </c>
      <c r="F3008" s="25">
        <v>660</v>
      </c>
      <c r="G3008" s="28">
        <f>IF(LEFT(D3008,6)="CLIENT",IF(E3008=0,WORKDAY(A3008-1,1,Dias_Sem_Compensacao!$A$2:$A$500),WORKDAY(A3008,E3008,Dias_Sem_Compensacao!$A$2:$A$500)),"")</f>
        <v>46321</v>
      </c>
      <c r="H3008" s="25">
        <v>0</v>
      </c>
      <c r="I3008" s="28">
        <v>46318</v>
      </c>
      <c r="J3008" t="s">
        <v>2859</v>
      </c>
      <c r="K3008" t="s">
        <v>2860</v>
      </c>
    </row>
    <row r="3009" spans="1:11" hidden="1">
      <c r="A3009" s="28">
        <v>46318</v>
      </c>
      <c r="B3009" t="s">
        <v>186</v>
      </c>
      <c r="C3009" t="s">
        <v>203</v>
      </c>
      <c r="D3009" t="s">
        <v>217</v>
      </c>
      <c r="E3009">
        <f>IF(LEFT(D3009,6)="CLIENT",IFERROR(VLOOKUP(C3009,Config_Carteiras!$A:$B,2,FALSE),1),"")</f>
        <v>1</v>
      </c>
      <c r="F3009" s="25">
        <v>1104</v>
      </c>
      <c r="G3009" s="28">
        <f>IF(LEFT(D3009,6)="CLIENT",IF(E3009=0,WORKDAY(A3009-1,1,Dias_Sem_Compensacao!$A$2:$A$500),WORKDAY(A3009,E3009,Dias_Sem_Compensacao!$A$2:$A$500)),"")</f>
        <v>46321</v>
      </c>
      <c r="H3009" s="25">
        <v>0</v>
      </c>
      <c r="I3009" s="28">
        <v>46318</v>
      </c>
      <c r="J3009" t="s">
        <v>2222</v>
      </c>
      <c r="K3009" t="s">
        <v>2861</v>
      </c>
    </row>
    <row r="3010" spans="1:11" hidden="1">
      <c r="A3010" s="28">
        <v>46318</v>
      </c>
      <c r="B3010" t="s">
        <v>186</v>
      </c>
      <c r="C3010" t="s">
        <v>203</v>
      </c>
      <c r="D3010" t="s">
        <v>217</v>
      </c>
      <c r="E3010">
        <f>IF(LEFT(D3010,6)="CLIENT",IFERROR(VLOOKUP(C3010,Config_Carteiras!$A:$B,2,FALSE),1),"")</f>
        <v>1</v>
      </c>
      <c r="F3010" s="25">
        <v>496</v>
      </c>
      <c r="G3010" s="28">
        <f>IF(LEFT(D3010,6)="CLIENT",IF(E3010=0,WORKDAY(A3010-1,1,Dias_Sem_Compensacao!$A$2:$A$500),WORKDAY(A3010,E3010,Dias_Sem_Compensacao!$A$2:$A$500)),"")</f>
        <v>46321</v>
      </c>
      <c r="H3010" s="25">
        <v>0</v>
      </c>
      <c r="I3010" s="28">
        <v>46318</v>
      </c>
      <c r="J3010" t="s">
        <v>2862</v>
      </c>
      <c r="K3010" t="s">
        <v>2863</v>
      </c>
    </row>
    <row r="3011" spans="1:11" hidden="1">
      <c r="A3011" s="28">
        <v>46318</v>
      </c>
      <c r="B3011" t="s">
        <v>186</v>
      </c>
      <c r="C3011" t="s">
        <v>203</v>
      </c>
      <c r="D3011" t="s">
        <v>217</v>
      </c>
      <c r="E3011">
        <f>IF(LEFT(D3011,6)="CLIENT",IFERROR(VLOOKUP(C3011,Config_Carteiras!$A:$B,2,FALSE),1),"")</f>
        <v>1</v>
      </c>
      <c r="F3011" s="25">
        <v>1392</v>
      </c>
      <c r="G3011" s="28">
        <f>IF(LEFT(D3011,6)="CLIENT",IF(E3011=0,WORKDAY(A3011-1,1,Dias_Sem_Compensacao!$A$2:$A$500),WORKDAY(A3011,E3011,Dias_Sem_Compensacao!$A$2:$A$500)),"")</f>
        <v>46321</v>
      </c>
      <c r="H3011" s="25">
        <v>0</v>
      </c>
      <c r="I3011" s="28">
        <v>46318</v>
      </c>
      <c r="J3011" t="s">
        <v>857</v>
      </c>
      <c r="K3011" t="s">
        <v>3280</v>
      </c>
    </row>
    <row r="3012" spans="1:11" hidden="1">
      <c r="A3012" s="28">
        <v>46318</v>
      </c>
      <c r="B3012" t="s">
        <v>186</v>
      </c>
      <c r="C3012" t="s">
        <v>203</v>
      </c>
      <c r="D3012" t="s">
        <v>217</v>
      </c>
      <c r="E3012">
        <f>IF(LEFT(D3012,6)="CLIENT",IFERROR(VLOOKUP(C3012,Config_Carteiras!$A:$B,2,FALSE),1),"")</f>
        <v>1</v>
      </c>
      <c r="F3012" s="25">
        <v>4383</v>
      </c>
      <c r="G3012" s="28">
        <f>IF(LEFT(D3012,6)="CLIENT",IF(E3012=0,WORKDAY(A3012-1,1,Dias_Sem_Compensacao!$A$2:$A$500),WORKDAY(A3012,E3012,Dias_Sem_Compensacao!$A$2:$A$500)),"")</f>
        <v>46321</v>
      </c>
      <c r="H3012" s="25">
        <v>0</v>
      </c>
      <c r="I3012" s="28">
        <v>46318</v>
      </c>
      <c r="J3012" t="s">
        <v>2864</v>
      </c>
      <c r="K3012" t="s">
        <v>2865</v>
      </c>
    </row>
    <row r="3013" spans="1:11" hidden="1">
      <c r="A3013" s="28">
        <v>46318</v>
      </c>
      <c r="B3013" t="s">
        <v>186</v>
      </c>
      <c r="C3013" t="s">
        <v>203</v>
      </c>
      <c r="D3013" t="s">
        <v>217</v>
      </c>
      <c r="E3013">
        <f>IF(LEFT(D3013,6)="CLIENT",IFERROR(VLOOKUP(C3013,Config_Carteiras!$A:$B,2,FALSE),1),"")</f>
        <v>1</v>
      </c>
      <c r="F3013" s="25">
        <v>5387</v>
      </c>
      <c r="G3013" s="28">
        <f>IF(LEFT(D3013,6)="CLIENT",IF(E3013=0,WORKDAY(A3013-1,1,Dias_Sem_Compensacao!$A$2:$A$500),WORKDAY(A3013,E3013,Dias_Sem_Compensacao!$A$2:$A$500)),"")</f>
        <v>46321</v>
      </c>
      <c r="H3013" s="25">
        <v>0</v>
      </c>
      <c r="I3013" s="28">
        <v>46318</v>
      </c>
      <c r="J3013" t="s">
        <v>2866</v>
      </c>
      <c r="K3013" t="s">
        <v>2867</v>
      </c>
    </row>
    <row r="3014" spans="1:11" hidden="1">
      <c r="A3014" s="28">
        <v>46318</v>
      </c>
      <c r="B3014" t="s">
        <v>186</v>
      </c>
      <c r="C3014" t="s">
        <v>203</v>
      </c>
      <c r="D3014" t="s">
        <v>217</v>
      </c>
      <c r="E3014">
        <f>IF(LEFT(D3014,6)="CLIENT",IFERROR(VLOOKUP(C3014,Config_Carteiras!$A:$B,2,FALSE),1),"")</f>
        <v>1</v>
      </c>
      <c r="F3014" s="25">
        <v>4885</v>
      </c>
      <c r="G3014" s="28">
        <f>IF(LEFT(D3014,6)="CLIENT",IF(E3014=0,WORKDAY(A3014-1,1,Dias_Sem_Compensacao!$A$2:$A$500),WORKDAY(A3014,E3014,Dias_Sem_Compensacao!$A$2:$A$500)),"")</f>
        <v>46321</v>
      </c>
      <c r="H3014" s="25">
        <v>0</v>
      </c>
      <c r="I3014" s="28">
        <v>46318</v>
      </c>
      <c r="J3014" t="s">
        <v>2868</v>
      </c>
      <c r="K3014" t="s">
        <v>2869</v>
      </c>
    </row>
    <row r="3015" spans="1:11" hidden="1">
      <c r="A3015" s="28">
        <v>46318</v>
      </c>
      <c r="B3015" t="s">
        <v>186</v>
      </c>
      <c r="C3015" t="s">
        <v>203</v>
      </c>
      <c r="D3015" t="s">
        <v>217</v>
      </c>
      <c r="E3015">
        <f>IF(LEFT(D3015,6)="CLIENT",IFERROR(VLOOKUP(C3015,Config_Carteiras!$A:$B,2,FALSE),1),"")</f>
        <v>1</v>
      </c>
      <c r="F3015" s="25">
        <v>2388.5</v>
      </c>
      <c r="G3015" s="28">
        <f>IF(LEFT(D3015,6)="CLIENT",IF(E3015=0,WORKDAY(A3015-1,1,Dias_Sem_Compensacao!$A$2:$A$500),WORKDAY(A3015,E3015,Dias_Sem_Compensacao!$A$2:$A$500)),"")</f>
        <v>46321</v>
      </c>
      <c r="H3015" s="25">
        <v>0</v>
      </c>
      <c r="I3015" s="28">
        <v>46318</v>
      </c>
      <c r="J3015" t="s">
        <v>918</v>
      </c>
      <c r="K3015" t="s">
        <v>3281</v>
      </c>
    </row>
    <row r="3016" spans="1:11" hidden="1">
      <c r="A3016" s="28">
        <v>46318</v>
      </c>
      <c r="B3016" t="s">
        <v>186</v>
      </c>
      <c r="C3016" t="s">
        <v>203</v>
      </c>
      <c r="D3016" t="s">
        <v>217</v>
      </c>
      <c r="E3016">
        <f>IF(LEFT(D3016,6)="CLIENT",IFERROR(VLOOKUP(C3016,Config_Carteiras!$A:$B,2,FALSE),1),"")</f>
        <v>1</v>
      </c>
      <c r="F3016" s="25">
        <v>38231.61</v>
      </c>
      <c r="G3016" s="28">
        <f>IF(LEFT(D3016,6)="CLIENT",IF(E3016=0,WORKDAY(A3016-1,1,Dias_Sem_Compensacao!$A$2:$A$500),WORKDAY(A3016,E3016,Dias_Sem_Compensacao!$A$2:$A$500)),"")</f>
        <v>46321</v>
      </c>
      <c r="H3016" s="25">
        <v>0</v>
      </c>
      <c r="I3016" s="28">
        <v>46318</v>
      </c>
      <c r="J3016" t="s">
        <v>3282</v>
      </c>
      <c r="K3016" t="s">
        <v>3283</v>
      </c>
    </row>
    <row r="3017" spans="1:11" hidden="1">
      <c r="A3017" s="28">
        <v>46318</v>
      </c>
      <c r="B3017" t="s">
        <v>186</v>
      </c>
      <c r="C3017" t="s">
        <v>203</v>
      </c>
      <c r="D3017" t="s">
        <v>217</v>
      </c>
      <c r="E3017">
        <f>IF(LEFT(D3017,6)="CLIENT",IFERROR(VLOOKUP(C3017,Config_Carteiras!$A:$B,2,FALSE),1),"")</f>
        <v>1</v>
      </c>
      <c r="F3017" s="25">
        <v>815</v>
      </c>
      <c r="G3017" s="28">
        <f>IF(LEFT(D3017,6)="CLIENT",IF(E3017=0,WORKDAY(A3017-1,1,Dias_Sem_Compensacao!$A$2:$A$500),WORKDAY(A3017,E3017,Dias_Sem_Compensacao!$A$2:$A$500)),"")</f>
        <v>46321</v>
      </c>
      <c r="H3017" s="25">
        <v>0</v>
      </c>
      <c r="I3017" s="28">
        <v>46318</v>
      </c>
      <c r="J3017" t="s">
        <v>2870</v>
      </c>
      <c r="K3017" t="s">
        <v>2871</v>
      </c>
    </row>
    <row r="3018" spans="1:11" hidden="1">
      <c r="A3018" s="28">
        <v>46318</v>
      </c>
      <c r="B3018" t="s">
        <v>186</v>
      </c>
      <c r="C3018" t="s">
        <v>203</v>
      </c>
      <c r="D3018" t="s">
        <v>217</v>
      </c>
      <c r="E3018">
        <f>IF(LEFT(D3018,6)="CLIENT",IFERROR(VLOOKUP(C3018,Config_Carteiras!$A:$B,2,FALSE),1),"")</f>
        <v>1</v>
      </c>
      <c r="F3018" s="25">
        <v>1779</v>
      </c>
      <c r="G3018" s="28">
        <f>IF(LEFT(D3018,6)="CLIENT",IF(E3018=0,WORKDAY(A3018-1,1,Dias_Sem_Compensacao!$A$2:$A$500),WORKDAY(A3018,E3018,Dias_Sem_Compensacao!$A$2:$A$500)),"")</f>
        <v>46321</v>
      </c>
      <c r="H3018" s="25">
        <v>0</v>
      </c>
      <c r="I3018" s="28">
        <v>46318</v>
      </c>
      <c r="J3018" t="s">
        <v>448</v>
      </c>
      <c r="K3018" t="s">
        <v>3284</v>
      </c>
    </row>
    <row r="3019" spans="1:11" hidden="1">
      <c r="A3019" s="28">
        <v>46318</v>
      </c>
      <c r="B3019" t="s">
        <v>186</v>
      </c>
      <c r="C3019" t="s">
        <v>203</v>
      </c>
      <c r="D3019" t="s">
        <v>217</v>
      </c>
      <c r="E3019">
        <f>IF(LEFT(D3019,6)="CLIENT",IFERROR(VLOOKUP(C3019,Config_Carteiras!$A:$B,2,FALSE),1),"")</f>
        <v>1</v>
      </c>
      <c r="F3019" s="25">
        <v>493.58</v>
      </c>
      <c r="G3019" s="28">
        <f>IF(LEFT(D3019,6)="CLIENT",IF(E3019=0,WORKDAY(A3019-1,1,Dias_Sem_Compensacao!$A$2:$A$500),WORKDAY(A3019,E3019,Dias_Sem_Compensacao!$A$2:$A$500)),"")</f>
        <v>46321</v>
      </c>
      <c r="H3019" s="25">
        <v>0</v>
      </c>
      <c r="I3019" s="28">
        <v>46318</v>
      </c>
      <c r="J3019" t="s">
        <v>2313</v>
      </c>
      <c r="K3019" t="s">
        <v>2314</v>
      </c>
    </row>
    <row r="3020" spans="1:11" hidden="1">
      <c r="A3020" s="28">
        <v>46318</v>
      </c>
      <c r="B3020" t="s">
        <v>186</v>
      </c>
      <c r="C3020" t="s">
        <v>203</v>
      </c>
      <c r="D3020" t="s">
        <v>217</v>
      </c>
      <c r="E3020">
        <f>IF(LEFT(D3020,6)="CLIENT",IFERROR(VLOOKUP(C3020,Config_Carteiras!$A:$B,2,FALSE),1),"")</f>
        <v>1</v>
      </c>
      <c r="F3020" s="25">
        <v>1275</v>
      </c>
      <c r="G3020" s="28">
        <f>IF(LEFT(D3020,6)="CLIENT",IF(E3020=0,WORKDAY(A3020-1,1,Dias_Sem_Compensacao!$A$2:$A$500),WORKDAY(A3020,E3020,Dias_Sem_Compensacao!$A$2:$A$500)),"")</f>
        <v>46321</v>
      </c>
      <c r="H3020" s="25">
        <v>0</v>
      </c>
      <c r="I3020" s="28">
        <v>46318</v>
      </c>
      <c r="J3020" t="s">
        <v>2878</v>
      </c>
      <c r="K3020" t="s">
        <v>2879</v>
      </c>
    </row>
    <row r="3021" spans="1:11" hidden="1">
      <c r="A3021" s="28">
        <v>46318</v>
      </c>
      <c r="B3021" t="s">
        <v>186</v>
      </c>
      <c r="C3021" t="s">
        <v>203</v>
      </c>
      <c r="D3021" t="s">
        <v>217</v>
      </c>
      <c r="E3021">
        <f>IF(LEFT(D3021,6)="CLIENT",IFERROR(VLOOKUP(C3021,Config_Carteiras!$A:$B,2,FALSE),1),"")</f>
        <v>1</v>
      </c>
      <c r="F3021" s="25">
        <v>795.04</v>
      </c>
      <c r="G3021" s="28">
        <f>IF(LEFT(D3021,6)="CLIENT",IF(E3021=0,WORKDAY(A3021-1,1,Dias_Sem_Compensacao!$A$2:$A$500),WORKDAY(A3021,E3021,Dias_Sem_Compensacao!$A$2:$A$500)),"")</f>
        <v>46321</v>
      </c>
      <c r="H3021" s="25">
        <v>0</v>
      </c>
      <c r="I3021" s="28">
        <v>46318</v>
      </c>
      <c r="J3021" t="s">
        <v>3285</v>
      </c>
      <c r="K3021" t="s">
        <v>3286</v>
      </c>
    </row>
    <row r="3022" spans="1:11" hidden="1">
      <c r="A3022" s="28">
        <v>46318</v>
      </c>
      <c r="B3022" t="s">
        <v>186</v>
      </c>
      <c r="C3022" t="s">
        <v>203</v>
      </c>
      <c r="D3022" t="s">
        <v>217</v>
      </c>
      <c r="E3022">
        <f>IF(LEFT(D3022,6)="CLIENT",IFERROR(VLOOKUP(C3022,Config_Carteiras!$A:$B,2,FALSE),1),"")</f>
        <v>1</v>
      </c>
      <c r="F3022" s="25">
        <v>2085.5100000000002</v>
      </c>
      <c r="G3022" s="28">
        <f>IF(LEFT(D3022,6)="CLIENT",IF(E3022=0,WORKDAY(A3022-1,1,Dias_Sem_Compensacao!$A$2:$A$500),WORKDAY(A3022,E3022,Dias_Sem_Compensacao!$A$2:$A$500)),"")</f>
        <v>46321</v>
      </c>
      <c r="H3022" s="25">
        <v>0</v>
      </c>
      <c r="I3022" s="28">
        <v>46318</v>
      </c>
      <c r="J3022" t="s">
        <v>3287</v>
      </c>
      <c r="K3022" t="s">
        <v>3288</v>
      </c>
    </row>
    <row r="3023" spans="1:11" hidden="1">
      <c r="A3023" s="28">
        <v>46318</v>
      </c>
      <c r="B3023" t="s">
        <v>186</v>
      </c>
      <c r="C3023" t="s">
        <v>203</v>
      </c>
      <c r="D3023" t="s">
        <v>217</v>
      </c>
      <c r="E3023">
        <f>IF(LEFT(D3023,6)="CLIENT",IFERROR(VLOOKUP(C3023,Config_Carteiras!$A:$B,2,FALSE),1),"")</f>
        <v>1</v>
      </c>
      <c r="F3023" s="25">
        <v>1047.98</v>
      </c>
      <c r="G3023" s="28">
        <f>IF(LEFT(D3023,6)="CLIENT",IF(E3023=0,WORKDAY(A3023-1,1,Dias_Sem_Compensacao!$A$2:$A$500),WORKDAY(A3023,E3023,Dias_Sem_Compensacao!$A$2:$A$500)),"")</f>
        <v>46321</v>
      </c>
      <c r="H3023" s="25">
        <v>0</v>
      </c>
      <c r="I3023" s="28">
        <v>46318</v>
      </c>
      <c r="J3023" t="s">
        <v>533</v>
      </c>
      <c r="K3023" t="s">
        <v>3289</v>
      </c>
    </row>
    <row r="3024" spans="1:11" hidden="1">
      <c r="A3024" s="28">
        <v>46318</v>
      </c>
      <c r="B3024" t="s">
        <v>186</v>
      </c>
      <c r="C3024" t="s">
        <v>203</v>
      </c>
      <c r="D3024" t="s">
        <v>217</v>
      </c>
      <c r="E3024">
        <f>IF(LEFT(D3024,6)="CLIENT",IFERROR(VLOOKUP(C3024,Config_Carteiras!$A:$B,2,FALSE),1),"")</f>
        <v>1</v>
      </c>
      <c r="F3024" s="25">
        <v>3530.25</v>
      </c>
      <c r="G3024" s="28">
        <f>IF(LEFT(D3024,6)="CLIENT",IF(E3024=0,WORKDAY(A3024-1,1,Dias_Sem_Compensacao!$A$2:$A$500),WORKDAY(A3024,E3024,Dias_Sem_Compensacao!$A$2:$A$500)),"")</f>
        <v>46321</v>
      </c>
      <c r="H3024" s="25">
        <v>0</v>
      </c>
      <c r="I3024" s="28">
        <v>46318</v>
      </c>
      <c r="J3024" t="s">
        <v>103</v>
      </c>
      <c r="K3024" t="s">
        <v>3290</v>
      </c>
    </row>
    <row r="3025" spans="1:11" hidden="1">
      <c r="A3025" s="28">
        <v>46318</v>
      </c>
      <c r="B3025" t="s">
        <v>186</v>
      </c>
      <c r="C3025" t="s">
        <v>203</v>
      </c>
      <c r="D3025" t="s">
        <v>217</v>
      </c>
      <c r="E3025">
        <f>IF(LEFT(D3025,6)="CLIENT",IFERROR(VLOOKUP(C3025,Config_Carteiras!$A:$B,2,FALSE),1),"")</f>
        <v>1</v>
      </c>
      <c r="F3025" s="25">
        <v>11706.9</v>
      </c>
      <c r="G3025" s="28">
        <f>IF(LEFT(D3025,6)="CLIENT",IF(E3025=0,WORKDAY(A3025-1,1,Dias_Sem_Compensacao!$A$2:$A$500),WORKDAY(A3025,E3025,Dias_Sem_Compensacao!$A$2:$A$500)),"")</f>
        <v>46321</v>
      </c>
      <c r="H3025" s="25">
        <v>0</v>
      </c>
      <c r="I3025" s="28">
        <v>46318</v>
      </c>
      <c r="K3025" t="s">
        <v>3291</v>
      </c>
    </row>
    <row r="3026" spans="1:11" hidden="1">
      <c r="A3026" s="28">
        <v>46318</v>
      </c>
      <c r="B3026" t="s">
        <v>186</v>
      </c>
      <c r="C3026" t="s">
        <v>203</v>
      </c>
      <c r="D3026" t="s">
        <v>217</v>
      </c>
      <c r="E3026">
        <f>IF(LEFT(D3026,6)="CLIENT",IFERROR(VLOOKUP(C3026,Config_Carteiras!$A:$B,2,FALSE),1),"")</f>
        <v>1</v>
      </c>
      <c r="F3026" s="25">
        <v>1291</v>
      </c>
      <c r="G3026" s="28">
        <f>IF(LEFT(D3026,6)="CLIENT",IF(E3026=0,WORKDAY(A3026-1,1,Dias_Sem_Compensacao!$A$2:$A$500),WORKDAY(A3026,E3026,Dias_Sem_Compensacao!$A$2:$A$500)),"")</f>
        <v>46321</v>
      </c>
      <c r="H3026" s="25">
        <v>0</v>
      </c>
      <c r="I3026" s="28">
        <v>46318</v>
      </c>
      <c r="J3026" t="s">
        <v>2885</v>
      </c>
      <c r="K3026" t="s">
        <v>2886</v>
      </c>
    </row>
    <row r="3027" spans="1:11" hidden="1">
      <c r="A3027" s="28">
        <v>46318</v>
      </c>
      <c r="B3027" t="s">
        <v>186</v>
      </c>
      <c r="C3027" t="s">
        <v>203</v>
      </c>
      <c r="D3027" t="s">
        <v>217</v>
      </c>
      <c r="E3027">
        <f>IF(LEFT(D3027,6)="CLIENT",IFERROR(VLOOKUP(C3027,Config_Carteiras!$A:$B,2,FALSE),1),"")</f>
        <v>1</v>
      </c>
      <c r="F3027" s="25">
        <v>4753.8599999999997</v>
      </c>
      <c r="G3027" s="28">
        <f>IF(LEFT(D3027,6)="CLIENT",IF(E3027=0,WORKDAY(A3027-1,1,Dias_Sem_Compensacao!$A$2:$A$500),WORKDAY(A3027,E3027,Dias_Sem_Compensacao!$A$2:$A$500)),"")</f>
        <v>46321</v>
      </c>
      <c r="H3027" s="25">
        <v>0</v>
      </c>
      <c r="I3027" s="28">
        <v>46318</v>
      </c>
      <c r="J3027" t="s">
        <v>2321</v>
      </c>
      <c r="K3027" t="s">
        <v>2322</v>
      </c>
    </row>
    <row r="3028" spans="1:11" hidden="1">
      <c r="A3028" s="28">
        <v>46318</v>
      </c>
      <c r="B3028" t="s">
        <v>186</v>
      </c>
      <c r="C3028" t="s">
        <v>203</v>
      </c>
      <c r="D3028" t="s">
        <v>217</v>
      </c>
      <c r="E3028">
        <f>IF(LEFT(D3028,6)="CLIENT",IFERROR(VLOOKUP(C3028,Config_Carteiras!$A:$B,2,FALSE),1),"")</f>
        <v>1</v>
      </c>
      <c r="F3028" s="25">
        <v>3140.88</v>
      </c>
      <c r="G3028" s="28">
        <f>IF(LEFT(D3028,6)="CLIENT",IF(E3028=0,WORKDAY(A3028-1,1,Dias_Sem_Compensacao!$A$2:$A$500),WORKDAY(A3028,E3028,Dias_Sem_Compensacao!$A$2:$A$500)),"")</f>
        <v>46321</v>
      </c>
      <c r="H3028" s="25">
        <v>0</v>
      </c>
      <c r="I3028" s="28">
        <v>46318</v>
      </c>
      <c r="J3028" t="s">
        <v>3292</v>
      </c>
      <c r="K3028" t="s">
        <v>3293</v>
      </c>
    </row>
    <row r="3029" spans="1:11" hidden="1">
      <c r="A3029" s="28">
        <v>46318</v>
      </c>
      <c r="B3029" t="s">
        <v>186</v>
      </c>
      <c r="C3029" t="s">
        <v>203</v>
      </c>
      <c r="D3029" t="s">
        <v>217</v>
      </c>
      <c r="E3029">
        <f>IF(LEFT(D3029,6)="CLIENT",IFERROR(VLOOKUP(C3029,Config_Carteiras!$A:$B,2,FALSE),1),"")</f>
        <v>1</v>
      </c>
      <c r="F3029" s="25">
        <v>627</v>
      </c>
      <c r="G3029" s="28">
        <f>IF(LEFT(D3029,6)="CLIENT",IF(E3029=0,WORKDAY(A3029-1,1,Dias_Sem_Compensacao!$A$2:$A$500),WORKDAY(A3029,E3029,Dias_Sem_Compensacao!$A$2:$A$500)),"")</f>
        <v>46321</v>
      </c>
      <c r="H3029" s="25">
        <v>0</v>
      </c>
      <c r="I3029" s="28">
        <v>46318</v>
      </c>
      <c r="J3029" t="s">
        <v>2893</v>
      </c>
      <c r="K3029" t="s">
        <v>2894</v>
      </c>
    </row>
    <row r="3030" spans="1:11" hidden="1">
      <c r="A3030" s="28">
        <v>46321</v>
      </c>
      <c r="B3030" t="s">
        <v>186</v>
      </c>
      <c r="C3030" t="s">
        <v>203</v>
      </c>
      <c r="D3030" t="s">
        <v>217</v>
      </c>
      <c r="E3030">
        <f>IF(LEFT(D3030,6)="CLIENT",IFERROR(VLOOKUP(C3030,Config_Carteiras!$A:$B,2,FALSE),1),"")</f>
        <v>1</v>
      </c>
      <c r="F3030" s="25">
        <v>2267.7800000000002</v>
      </c>
      <c r="G3030" s="28">
        <f>IF(LEFT(D3030,6)="CLIENT",IF(E3030=0,WORKDAY(A3030-1,1,Dias_Sem_Compensacao!$A$2:$A$500),WORKDAY(A3030,E3030,Dias_Sem_Compensacao!$A$2:$A$500)),"")</f>
        <v>46322</v>
      </c>
      <c r="H3030" s="25">
        <v>0</v>
      </c>
      <c r="I3030" s="28">
        <v>46321</v>
      </c>
      <c r="J3030" t="s">
        <v>3294</v>
      </c>
      <c r="K3030" t="s">
        <v>3295</v>
      </c>
    </row>
    <row r="3031" spans="1:11" hidden="1">
      <c r="A3031" s="28">
        <v>46321</v>
      </c>
      <c r="B3031" t="s">
        <v>186</v>
      </c>
      <c r="C3031" t="s">
        <v>203</v>
      </c>
      <c r="D3031" t="s">
        <v>217</v>
      </c>
      <c r="E3031">
        <f>IF(LEFT(D3031,6)="CLIENT",IFERROR(VLOOKUP(C3031,Config_Carteiras!$A:$B,2,FALSE),1),"")</f>
        <v>1</v>
      </c>
      <c r="F3031" s="25">
        <v>1090</v>
      </c>
      <c r="G3031" s="28">
        <f>IF(LEFT(D3031,6)="CLIENT",IF(E3031=0,WORKDAY(A3031-1,1,Dias_Sem_Compensacao!$A$2:$A$500),WORKDAY(A3031,E3031,Dias_Sem_Compensacao!$A$2:$A$500)),"")</f>
        <v>46322</v>
      </c>
      <c r="H3031" s="25">
        <v>0</v>
      </c>
      <c r="I3031" s="28">
        <v>46321</v>
      </c>
      <c r="J3031" t="s">
        <v>3296</v>
      </c>
      <c r="K3031" t="s">
        <v>3297</v>
      </c>
    </row>
    <row r="3032" spans="1:11" hidden="1">
      <c r="A3032" s="28">
        <v>46321</v>
      </c>
      <c r="B3032" t="s">
        <v>186</v>
      </c>
      <c r="C3032" t="s">
        <v>203</v>
      </c>
      <c r="D3032" t="s">
        <v>217</v>
      </c>
      <c r="E3032">
        <f>IF(LEFT(D3032,6)="CLIENT",IFERROR(VLOOKUP(C3032,Config_Carteiras!$A:$B,2,FALSE),1),"")</f>
        <v>1</v>
      </c>
      <c r="F3032" s="25">
        <v>468.14</v>
      </c>
      <c r="G3032" s="28">
        <f>IF(LEFT(D3032,6)="CLIENT",IF(E3032=0,WORKDAY(A3032-1,1,Dias_Sem_Compensacao!$A$2:$A$500),WORKDAY(A3032,E3032,Dias_Sem_Compensacao!$A$2:$A$500)),"")</f>
        <v>46322</v>
      </c>
      <c r="H3032" s="25">
        <v>0</v>
      </c>
      <c r="I3032" s="28">
        <v>46321</v>
      </c>
      <c r="J3032" t="s">
        <v>3298</v>
      </c>
      <c r="K3032" t="s">
        <v>3299</v>
      </c>
    </row>
    <row r="3033" spans="1:11" hidden="1">
      <c r="A3033" s="28">
        <v>46321</v>
      </c>
      <c r="B3033" t="s">
        <v>186</v>
      </c>
      <c r="C3033" t="s">
        <v>203</v>
      </c>
      <c r="D3033" t="s">
        <v>217</v>
      </c>
      <c r="E3033">
        <f>IF(LEFT(D3033,6)="CLIENT",IFERROR(VLOOKUP(C3033,Config_Carteiras!$A:$B,2,FALSE),1),"")</f>
        <v>1</v>
      </c>
      <c r="F3033" s="25">
        <v>7800.66</v>
      </c>
      <c r="G3033" s="28">
        <f>IF(LEFT(D3033,6)="CLIENT",IF(E3033=0,WORKDAY(A3033-1,1,Dias_Sem_Compensacao!$A$2:$A$500),WORKDAY(A3033,E3033,Dias_Sem_Compensacao!$A$2:$A$500)),"")</f>
        <v>46322</v>
      </c>
      <c r="H3033" s="25">
        <v>0</v>
      </c>
      <c r="I3033" s="28">
        <v>46321</v>
      </c>
      <c r="J3033" t="s">
        <v>2333</v>
      </c>
      <c r="K3033" t="s">
        <v>2334</v>
      </c>
    </row>
    <row r="3034" spans="1:11" hidden="1">
      <c r="A3034" s="28">
        <v>46321</v>
      </c>
      <c r="B3034" t="s">
        <v>186</v>
      </c>
      <c r="C3034" t="s">
        <v>203</v>
      </c>
      <c r="D3034" t="s">
        <v>217</v>
      </c>
      <c r="E3034">
        <f>IF(LEFT(D3034,6)="CLIENT",IFERROR(VLOOKUP(C3034,Config_Carteiras!$A:$B,2,FALSE),1),"")</f>
        <v>1</v>
      </c>
      <c r="F3034" s="25">
        <v>5964.06</v>
      </c>
      <c r="G3034" s="28">
        <f>IF(LEFT(D3034,6)="CLIENT",IF(E3034=0,WORKDAY(A3034-1,1,Dias_Sem_Compensacao!$A$2:$A$500),WORKDAY(A3034,E3034,Dias_Sem_Compensacao!$A$2:$A$500)),"")</f>
        <v>46322</v>
      </c>
      <c r="H3034" s="25">
        <v>0</v>
      </c>
      <c r="I3034" s="28">
        <v>46321</v>
      </c>
      <c r="K3034" t="s">
        <v>2335</v>
      </c>
    </row>
    <row r="3035" spans="1:11" hidden="1">
      <c r="A3035" s="28">
        <v>46321</v>
      </c>
      <c r="B3035" t="s">
        <v>186</v>
      </c>
      <c r="C3035" t="s">
        <v>203</v>
      </c>
      <c r="D3035" t="s">
        <v>217</v>
      </c>
      <c r="E3035">
        <f>IF(LEFT(D3035,6)="CLIENT",IFERROR(VLOOKUP(C3035,Config_Carteiras!$A:$B,2,FALSE),1),"")</f>
        <v>1</v>
      </c>
      <c r="F3035" s="25">
        <v>2702</v>
      </c>
      <c r="G3035" s="28">
        <f>IF(LEFT(D3035,6)="CLIENT",IF(E3035=0,WORKDAY(A3035-1,1,Dias_Sem_Compensacao!$A$2:$A$500),WORKDAY(A3035,E3035,Dias_Sem_Compensacao!$A$2:$A$500)),"")</f>
        <v>46322</v>
      </c>
      <c r="H3035" s="25">
        <v>0</v>
      </c>
      <c r="I3035" s="28">
        <v>46321</v>
      </c>
      <c r="J3035" t="s">
        <v>3300</v>
      </c>
      <c r="K3035" t="s">
        <v>3301</v>
      </c>
    </row>
    <row r="3036" spans="1:11" hidden="1">
      <c r="A3036" s="28">
        <v>46321</v>
      </c>
      <c r="B3036" t="s">
        <v>186</v>
      </c>
      <c r="C3036" t="s">
        <v>203</v>
      </c>
      <c r="D3036" t="s">
        <v>217</v>
      </c>
      <c r="E3036">
        <f>IF(LEFT(D3036,6)="CLIENT",IFERROR(VLOOKUP(C3036,Config_Carteiras!$A:$B,2,FALSE),1),"")</f>
        <v>1</v>
      </c>
      <c r="F3036" s="25">
        <v>991</v>
      </c>
      <c r="G3036" s="28">
        <f>IF(LEFT(D3036,6)="CLIENT",IF(E3036=0,WORKDAY(A3036-1,1,Dias_Sem_Compensacao!$A$2:$A$500),WORKDAY(A3036,E3036,Dias_Sem_Compensacao!$A$2:$A$500)),"")</f>
        <v>46322</v>
      </c>
      <c r="H3036" s="25">
        <v>0</v>
      </c>
      <c r="I3036" s="28">
        <v>46321</v>
      </c>
      <c r="J3036" t="s">
        <v>3302</v>
      </c>
      <c r="K3036" t="s">
        <v>3303</v>
      </c>
    </row>
    <row r="3037" spans="1:11" hidden="1">
      <c r="A3037" s="28">
        <v>46321</v>
      </c>
      <c r="B3037" t="s">
        <v>186</v>
      </c>
      <c r="C3037" t="s">
        <v>203</v>
      </c>
      <c r="D3037" t="s">
        <v>217</v>
      </c>
      <c r="E3037">
        <f>IF(LEFT(D3037,6)="CLIENT",IFERROR(VLOOKUP(C3037,Config_Carteiras!$A:$B,2,FALSE),1),"")</f>
        <v>1</v>
      </c>
      <c r="F3037" s="25">
        <v>1173</v>
      </c>
      <c r="G3037" s="28">
        <f>IF(LEFT(D3037,6)="CLIENT",IF(E3037=0,WORKDAY(A3037-1,1,Dias_Sem_Compensacao!$A$2:$A$500),WORKDAY(A3037,E3037,Dias_Sem_Compensacao!$A$2:$A$500)),"")</f>
        <v>46322</v>
      </c>
      <c r="H3037" s="25">
        <v>0</v>
      </c>
      <c r="I3037" s="28">
        <v>46321</v>
      </c>
      <c r="K3037" t="s">
        <v>3304</v>
      </c>
    </row>
    <row r="3038" spans="1:11" hidden="1">
      <c r="A3038" s="28">
        <v>46321</v>
      </c>
      <c r="B3038" t="s">
        <v>186</v>
      </c>
      <c r="C3038" t="s">
        <v>203</v>
      </c>
      <c r="D3038" t="s">
        <v>217</v>
      </c>
      <c r="E3038">
        <f>IF(LEFT(D3038,6)="CLIENT",IFERROR(VLOOKUP(C3038,Config_Carteiras!$A:$B,2,FALSE),1),"")</f>
        <v>1</v>
      </c>
      <c r="F3038" s="25">
        <v>7112.49</v>
      </c>
      <c r="G3038" s="28">
        <f>IF(LEFT(D3038,6)="CLIENT",IF(E3038=0,WORKDAY(A3038-1,1,Dias_Sem_Compensacao!$A$2:$A$500),WORKDAY(A3038,E3038,Dias_Sem_Compensacao!$A$2:$A$500)),"")</f>
        <v>46322</v>
      </c>
      <c r="H3038" s="25">
        <v>0</v>
      </c>
      <c r="I3038" s="28">
        <v>46321</v>
      </c>
      <c r="J3038" t="s">
        <v>3305</v>
      </c>
      <c r="K3038" t="s">
        <v>3306</v>
      </c>
    </row>
    <row r="3039" spans="1:11" hidden="1">
      <c r="A3039" s="28">
        <v>46321</v>
      </c>
      <c r="B3039" t="s">
        <v>186</v>
      </c>
      <c r="C3039" t="s">
        <v>203</v>
      </c>
      <c r="D3039" t="s">
        <v>217</v>
      </c>
      <c r="E3039">
        <f>IF(LEFT(D3039,6)="CLIENT",IFERROR(VLOOKUP(C3039,Config_Carteiras!$A:$B,2,FALSE),1),"")</f>
        <v>1</v>
      </c>
      <c r="F3039" s="25">
        <v>872.29</v>
      </c>
      <c r="G3039" s="28">
        <f>IF(LEFT(D3039,6)="CLIENT",IF(E3039=0,WORKDAY(A3039-1,1,Dias_Sem_Compensacao!$A$2:$A$500),WORKDAY(A3039,E3039,Dias_Sem_Compensacao!$A$2:$A$500)),"")</f>
        <v>46322</v>
      </c>
      <c r="H3039" s="25">
        <v>0</v>
      </c>
      <c r="I3039" s="28">
        <v>46321</v>
      </c>
      <c r="J3039" t="s">
        <v>2676</v>
      </c>
      <c r="K3039" t="s">
        <v>2677</v>
      </c>
    </row>
    <row r="3040" spans="1:11" hidden="1">
      <c r="A3040" s="28">
        <v>46321</v>
      </c>
      <c r="B3040" t="s">
        <v>186</v>
      </c>
      <c r="C3040" t="s">
        <v>203</v>
      </c>
      <c r="D3040" t="s">
        <v>217</v>
      </c>
      <c r="E3040">
        <f>IF(LEFT(D3040,6)="CLIENT",IFERROR(VLOOKUP(C3040,Config_Carteiras!$A:$B,2,FALSE),1),"")</f>
        <v>1</v>
      </c>
      <c r="F3040" s="25">
        <v>1143</v>
      </c>
      <c r="G3040" s="28">
        <f>IF(LEFT(D3040,6)="CLIENT",IF(E3040=0,WORKDAY(A3040-1,1,Dias_Sem_Compensacao!$A$2:$A$500),WORKDAY(A3040,E3040,Dias_Sem_Compensacao!$A$2:$A$500)),"")</f>
        <v>46322</v>
      </c>
      <c r="H3040" s="25">
        <v>0</v>
      </c>
      <c r="I3040" s="28">
        <v>46321</v>
      </c>
      <c r="J3040" t="s">
        <v>1940</v>
      </c>
      <c r="K3040" t="s">
        <v>3307</v>
      </c>
    </row>
    <row r="3041" spans="1:11" hidden="1">
      <c r="A3041" s="28">
        <v>46321</v>
      </c>
      <c r="B3041" t="s">
        <v>186</v>
      </c>
      <c r="C3041" t="s">
        <v>203</v>
      </c>
      <c r="D3041" t="s">
        <v>217</v>
      </c>
      <c r="E3041">
        <f>IF(LEFT(D3041,6)="CLIENT",IFERROR(VLOOKUP(C3041,Config_Carteiras!$A:$B,2,FALSE),1),"")</f>
        <v>1</v>
      </c>
      <c r="F3041" s="25">
        <v>2977.05</v>
      </c>
      <c r="G3041" s="28">
        <f>IF(LEFT(D3041,6)="CLIENT",IF(E3041=0,WORKDAY(A3041-1,1,Dias_Sem_Compensacao!$A$2:$A$500),WORKDAY(A3041,E3041,Dias_Sem_Compensacao!$A$2:$A$500)),"")</f>
        <v>46322</v>
      </c>
      <c r="H3041" s="25">
        <v>0</v>
      </c>
      <c r="I3041" s="28">
        <v>46321</v>
      </c>
      <c r="J3041" t="s">
        <v>2345</v>
      </c>
      <c r="K3041" t="s">
        <v>2346</v>
      </c>
    </row>
    <row r="3042" spans="1:11" hidden="1">
      <c r="A3042" s="28">
        <v>46321</v>
      </c>
      <c r="B3042" t="s">
        <v>186</v>
      </c>
      <c r="C3042" t="s">
        <v>203</v>
      </c>
      <c r="D3042" t="s">
        <v>217</v>
      </c>
      <c r="E3042">
        <f>IF(LEFT(D3042,6)="CLIENT",IFERROR(VLOOKUP(C3042,Config_Carteiras!$A:$B,2,FALSE),1),"")</f>
        <v>1</v>
      </c>
      <c r="F3042" s="25">
        <v>890</v>
      </c>
      <c r="G3042" s="28">
        <f>IF(LEFT(D3042,6)="CLIENT",IF(E3042=0,WORKDAY(A3042-1,1,Dias_Sem_Compensacao!$A$2:$A$500),WORKDAY(A3042,E3042,Dias_Sem_Compensacao!$A$2:$A$500)),"")</f>
        <v>46322</v>
      </c>
      <c r="H3042" s="25">
        <v>0</v>
      </c>
      <c r="I3042" s="28">
        <v>46321</v>
      </c>
      <c r="J3042" t="s">
        <v>2896</v>
      </c>
      <c r="K3042" t="s">
        <v>2897</v>
      </c>
    </row>
    <row r="3043" spans="1:11" hidden="1">
      <c r="A3043" s="28">
        <v>46321</v>
      </c>
      <c r="B3043" t="s">
        <v>186</v>
      </c>
      <c r="C3043" t="s">
        <v>203</v>
      </c>
      <c r="D3043" t="s">
        <v>217</v>
      </c>
      <c r="E3043">
        <f>IF(LEFT(D3043,6)="CLIENT",IFERROR(VLOOKUP(C3043,Config_Carteiras!$A:$B,2,FALSE),1),"")</f>
        <v>1</v>
      </c>
      <c r="F3043" s="25">
        <v>2104</v>
      </c>
      <c r="G3043" s="28">
        <f>IF(LEFT(D3043,6)="CLIENT",IF(E3043=0,WORKDAY(A3043-1,1,Dias_Sem_Compensacao!$A$2:$A$500),WORKDAY(A3043,E3043,Dias_Sem_Compensacao!$A$2:$A$500)),"")</f>
        <v>46322</v>
      </c>
      <c r="H3043" s="25">
        <v>0</v>
      </c>
      <c r="I3043" s="28">
        <v>46321</v>
      </c>
      <c r="J3043" t="s">
        <v>3308</v>
      </c>
      <c r="K3043" t="s">
        <v>3309</v>
      </c>
    </row>
    <row r="3044" spans="1:11" hidden="1">
      <c r="A3044" s="28">
        <v>46321</v>
      </c>
      <c r="B3044" t="s">
        <v>186</v>
      </c>
      <c r="C3044" t="s">
        <v>203</v>
      </c>
      <c r="D3044" t="s">
        <v>217</v>
      </c>
      <c r="E3044">
        <f>IF(LEFT(D3044,6)="CLIENT",IFERROR(VLOOKUP(C3044,Config_Carteiras!$A:$B,2,FALSE),1),"")</f>
        <v>1</v>
      </c>
      <c r="F3044" s="25">
        <v>18970</v>
      </c>
      <c r="G3044" s="28">
        <f>IF(LEFT(D3044,6)="CLIENT",IF(E3044=0,WORKDAY(A3044-1,1,Dias_Sem_Compensacao!$A$2:$A$500),WORKDAY(A3044,E3044,Dias_Sem_Compensacao!$A$2:$A$500)),"")</f>
        <v>46322</v>
      </c>
      <c r="H3044" s="25">
        <v>0</v>
      </c>
      <c r="I3044" s="28">
        <v>46321</v>
      </c>
      <c r="J3044" t="s">
        <v>3310</v>
      </c>
      <c r="K3044" t="s">
        <v>3311</v>
      </c>
    </row>
    <row r="3045" spans="1:11" hidden="1">
      <c r="A3045" s="28">
        <v>46321</v>
      </c>
      <c r="B3045" t="s">
        <v>186</v>
      </c>
      <c r="C3045" t="s">
        <v>203</v>
      </c>
      <c r="D3045" t="s">
        <v>217</v>
      </c>
      <c r="E3045">
        <f>IF(LEFT(D3045,6)="CLIENT",IFERROR(VLOOKUP(C3045,Config_Carteiras!$A:$B,2,FALSE),1),"")</f>
        <v>1</v>
      </c>
      <c r="F3045" s="25">
        <v>553</v>
      </c>
      <c r="G3045" s="28">
        <f>IF(LEFT(D3045,6)="CLIENT",IF(E3045=0,WORKDAY(A3045-1,1,Dias_Sem_Compensacao!$A$2:$A$500),WORKDAY(A3045,E3045,Dias_Sem_Compensacao!$A$2:$A$500)),"")</f>
        <v>46322</v>
      </c>
      <c r="H3045" s="25">
        <v>0</v>
      </c>
      <c r="I3045" s="28">
        <v>46321</v>
      </c>
      <c r="J3045" t="s">
        <v>1463</v>
      </c>
      <c r="K3045" t="s">
        <v>3312</v>
      </c>
    </row>
    <row r="3046" spans="1:11" hidden="1">
      <c r="A3046" s="28">
        <v>46321</v>
      </c>
      <c r="B3046" t="s">
        <v>186</v>
      </c>
      <c r="C3046" t="s">
        <v>203</v>
      </c>
      <c r="D3046" t="s">
        <v>217</v>
      </c>
      <c r="E3046">
        <f>IF(LEFT(D3046,6)="CLIENT",IFERROR(VLOOKUP(C3046,Config_Carteiras!$A:$B,2,FALSE),1),"")</f>
        <v>1</v>
      </c>
      <c r="F3046" s="25">
        <v>3120</v>
      </c>
      <c r="G3046" s="28">
        <f>IF(LEFT(D3046,6)="CLIENT",IF(E3046=0,WORKDAY(A3046-1,1,Dias_Sem_Compensacao!$A$2:$A$500),WORKDAY(A3046,E3046,Dias_Sem_Compensacao!$A$2:$A$500)),"")</f>
        <v>46322</v>
      </c>
      <c r="H3046" s="25">
        <v>0</v>
      </c>
      <c r="I3046" s="28">
        <v>46321</v>
      </c>
      <c r="J3046" t="s">
        <v>387</v>
      </c>
      <c r="K3046" t="s">
        <v>2898</v>
      </c>
    </row>
    <row r="3047" spans="1:11" hidden="1">
      <c r="A3047" s="28">
        <v>46321</v>
      </c>
      <c r="B3047" t="s">
        <v>186</v>
      </c>
      <c r="C3047" t="s">
        <v>203</v>
      </c>
      <c r="D3047" t="s">
        <v>217</v>
      </c>
      <c r="E3047">
        <f>IF(LEFT(D3047,6)="CLIENT",IFERROR(VLOOKUP(C3047,Config_Carteiras!$A:$B,2,FALSE),1),"")</f>
        <v>1</v>
      </c>
      <c r="F3047" s="25">
        <v>1012.44</v>
      </c>
      <c r="G3047" s="28">
        <f>IF(LEFT(D3047,6)="CLIENT",IF(E3047=0,WORKDAY(A3047-1,1,Dias_Sem_Compensacao!$A$2:$A$500),WORKDAY(A3047,E3047,Dias_Sem_Compensacao!$A$2:$A$500)),"")</f>
        <v>46322</v>
      </c>
      <c r="H3047" s="25">
        <v>0</v>
      </c>
      <c r="I3047" s="28">
        <v>46321</v>
      </c>
      <c r="J3047" t="s">
        <v>2899</v>
      </c>
      <c r="K3047" t="s">
        <v>2900</v>
      </c>
    </row>
    <row r="3048" spans="1:11" hidden="1">
      <c r="A3048" s="28">
        <v>46321</v>
      </c>
      <c r="B3048" t="s">
        <v>186</v>
      </c>
      <c r="C3048" t="s">
        <v>203</v>
      </c>
      <c r="D3048" t="s">
        <v>217</v>
      </c>
      <c r="E3048">
        <f>IF(LEFT(D3048,6)="CLIENT",IFERROR(VLOOKUP(C3048,Config_Carteiras!$A:$B,2,FALSE),1),"")</f>
        <v>1</v>
      </c>
      <c r="F3048" s="25">
        <v>2187.31</v>
      </c>
      <c r="G3048" s="28">
        <f>IF(LEFT(D3048,6)="CLIENT",IF(E3048=0,WORKDAY(A3048-1,1,Dias_Sem_Compensacao!$A$2:$A$500),WORKDAY(A3048,E3048,Dias_Sem_Compensacao!$A$2:$A$500)),"")</f>
        <v>46322</v>
      </c>
      <c r="H3048" s="25">
        <v>0</v>
      </c>
      <c r="I3048" s="28">
        <v>46321</v>
      </c>
      <c r="J3048" t="s">
        <v>1319</v>
      </c>
      <c r="K3048" t="s">
        <v>2901</v>
      </c>
    </row>
    <row r="3049" spans="1:11" hidden="1">
      <c r="A3049" s="28">
        <v>46321</v>
      </c>
      <c r="B3049" t="s">
        <v>186</v>
      </c>
      <c r="C3049" t="s">
        <v>203</v>
      </c>
      <c r="D3049" t="s">
        <v>217</v>
      </c>
      <c r="E3049">
        <f>IF(LEFT(D3049,6)="CLIENT",IFERROR(VLOOKUP(C3049,Config_Carteiras!$A:$B,2,FALSE),1),"")</f>
        <v>1</v>
      </c>
      <c r="F3049" s="25">
        <v>979</v>
      </c>
      <c r="G3049" s="28">
        <f>IF(LEFT(D3049,6)="CLIENT",IF(E3049=0,WORKDAY(A3049-1,1,Dias_Sem_Compensacao!$A$2:$A$500),WORKDAY(A3049,E3049,Dias_Sem_Compensacao!$A$2:$A$500)),"")</f>
        <v>46322</v>
      </c>
      <c r="H3049" s="25">
        <v>0</v>
      </c>
      <c r="I3049" s="28">
        <v>46321</v>
      </c>
      <c r="J3049" t="s">
        <v>3313</v>
      </c>
      <c r="K3049" t="s">
        <v>3314</v>
      </c>
    </row>
    <row r="3050" spans="1:11" hidden="1">
      <c r="A3050" s="28">
        <v>46321</v>
      </c>
      <c r="B3050" t="s">
        <v>186</v>
      </c>
      <c r="C3050" t="s">
        <v>203</v>
      </c>
      <c r="D3050" t="s">
        <v>217</v>
      </c>
      <c r="E3050">
        <f>IF(LEFT(D3050,6)="CLIENT",IFERROR(VLOOKUP(C3050,Config_Carteiras!$A:$B,2,FALSE),1),"")</f>
        <v>1</v>
      </c>
      <c r="F3050" s="25">
        <v>2470</v>
      </c>
      <c r="G3050" s="28">
        <f>IF(LEFT(D3050,6)="CLIENT",IF(E3050=0,WORKDAY(A3050-1,1,Dias_Sem_Compensacao!$A$2:$A$500),WORKDAY(A3050,E3050,Dias_Sem_Compensacao!$A$2:$A$500)),"")</f>
        <v>46322</v>
      </c>
      <c r="H3050" s="25">
        <v>0</v>
      </c>
      <c r="I3050" s="28">
        <v>46321</v>
      </c>
      <c r="J3050" t="s">
        <v>3315</v>
      </c>
      <c r="K3050" t="s">
        <v>3316</v>
      </c>
    </row>
    <row r="3051" spans="1:11" hidden="1">
      <c r="A3051" s="28">
        <v>46321</v>
      </c>
      <c r="B3051" t="s">
        <v>186</v>
      </c>
      <c r="C3051" t="s">
        <v>203</v>
      </c>
      <c r="D3051" t="s">
        <v>217</v>
      </c>
      <c r="E3051">
        <f>IF(LEFT(D3051,6)="CLIENT",IFERROR(VLOOKUP(C3051,Config_Carteiras!$A:$B,2,FALSE),1),"")</f>
        <v>1</v>
      </c>
      <c r="F3051" s="25">
        <v>2337</v>
      </c>
      <c r="G3051" s="28">
        <f>IF(LEFT(D3051,6)="CLIENT",IF(E3051=0,WORKDAY(A3051-1,1,Dias_Sem_Compensacao!$A$2:$A$500),WORKDAY(A3051,E3051,Dias_Sem_Compensacao!$A$2:$A$500)),"")</f>
        <v>46322</v>
      </c>
      <c r="H3051" s="25">
        <v>0</v>
      </c>
      <c r="I3051" s="28">
        <v>46321</v>
      </c>
      <c r="J3051" t="s">
        <v>2381</v>
      </c>
      <c r="K3051" t="s">
        <v>2382</v>
      </c>
    </row>
    <row r="3052" spans="1:11" hidden="1">
      <c r="A3052" s="28">
        <v>46321</v>
      </c>
      <c r="B3052" t="s">
        <v>186</v>
      </c>
      <c r="C3052" t="s">
        <v>203</v>
      </c>
      <c r="D3052" t="s">
        <v>217</v>
      </c>
      <c r="E3052">
        <f>IF(LEFT(D3052,6)="CLIENT",IFERROR(VLOOKUP(C3052,Config_Carteiras!$A:$B,2,FALSE),1),"")</f>
        <v>1</v>
      </c>
      <c r="F3052" s="25">
        <v>653.94000000000005</v>
      </c>
      <c r="G3052" s="28">
        <f>IF(LEFT(D3052,6)="CLIENT",IF(E3052=0,WORKDAY(A3052-1,1,Dias_Sem_Compensacao!$A$2:$A$500),WORKDAY(A3052,E3052,Dias_Sem_Compensacao!$A$2:$A$500)),"")</f>
        <v>46322</v>
      </c>
      <c r="H3052" s="25">
        <v>0</v>
      </c>
      <c r="I3052" s="28">
        <v>46321</v>
      </c>
      <c r="J3052" t="s">
        <v>3317</v>
      </c>
      <c r="K3052" t="s">
        <v>3318</v>
      </c>
    </row>
    <row r="3053" spans="1:11" hidden="1">
      <c r="A3053" s="28">
        <v>46321</v>
      </c>
      <c r="B3053" t="s">
        <v>186</v>
      </c>
      <c r="C3053" t="s">
        <v>203</v>
      </c>
      <c r="D3053" t="s">
        <v>217</v>
      </c>
      <c r="E3053">
        <f>IF(LEFT(D3053,6)="CLIENT",IFERROR(VLOOKUP(C3053,Config_Carteiras!$A:$B,2,FALSE),1),"")</f>
        <v>1</v>
      </c>
      <c r="F3053" s="25">
        <v>640.72</v>
      </c>
      <c r="G3053" s="28">
        <f>IF(LEFT(D3053,6)="CLIENT",IF(E3053=0,WORKDAY(A3053-1,1,Dias_Sem_Compensacao!$A$2:$A$500),WORKDAY(A3053,E3053,Dias_Sem_Compensacao!$A$2:$A$500)),"")</f>
        <v>46322</v>
      </c>
      <c r="H3053" s="25">
        <v>0</v>
      </c>
      <c r="I3053" s="28">
        <v>46321</v>
      </c>
      <c r="J3053" t="s">
        <v>3319</v>
      </c>
      <c r="K3053" t="s">
        <v>3320</v>
      </c>
    </row>
    <row r="3054" spans="1:11" hidden="1">
      <c r="A3054" s="28">
        <v>46321</v>
      </c>
      <c r="B3054" t="s">
        <v>186</v>
      </c>
      <c r="C3054" t="s">
        <v>203</v>
      </c>
      <c r="D3054" t="s">
        <v>217</v>
      </c>
      <c r="E3054">
        <f>IF(LEFT(D3054,6)="CLIENT",IFERROR(VLOOKUP(C3054,Config_Carteiras!$A:$B,2,FALSE),1),"")</f>
        <v>1</v>
      </c>
      <c r="F3054" s="25">
        <v>342</v>
      </c>
      <c r="G3054" s="28">
        <f>IF(LEFT(D3054,6)="CLIENT",IF(E3054=0,WORKDAY(A3054-1,1,Dias_Sem_Compensacao!$A$2:$A$500),WORKDAY(A3054,E3054,Dias_Sem_Compensacao!$A$2:$A$500)),"")</f>
        <v>46322</v>
      </c>
      <c r="H3054" s="25">
        <v>0</v>
      </c>
      <c r="I3054" s="28">
        <v>46321</v>
      </c>
      <c r="J3054" t="s">
        <v>2391</v>
      </c>
      <c r="K3054" t="s">
        <v>2392</v>
      </c>
    </row>
    <row r="3055" spans="1:11" hidden="1">
      <c r="A3055" s="28">
        <v>46321</v>
      </c>
      <c r="B3055" t="s">
        <v>186</v>
      </c>
      <c r="C3055" t="s">
        <v>203</v>
      </c>
      <c r="D3055" t="s">
        <v>217</v>
      </c>
      <c r="E3055">
        <f>IF(LEFT(D3055,6)="CLIENT",IFERROR(VLOOKUP(C3055,Config_Carteiras!$A:$B,2,FALSE),1),"")</f>
        <v>1</v>
      </c>
      <c r="F3055" s="25">
        <v>1256.1099999999999</v>
      </c>
      <c r="G3055" s="28">
        <f>IF(LEFT(D3055,6)="CLIENT",IF(E3055=0,WORKDAY(A3055-1,1,Dias_Sem_Compensacao!$A$2:$A$500),WORKDAY(A3055,E3055,Dias_Sem_Compensacao!$A$2:$A$500)),"")</f>
        <v>46322</v>
      </c>
      <c r="H3055" s="25">
        <v>0</v>
      </c>
      <c r="I3055" s="28">
        <v>46321</v>
      </c>
      <c r="J3055" t="s">
        <v>2394</v>
      </c>
      <c r="K3055" t="s">
        <v>2395</v>
      </c>
    </row>
    <row r="3056" spans="1:11" hidden="1">
      <c r="A3056" s="28">
        <v>46321</v>
      </c>
      <c r="B3056" t="s">
        <v>186</v>
      </c>
      <c r="C3056" t="s">
        <v>203</v>
      </c>
      <c r="D3056" t="s">
        <v>217</v>
      </c>
      <c r="E3056">
        <f>IF(LEFT(D3056,6)="CLIENT",IFERROR(VLOOKUP(C3056,Config_Carteiras!$A:$B,2,FALSE),1),"")</f>
        <v>1</v>
      </c>
      <c r="F3056" s="25">
        <v>995</v>
      </c>
      <c r="G3056" s="28">
        <f>IF(LEFT(D3056,6)="CLIENT",IF(E3056=0,WORKDAY(A3056-1,1,Dias_Sem_Compensacao!$A$2:$A$500),WORKDAY(A3056,E3056,Dias_Sem_Compensacao!$A$2:$A$500)),"")</f>
        <v>46322</v>
      </c>
      <c r="H3056" s="25">
        <v>0</v>
      </c>
      <c r="I3056" s="28">
        <v>46321</v>
      </c>
      <c r="J3056" t="s">
        <v>2910</v>
      </c>
      <c r="K3056" t="s">
        <v>2911</v>
      </c>
    </row>
    <row r="3057" spans="1:11" hidden="1">
      <c r="A3057" s="28">
        <v>46321</v>
      </c>
      <c r="B3057" t="s">
        <v>186</v>
      </c>
      <c r="C3057" t="s">
        <v>203</v>
      </c>
      <c r="D3057" t="s">
        <v>217</v>
      </c>
      <c r="E3057">
        <f>IF(LEFT(D3057,6)="CLIENT",IFERROR(VLOOKUP(C3057,Config_Carteiras!$A:$B,2,FALSE),1),"")</f>
        <v>1</v>
      </c>
      <c r="F3057" s="25">
        <v>889.4</v>
      </c>
      <c r="G3057" s="28">
        <f>IF(LEFT(D3057,6)="CLIENT",IF(E3057=0,WORKDAY(A3057-1,1,Dias_Sem_Compensacao!$A$2:$A$500),WORKDAY(A3057,E3057,Dias_Sem_Compensacao!$A$2:$A$500)),"")</f>
        <v>46322</v>
      </c>
      <c r="H3057" s="25">
        <v>0</v>
      </c>
      <c r="I3057" s="28">
        <v>46321</v>
      </c>
      <c r="J3057" t="s">
        <v>3321</v>
      </c>
      <c r="K3057" t="s">
        <v>3322</v>
      </c>
    </row>
    <row r="3058" spans="1:11" hidden="1">
      <c r="A3058" s="28">
        <v>46321</v>
      </c>
      <c r="B3058" t="s">
        <v>186</v>
      </c>
      <c r="C3058" t="s">
        <v>203</v>
      </c>
      <c r="D3058" t="s">
        <v>217</v>
      </c>
      <c r="E3058">
        <f>IF(LEFT(D3058,6)="CLIENT",IFERROR(VLOOKUP(C3058,Config_Carteiras!$A:$B,2,FALSE),1),"")</f>
        <v>1</v>
      </c>
      <c r="F3058" s="25">
        <v>1300</v>
      </c>
      <c r="G3058" s="28">
        <f>IF(LEFT(D3058,6)="CLIENT",IF(E3058=0,WORKDAY(A3058-1,1,Dias_Sem_Compensacao!$A$2:$A$500),WORKDAY(A3058,E3058,Dias_Sem_Compensacao!$A$2:$A$500)),"")</f>
        <v>46322</v>
      </c>
      <c r="H3058" s="25">
        <v>0</v>
      </c>
      <c r="I3058" s="28">
        <v>46321</v>
      </c>
      <c r="J3058" t="s">
        <v>1164</v>
      </c>
      <c r="K3058" t="s">
        <v>2921</v>
      </c>
    </row>
    <row r="3059" spans="1:11" hidden="1">
      <c r="A3059" s="28">
        <v>46321</v>
      </c>
      <c r="B3059" t="s">
        <v>186</v>
      </c>
      <c r="C3059" t="s">
        <v>203</v>
      </c>
      <c r="D3059" t="s">
        <v>217</v>
      </c>
      <c r="E3059">
        <f>IF(LEFT(D3059,6)="CLIENT",IFERROR(VLOOKUP(C3059,Config_Carteiras!$A:$B,2,FALSE),1),"")</f>
        <v>1</v>
      </c>
      <c r="F3059" s="25">
        <v>1487</v>
      </c>
      <c r="G3059" s="28">
        <f>IF(LEFT(D3059,6)="CLIENT",IF(E3059=0,WORKDAY(A3059-1,1,Dias_Sem_Compensacao!$A$2:$A$500),WORKDAY(A3059,E3059,Dias_Sem_Compensacao!$A$2:$A$500)),"")</f>
        <v>46322</v>
      </c>
      <c r="H3059" s="25">
        <v>0</v>
      </c>
      <c r="I3059" s="28">
        <v>46321</v>
      </c>
      <c r="J3059" t="s">
        <v>3323</v>
      </c>
      <c r="K3059" t="s">
        <v>3324</v>
      </c>
    </row>
    <row r="3060" spans="1:11" hidden="1">
      <c r="A3060" s="28">
        <v>46321</v>
      </c>
      <c r="B3060" t="s">
        <v>186</v>
      </c>
      <c r="C3060" t="s">
        <v>203</v>
      </c>
      <c r="D3060" t="s">
        <v>217</v>
      </c>
      <c r="E3060">
        <f>IF(LEFT(D3060,6)="CLIENT",IFERROR(VLOOKUP(C3060,Config_Carteiras!$A:$B,2,FALSE),1),"")</f>
        <v>1</v>
      </c>
      <c r="F3060" s="25">
        <v>1087</v>
      </c>
      <c r="G3060" s="28">
        <f>IF(LEFT(D3060,6)="CLIENT",IF(E3060=0,WORKDAY(A3060-1,1,Dias_Sem_Compensacao!$A$2:$A$500),WORKDAY(A3060,E3060,Dias_Sem_Compensacao!$A$2:$A$500)),"")</f>
        <v>46322</v>
      </c>
      <c r="H3060" s="25">
        <v>0</v>
      </c>
      <c r="I3060" s="28">
        <v>46321</v>
      </c>
      <c r="J3060" t="s">
        <v>2922</v>
      </c>
      <c r="K3060" t="s">
        <v>2923</v>
      </c>
    </row>
    <row r="3061" spans="1:11" hidden="1">
      <c r="A3061" s="28">
        <v>46321</v>
      </c>
      <c r="B3061" t="s">
        <v>186</v>
      </c>
      <c r="C3061" t="s">
        <v>203</v>
      </c>
      <c r="D3061" t="s">
        <v>217</v>
      </c>
      <c r="E3061">
        <f>IF(LEFT(D3061,6)="CLIENT",IFERROR(VLOOKUP(C3061,Config_Carteiras!$A:$B,2,FALSE),1),"")</f>
        <v>1</v>
      </c>
      <c r="F3061" s="25">
        <v>845</v>
      </c>
      <c r="G3061" s="28">
        <f>IF(LEFT(D3061,6)="CLIENT",IF(E3061=0,WORKDAY(A3061-1,1,Dias_Sem_Compensacao!$A$2:$A$500),WORKDAY(A3061,E3061,Dias_Sem_Compensacao!$A$2:$A$500)),"")</f>
        <v>46322</v>
      </c>
      <c r="H3061" s="25">
        <v>0</v>
      </c>
      <c r="I3061" s="28">
        <v>46321</v>
      </c>
      <c r="J3061" t="s">
        <v>1489</v>
      </c>
      <c r="K3061" t="s">
        <v>2924</v>
      </c>
    </row>
    <row r="3062" spans="1:11" hidden="1">
      <c r="A3062" s="28">
        <v>46321</v>
      </c>
      <c r="B3062" t="s">
        <v>186</v>
      </c>
      <c r="C3062" t="s">
        <v>203</v>
      </c>
      <c r="D3062" t="s">
        <v>217</v>
      </c>
      <c r="E3062">
        <f>IF(LEFT(D3062,6)="CLIENT",IFERROR(VLOOKUP(C3062,Config_Carteiras!$A:$B,2,FALSE),1),"")</f>
        <v>1</v>
      </c>
      <c r="F3062" s="25">
        <v>902</v>
      </c>
      <c r="G3062" s="28">
        <f>IF(LEFT(D3062,6)="CLIENT",IF(E3062=0,WORKDAY(A3062-1,1,Dias_Sem_Compensacao!$A$2:$A$500),WORKDAY(A3062,E3062,Dias_Sem_Compensacao!$A$2:$A$500)),"")</f>
        <v>46322</v>
      </c>
      <c r="H3062" s="25">
        <v>0</v>
      </c>
      <c r="I3062" s="28">
        <v>46321</v>
      </c>
      <c r="J3062" t="s">
        <v>2925</v>
      </c>
      <c r="K3062" t="s">
        <v>2926</v>
      </c>
    </row>
    <row r="3063" spans="1:11" hidden="1">
      <c r="A3063" s="28">
        <v>46321</v>
      </c>
      <c r="B3063" t="s">
        <v>186</v>
      </c>
      <c r="C3063" t="s">
        <v>203</v>
      </c>
      <c r="D3063" t="s">
        <v>217</v>
      </c>
      <c r="E3063">
        <f>IF(LEFT(D3063,6)="CLIENT",IFERROR(VLOOKUP(C3063,Config_Carteiras!$A:$B,2,FALSE),1),"")</f>
        <v>1</v>
      </c>
      <c r="F3063" s="25">
        <v>1611.41</v>
      </c>
      <c r="G3063" s="28">
        <f>IF(LEFT(D3063,6)="CLIENT",IF(E3063=0,WORKDAY(A3063-1,1,Dias_Sem_Compensacao!$A$2:$A$500),WORKDAY(A3063,E3063,Dias_Sem_Compensacao!$A$2:$A$500)),"")</f>
        <v>46322</v>
      </c>
      <c r="H3063" s="25">
        <v>0</v>
      </c>
      <c r="I3063" s="28">
        <v>46321</v>
      </c>
      <c r="J3063" t="s">
        <v>3325</v>
      </c>
      <c r="K3063" t="s">
        <v>3326</v>
      </c>
    </row>
    <row r="3064" spans="1:11" hidden="1">
      <c r="A3064" s="28">
        <v>46321</v>
      </c>
      <c r="B3064" t="s">
        <v>186</v>
      </c>
      <c r="C3064" t="s">
        <v>203</v>
      </c>
      <c r="D3064" t="s">
        <v>217</v>
      </c>
      <c r="E3064">
        <f>IF(LEFT(D3064,6)="CLIENT",IFERROR(VLOOKUP(C3064,Config_Carteiras!$A:$B,2,FALSE),1),"")</f>
        <v>1</v>
      </c>
      <c r="F3064" s="25">
        <v>773</v>
      </c>
      <c r="G3064" s="28">
        <f>IF(LEFT(D3064,6)="CLIENT",IF(E3064=0,WORKDAY(A3064-1,1,Dias_Sem_Compensacao!$A$2:$A$500),WORKDAY(A3064,E3064,Dias_Sem_Compensacao!$A$2:$A$500)),"")</f>
        <v>46322</v>
      </c>
      <c r="H3064" s="25">
        <v>0</v>
      </c>
      <c r="I3064" s="28">
        <v>46321</v>
      </c>
      <c r="J3064" t="s">
        <v>2412</v>
      </c>
      <c r="K3064" t="s">
        <v>2413</v>
      </c>
    </row>
    <row r="3065" spans="1:11" hidden="1">
      <c r="A3065" s="28">
        <v>46321</v>
      </c>
      <c r="B3065" t="s">
        <v>186</v>
      </c>
      <c r="C3065" t="s">
        <v>203</v>
      </c>
      <c r="D3065" t="s">
        <v>217</v>
      </c>
      <c r="E3065">
        <f>IF(LEFT(D3065,6)="CLIENT",IFERROR(VLOOKUP(C3065,Config_Carteiras!$A:$B,2,FALSE),1),"")</f>
        <v>1</v>
      </c>
      <c r="F3065" s="25">
        <v>642.54999999999995</v>
      </c>
      <c r="G3065" s="28">
        <f>IF(LEFT(D3065,6)="CLIENT",IF(E3065=0,WORKDAY(A3065-1,1,Dias_Sem_Compensacao!$A$2:$A$500),WORKDAY(A3065,E3065,Dias_Sem_Compensacao!$A$2:$A$500)),"")</f>
        <v>46322</v>
      </c>
      <c r="H3065" s="25">
        <v>0</v>
      </c>
      <c r="I3065" s="28">
        <v>46321</v>
      </c>
      <c r="J3065" t="s">
        <v>2414</v>
      </c>
      <c r="K3065" t="s">
        <v>2415</v>
      </c>
    </row>
    <row r="3066" spans="1:11" hidden="1">
      <c r="A3066" s="28">
        <v>46321</v>
      </c>
      <c r="B3066" t="s">
        <v>186</v>
      </c>
      <c r="C3066" t="s">
        <v>203</v>
      </c>
      <c r="D3066" t="s">
        <v>217</v>
      </c>
      <c r="E3066">
        <f>IF(LEFT(D3066,6)="CLIENT",IFERROR(VLOOKUP(C3066,Config_Carteiras!$A:$B,2,FALSE),1),"")</f>
        <v>1</v>
      </c>
      <c r="F3066" s="25">
        <v>2477</v>
      </c>
      <c r="G3066" s="28">
        <f>IF(LEFT(D3066,6)="CLIENT",IF(E3066=0,WORKDAY(A3066-1,1,Dias_Sem_Compensacao!$A$2:$A$500),WORKDAY(A3066,E3066,Dias_Sem_Compensacao!$A$2:$A$500)),"")</f>
        <v>46322</v>
      </c>
      <c r="H3066" s="25">
        <v>0</v>
      </c>
      <c r="I3066" s="28">
        <v>46321</v>
      </c>
      <c r="J3066" t="s">
        <v>1344</v>
      </c>
      <c r="K3066" t="s">
        <v>3327</v>
      </c>
    </row>
    <row r="3067" spans="1:11" hidden="1">
      <c r="A3067" s="28">
        <v>46321</v>
      </c>
      <c r="B3067" t="s">
        <v>186</v>
      </c>
      <c r="C3067" t="s">
        <v>203</v>
      </c>
      <c r="D3067" t="s">
        <v>217</v>
      </c>
      <c r="E3067">
        <f>IF(LEFT(D3067,6)="CLIENT",IFERROR(VLOOKUP(C3067,Config_Carteiras!$A:$B,2,FALSE),1),"")</f>
        <v>1</v>
      </c>
      <c r="F3067" s="25">
        <v>1626</v>
      </c>
      <c r="G3067" s="28">
        <f>IF(LEFT(D3067,6)="CLIENT",IF(E3067=0,WORKDAY(A3067-1,1,Dias_Sem_Compensacao!$A$2:$A$500),WORKDAY(A3067,E3067,Dias_Sem_Compensacao!$A$2:$A$500)),"")</f>
        <v>46322</v>
      </c>
      <c r="H3067" s="25">
        <v>0</v>
      </c>
      <c r="I3067" s="28">
        <v>46321</v>
      </c>
      <c r="K3067" t="s">
        <v>3328</v>
      </c>
    </row>
    <row r="3068" spans="1:11" hidden="1">
      <c r="A3068" s="28">
        <v>46321</v>
      </c>
      <c r="B3068" t="s">
        <v>186</v>
      </c>
      <c r="C3068" t="s">
        <v>203</v>
      </c>
      <c r="D3068" t="s">
        <v>217</v>
      </c>
      <c r="E3068">
        <f>IF(LEFT(D3068,6)="CLIENT",IFERROR(VLOOKUP(C3068,Config_Carteiras!$A:$B,2,FALSE),1),"")</f>
        <v>1</v>
      </c>
      <c r="F3068" s="25">
        <v>1363</v>
      </c>
      <c r="G3068" s="28">
        <f>IF(LEFT(D3068,6)="CLIENT",IF(E3068=0,WORKDAY(A3068-1,1,Dias_Sem_Compensacao!$A$2:$A$500),WORKDAY(A3068,E3068,Dias_Sem_Compensacao!$A$2:$A$500)),"")</f>
        <v>46322</v>
      </c>
      <c r="H3068" s="25">
        <v>0</v>
      </c>
      <c r="I3068" s="28">
        <v>46321</v>
      </c>
      <c r="J3068" t="s">
        <v>3239</v>
      </c>
      <c r="K3068" t="s">
        <v>3329</v>
      </c>
    </row>
    <row r="3069" spans="1:11" hidden="1">
      <c r="A3069" s="28">
        <v>46321</v>
      </c>
      <c r="B3069" t="s">
        <v>186</v>
      </c>
      <c r="C3069" t="s">
        <v>203</v>
      </c>
      <c r="D3069" t="s">
        <v>217</v>
      </c>
      <c r="E3069">
        <f>IF(LEFT(D3069,6)="CLIENT",IFERROR(VLOOKUP(C3069,Config_Carteiras!$A:$B,2,FALSE),1),"")</f>
        <v>1</v>
      </c>
      <c r="F3069" s="25">
        <v>1319</v>
      </c>
      <c r="G3069" s="28">
        <f>IF(LEFT(D3069,6)="CLIENT",IF(E3069=0,WORKDAY(A3069-1,1,Dias_Sem_Compensacao!$A$2:$A$500),WORKDAY(A3069,E3069,Dias_Sem_Compensacao!$A$2:$A$500)),"")</f>
        <v>46322</v>
      </c>
      <c r="H3069" s="25">
        <v>0</v>
      </c>
      <c r="I3069" s="28">
        <v>46321</v>
      </c>
      <c r="J3069" t="s">
        <v>3330</v>
      </c>
      <c r="K3069" t="s">
        <v>3331</v>
      </c>
    </row>
    <row r="3070" spans="1:11" hidden="1">
      <c r="A3070" s="28">
        <v>46321</v>
      </c>
      <c r="B3070" t="s">
        <v>186</v>
      </c>
      <c r="C3070" t="s">
        <v>203</v>
      </c>
      <c r="D3070" t="s">
        <v>217</v>
      </c>
      <c r="E3070">
        <f>IF(LEFT(D3070,6)="CLIENT",IFERROR(VLOOKUP(C3070,Config_Carteiras!$A:$B,2,FALSE),1),"")</f>
        <v>1</v>
      </c>
      <c r="F3070" s="25">
        <v>639</v>
      </c>
      <c r="G3070" s="28">
        <f>IF(LEFT(D3070,6)="CLIENT",IF(E3070=0,WORKDAY(A3070-1,1,Dias_Sem_Compensacao!$A$2:$A$500),WORKDAY(A3070,E3070,Dias_Sem_Compensacao!$A$2:$A$500)),"")</f>
        <v>46322</v>
      </c>
      <c r="H3070" s="25">
        <v>0</v>
      </c>
      <c r="I3070" s="28">
        <v>46321</v>
      </c>
      <c r="J3070" t="s">
        <v>401</v>
      </c>
      <c r="K3070" t="s">
        <v>2418</v>
      </c>
    </row>
    <row r="3071" spans="1:11" hidden="1">
      <c r="A3071" s="28">
        <v>46321</v>
      </c>
      <c r="B3071" t="s">
        <v>186</v>
      </c>
      <c r="C3071" t="s">
        <v>203</v>
      </c>
      <c r="D3071" t="s">
        <v>217</v>
      </c>
      <c r="E3071">
        <f>IF(LEFT(D3071,6)="CLIENT",IFERROR(VLOOKUP(C3071,Config_Carteiras!$A:$B,2,FALSE),1),"")</f>
        <v>1</v>
      </c>
      <c r="F3071" s="25">
        <v>1562</v>
      </c>
      <c r="G3071" s="28">
        <f>IF(LEFT(D3071,6)="CLIENT",IF(E3071=0,WORKDAY(A3071-1,1,Dias_Sem_Compensacao!$A$2:$A$500),WORKDAY(A3071,E3071,Dias_Sem_Compensacao!$A$2:$A$500)),"")</f>
        <v>46322</v>
      </c>
      <c r="H3071" s="25">
        <v>0</v>
      </c>
      <c r="I3071" s="28">
        <v>46321</v>
      </c>
      <c r="J3071" t="s">
        <v>290</v>
      </c>
      <c r="K3071" t="s">
        <v>2930</v>
      </c>
    </row>
    <row r="3072" spans="1:11" hidden="1">
      <c r="A3072" s="28">
        <v>46321</v>
      </c>
      <c r="B3072" t="s">
        <v>186</v>
      </c>
      <c r="C3072" t="s">
        <v>203</v>
      </c>
      <c r="D3072" t="s">
        <v>217</v>
      </c>
      <c r="E3072">
        <f>IF(LEFT(D3072,6)="CLIENT",IFERROR(VLOOKUP(C3072,Config_Carteiras!$A:$B,2,FALSE),1),"")</f>
        <v>1</v>
      </c>
      <c r="F3072" s="25">
        <v>1702</v>
      </c>
      <c r="G3072" s="28">
        <f>IF(LEFT(D3072,6)="CLIENT",IF(E3072=0,WORKDAY(A3072-1,1,Dias_Sem_Compensacao!$A$2:$A$500),WORKDAY(A3072,E3072,Dias_Sem_Compensacao!$A$2:$A$500)),"")</f>
        <v>46322</v>
      </c>
      <c r="H3072" s="25">
        <v>0</v>
      </c>
      <c r="I3072" s="28">
        <v>46321</v>
      </c>
      <c r="J3072" t="s">
        <v>1711</v>
      </c>
      <c r="K3072" t="s">
        <v>2931</v>
      </c>
    </row>
    <row r="3073" spans="1:11" hidden="1">
      <c r="A3073" s="28">
        <v>46321</v>
      </c>
      <c r="B3073" t="s">
        <v>186</v>
      </c>
      <c r="C3073" t="s">
        <v>203</v>
      </c>
      <c r="D3073" t="s">
        <v>217</v>
      </c>
      <c r="E3073">
        <f>IF(LEFT(D3073,6)="CLIENT",IFERROR(VLOOKUP(C3073,Config_Carteiras!$A:$B,2,FALSE),1),"")</f>
        <v>1</v>
      </c>
      <c r="F3073" s="25">
        <v>799.25</v>
      </c>
      <c r="G3073" s="28">
        <f>IF(LEFT(D3073,6)="CLIENT",IF(E3073=0,WORKDAY(A3073-1,1,Dias_Sem_Compensacao!$A$2:$A$500),WORKDAY(A3073,E3073,Dias_Sem_Compensacao!$A$2:$A$500)),"")</f>
        <v>46322</v>
      </c>
      <c r="H3073" s="25">
        <v>0</v>
      </c>
      <c r="I3073" s="28">
        <v>46321</v>
      </c>
      <c r="J3073" t="s">
        <v>1829</v>
      </c>
      <c r="K3073" t="s">
        <v>1830</v>
      </c>
    </row>
    <row r="3074" spans="1:11" hidden="1">
      <c r="A3074" s="28">
        <v>46321</v>
      </c>
      <c r="B3074" t="s">
        <v>186</v>
      </c>
      <c r="C3074" t="s">
        <v>203</v>
      </c>
      <c r="D3074" t="s">
        <v>217</v>
      </c>
      <c r="E3074">
        <f>IF(LEFT(D3074,6)="CLIENT",IFERROR(VLOOKUP(C3074,Config_Carteiras!$A:$B,2,FALSE),1),"")</f>
        <v>1</v>
      </c>
      <c r="F3074" s="25">
        <v>614</v>
      </c>
      <c r="G3074" s="28">
        <f>IF(LEFT(D3074,6)="CLIENT",IF(E3074=0,WORKDAY(A3074-1,1,Dias_Sem_Compensacao!$A$2:$A$500),WORKDAY(A3074,E3074,Dias_Sem_Compensacao!$A$2:$A$500)),"")</f>
        <v>46322</v>
      </c>
      <c r="H3074" s="25">
        <v>0</v>
      </c>
      <c r="I3074" s="28">
        <v>46321</v>
      </c>
      <c r="J3074" t="s">
        <v>2932</v>
      </c>
      <c r="K3074" t="s">
        <v>2933</v>
      </c>
    </row>
    <row r="3075" spans="1:11" hidden="1">
      <c r="A3075" s="28">
        <v>46321</v>
      </c>
      <c r="B3075" t="s">
        <v>186</v>
      </c>
      <c r="C3075" t="s">
        <v>203</v>
      </c>
      <c r="D3075" t="s">
        <v>217</v>
      </c>
      <c r="E3075">
        <f>IF(LEFT(D3075,6)="CLIENT",IFERROR(VLOOKUP(C3075,Config_Carteiras!$A:$B,2,FALSE),1),"")</f>
        <v>1</v>
      </c>
      <c r="F3075" s="25">
        <v>546</v>
      </c>
      <c r="G3075" s="28">
        <f>IF(LEFT(D3075,6)="CLIENT",IF(E3075=0,WORKDAY(A3075-1,1,Dias_Sem_Compensacao!$A$2:$A$500),WORKDAY(A3075,E3075,Dias_Sem_Compensacao!$A$2:$A$500)),"")</f>
        <v>46322</v>
      </c>
      <c r="H3075" s="25">
        <v>0</v>
      </c>
      <c r="I3075" s="28">
        <v>46321</v>
      </c>
      <c r="J3075" t="s">
        <v>1980</v>
      </c>
      <c r="K3075" t="s">
        <v>3332</v>
      </c>
    </row>
    <row r="3076" spans="1:11" hidden="1">
      <c r="A3076" s="28">
        <v>46321</v>
      </c>
      <c r="B3076" t="s">
        <v>186</v>
      </c>
      <c r="C3076" t="s">
        <v>203</v>
      </c>
      <c r="D3076" t="s">
        <v>217</v>
      </c>
      <c r="E3076">
        <f>IF(LEFT(D3076,6)="CLIENT",IFERROR(VLOOKUP(C3076,Config_Carteiras!$A:$B,2,FALSE),1),"")</f>
        <v>1</v>
      </c>
      <c r="F3076" s="25">
        <v>1862</v>
      </c>
      <c r="G3076" s="28">
        <f>IF(LEFT(D3076,6)="CLIENT",IF(E3076=0,WORKDAY(A3076-1,1,Dias_Sem_Compensacao!$A$2:$A$500),WORKDAY(A3076,E3076,Dias_Sem_Compensacao!$A$2:$A$500)),"")</f>
        <v>46322</v>
      </c>
      <c r="H3076" s="25">
        <v>0</v>
      </c>
      <c r="I3076" s="28">
        <v>46321</v>
      </c>
      <c r="J3076" t="s">
        <v>3333</v>
      </c>
      <c r="K3076" t="s">
        <v>3334</v>
      </c>
    </row>
    <row r="3077" spans="1:11" hidden="1">
      <c r="A3077" s="28">
        <v>46321</v>
      </c>
      <c r="B3077" t="s">
        <v>186</v>
      </c>
      <c r="C3077" t="s">
        <v>203</v>
      </c>
      <c r="D3077" t="s">
        <v>217</v>
      </c>
      <c r="E3077">
        <f>IF(LEFT(D3077,6)="CLIENT",IFERROR(VLOOKUP(C3077,Config_Carteiras!$A:$B,2,FALSE),1),"")</f>
        <v>1</v>
      </c>
      <c r="F3077" s="25">
        <v>2060</v>
      </c>
      <c r="G3077" s="28">
        <f>IF(LEFT(D3077,6)="CLIENT",IF(E3077=0,WORKDAY(A3077-1,1,Dias_Sem_Compensacao!$A$2:$A$500),WORKDAY(A3077,E3077,Dias_Sem_Compensacao!$A$2:$A$500)),"")</f>
        <v>46322</v>
      </c>
      <c r="H3077" s="25">
        <v>0</v>
      </c>
      <c r="I3077" s="28">
        <v>46321</v>
      </c>
      <c r="J3077" t="s">
        <v>3335</v>
      </c>
      <c r="K3077" t="s">
        <v>3336</v>
      </c>
    </row>
    <row r="3078" spans="1:11" hidden="1">
      <c r="A3078" s="28">
        <v>46321</v>
      </c>
      <c r="B3078" t="s">
        <v>186</v>
      </c>
      <c r="C3078" t="s">
        <v>203</v>
      </c>
      <c r="D3078" t="s">
        <v>217</v>
      </c>
      <c r="E3078">
        <f>IF(LEFT(D3078,6)="CLIENT",IFERROR(VLOOKUP(C3078,Config_Carteiras!$A:$B,2,FALSE),1),"")</f>
        <v>1</v>
      </c>
      <c r="F3078" s="25">
        <v>558</v>
      </c>
      <c r="G3078" s="28">
        <f>IF(LEFT(D3078,6)="CLIENT",IF(E3078=0,WORKDAY(A3078-1,1,Dias_Sem_Compensacao!$A$2:$A$500),WORKDAY(A3078,E3078,Dias_Sem_Compensacao!$A$2:$A$500)),"")</f>
        <v>46322</v>
      </c>
      <c r="H3078" s="25">
        <v>0</v>
      </c>
      <c r="I3078" s="28">
        <v>46321</v>
      </c>
      <c r="J3078" t="s">
        <v>2936</v>
      </c>
      <c r="K3078" t="s">
        <v>2937</v>
      </c>
    </row>
    <row r="3079" spans="1:11" hidden="1">
      <c r="A3079" s="28">
        <v>46321</v>
      </c>
      <c r="B3079" t="s">
        <v>186</v>
      </c>
      <c r="C3079" t="s">
        <v>203</v>
      </c>
      <c r="D3079" t="s">
        <v>217</v>
      </c>
      <c r="E3079">
        <f>IF(LEFT(D3079,6)="CLIENT",IFERROR(VLOOKUP(C3079,Config_Carteiras!$A:$B,2,FALSE),1),"")</f>
        <v>1</v>
      </c>
      <c r="F3079" s="25">
        <v>697</v>
      </c>
      <c r="G3079" s="28">
        <f>IF(LEFT(D3079,6)="CLIENT",IF(E3079=0,WORKDAY(A3079-1,1,Dias_Sem_Compensacao!$A$2:$A$500),WORKDAY(A3079,E3079,Dias_Sem_Compensacao!$A$2:$A$500)),"")</f>
        <v>46322</v>
      </c>
      <c r="H3079" s="25">
        <v>0</v>
      </c>
      <c r="I3079" s="28">
        <v>46321</v>
      </c>
      <c r="J3079" t="s">
        <v>2938</v>
      </c>
      <c r="K3079" t="s">
        <v>2939</v>
      </c>
    </row>
    <row r="3080" spans="1:11" hidden="1">
      <c r="A3080" s="28">
        <v>46321</v>
      </c>
      <c r="B3080" t="s">
        <v>186</v>
      </c>
      <c r="C3080" t="s">
        <v>203</v>
      </c>
      <c r="D3080" t="s">
        <v>217</v>
      </c>
      <c r="E3080">
        <f>IF(LEFT(D3080,6)="CLIENT",IFERROR(VLOOKUP(C3080,Config_Carteiras!$A:$B,2,FALSE),1),"")</f>
        <v>1</v>
      </c>
      <c r="F3080" s="25">
        <v>891.21</v>
      </c>
      <c r="G3080" s="28">
        <f>IF(LEFT(D3080,6)="CLIENT",IF(E3080=0,WORKDAY(A3080-1,1,Dias_Sem_Compensacao!$A$2:$A$500),WORKDAY(A3080,E3080,Dias_Sem_Compensacao!$A$2:$A$500)),"")</f>
        <v>46322</v>
      </c>
      <c r="H3080" s="25">
        <v>0</v>
      </c>
      <c r="I3080" s="28">
        <v>46321</v>
      </c>
      <c r="J3080" t="s">
        <v>2940</v>
      </c>
      <c r="K3080" t="s">
        <v>2941</v>
      </c>
    </row>
    <row r="3081" spans="1:11" hidden="1">
      <c r="A3081" s="28">
        <v>46321</v>
      </c>
      <c r="B3081" t="s">
        <v>186</v>
      </c>
      <c r="C3081" t="s">
        <v>203</v>
      </c>
      <c r="D3081" t="s">
        <v>217</v>
      </c>
      <c r="E3081">
        <f>IF(LEFT(D3081,6)="CLIENT",IFERROR(VLOOKUP(C3081,Config_Carteiras!$A:$B,2,FALSE),1),"")</f>
        <v>1</v>
      </c>
      <c r="F3081" s="25">
        <v>1981.75</v>
      </c>
      <c r="G3081" s="28">
        <f>IF(LEFT(D3081,6)="CLIENT",IF(E3081=0,WORKDAY(A3081-1,1,Dias_Sem_Compensacao!$A$2:$A$500),WORKDAY(A3081,E3081,Dias_Sem_Compensacao!$A$2:$A$500)),"")</f>
        <v>46322</v>
      </c>
      <c r="H3081" s="25">
        <v>0</v>
      </c>
      <c r="I3081" s="28">
        <v>46321</v>
      </c>
      <c r="J3081" t="s">
        <v>2435</v>
      </c>
      <c r="K3081" t="s">
        <v>2436</v>
      </c>
    </row>
    <row r="3082" spans="1:11" hidden="1">
      <c r="A3082" s="28">
        <v>46321</v>
      </c>
      <c r="B3082" t="s">
        <v>186</v>
      </c>
      <c r="C3082" t="s">
        <v>203</v>
      </c>
      <c r="D3082" t="s">
        <v>217</v>
      </c>
      <c r="E3082">
        <f>IF(LEFT(D3082,6)="CLIENT",IFERROR(VLOOKUP(C3082,Config_Carteiras!$A:$B,2,FALSE),1),"")</f>
        <v>1</v>
      </c>
      <c r="F3082" s="25">
        <v>522</v>
      </c>
      <c r="G3082" s="28">
        <f>IF(LEFT(D3082,6)="CLIENT",IF(E3082=0,WORKDAY(A3082-1,1,Dias_Sem_Compensacao!$A$2:$A$500),WORKDAY(A3082,E3082,Dias_Sem_Compensacao!$A$2:$A$500)),"")</f>
        <v>46322</v>
      </c>
      <c r="H3082" s="25">
        <v>0</v>
      </c>
      <c r="I3082" s="28">
        <v>46321</v>
      </c>
      <c r="J3082" t="s">
        <v>2942</v>
      </c>
      <c r="K3082" t="s">
        <v>2943</v>
      </c>
    </row>
    <row r="3083" spans="1:11" hidden="1">
      <c r="A3083" s="28">
        <v>46321</v>
      </c>
      <c r="B3083" t="s">
        <v>186</v>
      </c>
      <c r="C3083" t="s">
        <v>203</v>
      </c>
      <c r="D3083" t="s">
        <v>217</v>
      </c>
      <c r="E3083">
        <f>IF(LEFT(D3083,6)="CLIENT",IFERROR(VLOOKUP(C3083,Config_Carteiras!$A:$B,2,FALSE),1),"")</f>
        <v>1</v>
      </c>
      <c r="F3083" s="25">
        <v>1217.7</v>
      </c>
      <c r="G3083" s="28">
        <f>IF(LEFT(D3083,6)="CLIENT",IF(E3083=0,WORKDAY(A3083-1,1,Dias_Sem_Compensacao!$A$2:$A$500),WORKDAY(A3083,E3083,Dias_Sem_Compensacao!$A$2:$A$500)),"")</f>
        <v>46322</v>
      </c>
      <c r="H3083" s="25">
        <v>0</v>
      </c>
      <c r="I3083" s="28">
        <v>46321</v>
      </c>
      <c r="J3083" t="s">
        <v>3337</v>
      </c>
      <c r="K3083" t="s">
        <v>3338</v>
      </c>
    </row>
    <row r="3084" spans="1:11" hidden="1">
      <c r="A3084" s="28">
        <v>46321</v>
      </c>
      <c r="B3084" t="s">
        <v>186</v>
      </c>
      <c r="C3084" t="s">
        <v>203</v>
      </c>
      <c r="D3084" t="s">
        <v>217</v>
      </c>
      <c r="E3084">
        <f>IF(LEFT(D3084,6)="CLIENT",IFERROR(VLOOKUP(C3084,Config_Carteiras!$A:$B,2,FALSE),1),"")</f>
        <v>1</v>
      </c>
      <c r="F3084" s="25">
        <v>16250</v>
      </c>
      <c r="G3084" s="28">
        <f>IF(LEFT(D3084,6)="CLIENT",IF(E3084=0,WORKDAY(A3084-1,1,Dias_Sem_Compensacao!$A$2:$A$500),WORKDAY(A3084,E3084,Dias_Sem_Compensacao!$A$2:$A$500)),"")</f>
        <v>46322</v>
      </c>
      <c r="H3084" s="25">
        <v>0</v>
      </c>
      <c r="I3084" s="28">
        <v>46321</v>
      </c>
      <c r="J3084" t="s">
        <v>1201</v>
      </c>
      <c r="K3084" t="s">
        <v>3339</v>
      </c>
    </row>
    <row r="3085" spans="1:11" hidden="1">
      <c r="A3085" s="28">
        <v>46321</v>
      </c>
      <c r="B3085" t="s">
        <v>186</v>
      </c>
      <c r="C3085" t="s">
        <v>203</v>
      </c>
      <c r="D3085" t="s">
        <v>217</v>
      </c>
      <c r="E3085">
        <f>IF(LEFT(D3085,6)="CLIENT",IFERROR(VLOOKUP(C3085,Config_Carteiras!$A:$B,2,FALSE),1),"")</f>
        <v>1</v>
      </c>
      <c r="F3085" s="25">
        <v>574</v>
      </c>
      <c r="G3085" s="28">
        <f>IF(LEFT(D3085,6)="CLIENT",IF(E3085=0,WORKDAY(A3085-1,1,Dias_Sem_Compensacao!$A$2:$A$500),WORKDAY(A3085,E3085,Dias_Sem_Compensacao!$A$2:$A$500)),"")</f>
        <v>46322</v>
      </c>
      <c r="H3085" s="25">
        <v>0</v>
      </c>
      <c r="I3085" s="28">
        <v>46321</v>
      </c>
      <c r="J3085" t="s">
        <v>3340</v>
      </c>
      <c r="K3085" t="s">
        <v>3341</v>
      </c>
    </row>
    <row r="3086" spans="1:11" hidden="1">
      <c r="A3086" s="28">
        <v>46321</v>
      </c>
      <c r="B3086" t="s">
        <v>186</v>
      </c>
      <c r="C3086" t="s">
        <v>203</v>
      </c>
      <c r="D3086" t="s">
        <v>217</v>
      </c>
      <c r="E3086">
        <f>IF(LEFT(D3086,6)="CLIENT",IFERROR(VLOOKUP(C3086,Config_Carteiras!$A:$B,2,FALSE),1),"")</f>
        <v>1</v>
      </c>
      <c r="F3086" s="25">
        <v>591.62</v>
      </c>
      <c r="G3086" s="28">
        <f>IF(LEFT(D3086,6)="CLIENT",IF(E3086=0,WORKDAY(A3086-1,1,Dias_Sem_Compensacao!$A$2:$A$500),WORKDAY(A3086,E3086,Dias_Sem_Compensacao!$A$2:$A$500)),"")</f>
        <v>46322</v>
      </c>
      <c r="H3086" s="25">
        <v>0</v>
      </c>
      <c r="I3086" s="28">
        <v>46321</v>
      </c>
      <c r="J3086" t="s">
        <v>3342</v>
      </c>
      <c r="K3086" t="s">
        <v>3343</v>
      </c>
    </row>
    <row r="3087" spans="1:11" hidden="1">
      <c r="A3087" s="28">
        <v>46321</v>
      </c>
      <c r="B3087" t="s">
        <v>186</v>
      </c>
      <c r="C3087" t="s">
        <v>203</v>
      </c>
      <c r="D3087" t="s">
        <v>217</v>
      </c>
      <c r="E3087">
        <f>IF(LEFT(D3087,6)="CLIENT",IFERROR(VLOOKUP(C3087,Config_Carteiras!$A:$B,2,FALSE),1),"")</f>
        <v>1</v>
      </c>
      <c r="F3087" s="25">
        <v>614</v>
      </c>
      <c r="G3087" s="28">
        <f>IF(LEFT(D3087,6)="CLIENT",IF(E3087=0,WORKDAY(A3087-1,1,Dias_Sem_Compensacao!$A$2:$A$500),WORKDAY(A3087,E3087,Dias_Sem_Compensacao!$A$2:$A$500)),"")</f>
        <v>46322</v>
      </c>
      <c r="H3087" s="25">
        <v>0</v>
      </c>
      <c r="I3087" s="28">
        <v>46321</v>
      </c>
      <c r="J3087" t="s">
        <v>2944</v>
      </c>
      <c r="K3087" t="s">
        <v>2945</v>
      </c>
    </row>
    <row r="3088" spans="1:11" hidden="1">
      <c r="A3088" s="28">
        <v>46321</v>
      </c>
      <c r="B3088" t="s">
        <v>186</v>
      </c>
      <c r="C3088" t="s">
        <v>203</v>
      </c>
      <c r="D3088" t="s">
        <v>217</v>
      </c>
      <c r="E3088">
        <f>IF(LEFT(D3088,6)="CLIENT",IFERROR(VLOOKUP(C3088,Config_Carteiras!$A:$B,2,FALSE),1),"")</f>
        <v>1</v>
      </c>
      <c r="F3088" s="25">
        <v>644</v>
      </c>
      <c r="G3088" s="28">
        <f>IF(LEFT(D3088,6)="CLIENT",IF(E3088=0,WORKDAY(A3088-1,1,Dias_Sem_Compensacao!$A$2:$A$500),WORKDAY(A3088,E3088,Dias_Sem_Compensacao!$A$2:$A$500)),"")</f>
        <v>46322</v>
      </c>
      <c r="H3088" s="25">
        <v>0</v>
      </c>
      <c r="I3088" s="28">
        <v>46321</v>
      </c>
      <c r="J3088" t="s">
        <v>1862</v>
      </c>
      <c r="K3088" t="s">
        <v>2946</v>
      </c>
    </row>
    <row r="3089" spans="1:11" hidden="1">
      <c r="A3089" s="28">
        <v>46321</v>
      </c>
      <c r="B3089" t="s">
        <v>186</v>
      </c>
      <c r="C3089" t="s">
        <v>203</v>
      </c>
      <c r="D3089" t="s">
        <v>217</v>
      </c>
      <c r="E3089">
        <f>IF(LEFT(D3089,6)="CLIENT",IFERROR(VLOOKUP(C3089,Config_Carteiras!$A:$B,2,FALSE),1),"")</f>
        <v>1</v>
      </c>
      <c r="F3089" s="25">
        <v>880.3</v>
      </c>
      <c r="G3089" s="28">
        <f>IF(LEFT(D3089,6)="CLIENT",IF(E3089=0,WORKDAY(A3089-1,1,Dias_Sem_Compensacao!$A$2:$A$500),WORKDAY(A3089,E3089,Dias_Sem_Compensacao!$A$2:$A$500)),"")</f>
        <v>46322</v>
      </c>
      <c r="H3089" s="25">
        <v>0</v>
      </c>
      <c r="I3089" s="28">
        <v>46321</v>
      </c>
      <c r="J3089" t="s">
        <v>2447</v>
      </c>
      <c r="K3089" t="s">
        <v>2448</v>
      </c>
    </row>
    <row r="3090" spans="1:11" hidden="1">
      <c r="A3090" s="28">
        <v>46321</v>
      </c>
      <c r="B3090" t="s">
        <v>186</v>
      </c>
      <c r="C3090" t="s">
        <v>203</v>
      </c>
      <c r="D3090" t="s">
        <v>217</v>
      </c>
      <c r="E3090">
        <f>IF(LEFT(D3090,6)="CLIENT",IFERROR(VLOOKUP(C3090,Config_Carteiras!$A:$B,2,FALSE),1),"")</f>
        <v>1</v>
      </c>
      <c r="F3090" s="25">
        <v>542</v>
      </c>
      <c r="G3090" s="28">
        <f>IF(LEFT(D3090,6)="CLIENT",IF(E3090=0,WORKDAY(A3090-1,1,Dias_Sem_Compensacao!$A$2:$A$500),WORKDAY(A3090,E3090,Dias_Sem_Compensacao!$A$2:$A$500)),"")</f>
        <v>46322</v>
      </c>
      <c r="H3090" s="25">
        <v>0</v>
      </c>
      <c r="I3090" s="28">
        <v>46321</v>
      </c>
      <c r="J3090" t="s">
        <v>2947</v>
      </c>
      <c r="K3090" t="s">
        <v>2948</v>
      </c>
    </row>
    <row r="3091" spans="1:11" hidden="1">
      <c r="A3091" s="28">
        <v>46321</v>
      </c>
      <c r="B3091" t="s">
        <v>186</v>
      </c>
      <c r="C3091" t="s">
        <v>203</v>
      </c>
      <c r="D3091" t="s">
        <v>217</v>
      </c>
      <c r="E3091">
        <f>IF(LEFT(D3091,6)="CLIENT",IFERROR(VLOOKUP(C3091,Config_Carteiras!$A:$B,2,FALSE),1),"")</f>
        <v>1</v>
      </c>
      <c r="F3091" s="25">
        <v>906.07</v>
      </c>
      <c r="G3091" s="28">
        <f>IF(LEFT(D3091,6)="CLIENT",IF(E3091=0,WORKDAY(A3091-1,1,Dias_Sem_Compensacao!$A$2:$A$500),WORKDAY(A3091,E3091,Dias_Sem_Compensacao!$A$2:$A$500)),"")</f>
        <v>46322</v>
      </c>
      <c r="H3091" s="25">
        <v>0</v>
      </c>
      <c r="I3091" s="28">
        <v>46321</v>
      </c>
      <c r="J3091" t="s">
        <v>2949</v>
      </c>
      <c r="K3091" t="s">
        <v>2950</v>
      </c>
    </row>
    <row r="3092" spans="1:11" hidden="1">
      <c r="A3092" s="28">
        <v>46321</v>
      </c>
      <c r="B3092" t="s">
        <v>186</v>
      </c>
      <c r="C3092" t="s">
        <v>203</v>
      </c>
      <c r="D3092" t="s">
        <v>217</v>
      </c>
      <c r="E3092">
        <f>IF(LEFT(D3092,6)="CLIENT",IFERROR(VLOOKUP(C3092,Config_Carteiras!$A:$B,2,FALSE),1),"")</f>
        <v>1</v>
      </c>
      <c r="F3092" s="25">
        <v>1656.45</v>
      </c>
      <c r="G3092" s="28">
        <f>IF(LEFT(D3092,6)="CLIENT",IF(E3092=0,WORKDAY(A3092-1,1,Dias_Sem_Compensacao!$A$2:$A$500),WORKDAY(A3092,E3092,Dias_Sem_Compensacao!$A$2:$A$500)),"")</f>
        <v>46322</v>
      </c>
      <c r="H3092" s="25">
        <v>0</v>
      </c>
      <c r="I3092" s="28">
        <v>46321</v>
      </c>
      <c r="J3092" t="s">
        <v>1367</v>
      </c>
      <c r="K3092" t="s">
        <v>2449</v>
      </c>
    </row>
    <row r="3093" spans="1:11" hidden="1">
      <c r="A3093" s="28">
        <v>46321</v>
      </c>
      <c r="B3093" t="s">
        <v>186</v>
      </c>
      <c r="C3093" t="s">
        <v>203</v>
      </c>
      <c r="D3093" t="s">
        <v>217</v>
      </c>
      <c r="E3093">
        <f>IF(LEFT(D3093,6)="CLIENT",IFERROR(VLOOKUP(C3093,Config_Carteiras!$A:$B,2,FALSE),1),"")</f>
        <v>1</v>
      </c>
      <c r="F3093" s="25">
        <v>587</v>
      </c>
      <c r="G3093" s="28">
        <f>IF(LEFT(D3093,6)="CLIENT",IF(E3093=0,WORKDAY(A3093-1,1,Dias_Sem_Compensacao!$A$2:$A$500),WORKDAY(A3093,E3093,Dias_Sem_Compensacao!$A$2:$A$500)),"")</f>
        <v>46322</v>
      </c>
      <c r="H3093" s="25">
        <v>0</v>
      </c>
      <c r="I3093" s="28">
        <v>46321</v>
      </c>
      <c r="J3093" t="s">
        <v>3344</v>
      </c>
      <c r="K3093" t="s">
        <v>3345</v>
      </c>
    </row>
    <row r="3094" spans="1:11" hidden="1">
      <c r="A3094" s="28">
        <v>46321</v>
      </c>
      <c r="B3094" t="s">
        <v>186</v>
      </c>
      <c r="C3094" t="s">
        <v>203</v>
      </c>
      <c r="D3094" t="s">
        <v>217</v>
      </c>
      <c r="E3094">
        <f>IF(LEFT(D3094,6)="CLIENT",IFERROR(VLOOKUP(C3094,Config_Carteiras!$A:$B,2,FALSE),1),"")</f>
        <v>1</v>
      </c>
      <c r="F3094" s="25">
        <v>821.89</v>
      </c>
      <c r="G3094" s="28">
        <f>IF(LEFT(D3094,6)="CLIENT",IF(E3094=0,WORKDAY(A3094-1,1,Dias_Sem_Compensacao!$A$2:$A$500),WORKDAY(A3094,E3094,Dias_Sem_Compensacao!$A$2:$A$500)),"")</f>
        <v>46322</v>
      </c>
      <c r="H3094" s="25">
        <v>0</v>
      </c>
      <c r="I3094" s="28">
        <v>46321</v>
      </c>
      <c r="J3094" t="s">
        <v>2452</v>
      </c>
      <c r="K3094" t="s">
        <v>2453</v>
      </c>
    </row>
    <row r="3095" spans="1:11" hidden="1">
      <c r="A3095" s="28">
        <v>46321</v>
      </c>
      <c r="B3095" t="s">
        <v>186</v>
      </c>
      <c r="C3095" t="s">
        <v>203</v>
      </c>
      <c r="D3095" t="s">
        <v>217</v>
      </c>
      <c r="E3095">
        <f>IF(LEFT(D3095,6)="CLIENT",IFERROR(VLOOKUP(C3095,Config_Carteiras!$A:$B,2,FALSE),1),"")</f>
        <v>1</v>
      </c>
      <c r="F3095" s="25">
        <v>2201</v>
      </c>
      <c r="G3095" s="28">
        <f>IF(LEFT(D3095,6)="CLIENT",IF(E3095=0,WORKDAY(A3095-1,1,Dias_Sem_Compensacao!$A$2:$A$500),WORKDAY(A3095,E3095,Dias_Sem_Compensacao!$A$2:$A$500)),"")</f>
        <v>46322</v>
      </c>
      <c r="H3095" s="25">
        <v>0</v>
      </c>
      <c r="I3095" s="28">
        <v>46321</v>
      </c>
      <c r="J3095" t="s">
        <v>3346</v>
      </c>
      <c r="K3095" t="s">
        <v>3347</v>
      </c>
    </row>
    <row r="3096" spans="1:11" hidden="1">
      <c r="A3096" s="28">
        <v>46321</v>
      </c>
      <c r="B3096" t="s">
        <v>186</v>
      </c>
      <c r="C3096" t="s">
        <v>203</v>
      </c>
      <c r="D3096" t="s">
        <v>217</v>
      </c>
      <c r="E3096">
        <f>IF(LEFT(D3096,6)="CLIENT",IFERROR(VLOOKUP(C3096,Config_Carteiras!$A:$B,2,FALSE),1),"")</f>
        <v>1</v>
      </c>
      <c r="F3096" s="25">
        <v>4790.9399999999996</v>
      </c>
      <c r="G3096" s="28">
        <f>IF(LEFT(D3096,6)="CLIENT",IF(E3096=0,WORKDAY(A3096-1,1,Dias_Sem_Compensacao!$A$2:$A$500),WORKDAY(A3096,E3096,Dias_Sem_Compensacao!$A$2:$A$500)),"")</f>
        <v>46322</v>
      </c>
      <c r="H3096" s="25">
        <v>0</v>
      </c>
      <c r="I3096" s="28">
        <v>46321</v>
      </c>
      <c r="J3096" t="s">
        <v>1016</v>
      </c>
      <c r="K3096" t="s">
        <v>1017</v>
      </c>
    </row>
    <row r="3097" spans="1:11" hidden="1">
      <c r="A3097" s="28">
        <v>46321</v>
      </c>
      <c r="B3097" t="s">
        <v>186</v>
      </c>
      <c r="C3097" t="s">
        <v>203</v>
      </c>
      <c r="D3097" t="s">
        <v>217</v>
      </c>
      <c r="E3097">
        <f>IF(LEFT(D3097,6)="CLIENT",IFERROR(VLOOKUP(C3097,Config_Carteiras!$A:$B,2,FALSE),1),"")</f>
        <v>1</v>
      </c>
      <c r="F3097" s="25">
        <v>3945</v>
      </c>
      <c r="G3097" s="28">
        <f>IF(LEFT(D3097,6)="CLIENT",IF(E3097=0,WORKDAY(A3097-1,1,Dias_Sem_Compensacao!$A$2:$A$500),WORKDAY(A3097,E3097,Dias_Sem_Compensacao!$A$2:$A$500)),"")</f>
        <v>46322</v>
      </c>
      <c r="H3097" s="25">
        <v>0</v>
      </c>
      <c r="I3097" s="28">
        <v>46321</v>
      </c>
      <c r="K3097" t="s">
        <v>2613</v>
      </c>
    </row>
    <row r="3098" spans="1:11" hidden="1">
      <c r="A3098" s="28">
        <v>46321</v>
      </c>
      <c r="B3098" t="s">
        <v>186</v>
      </c>
      <c r="C3098" t="s">
        <v>203</v>
      </c>
      <c r="D3098" t="s">
        <v>217</v>
      </c>
      <c r="E3098">
        <f>IF(LEFT(D3098,6)="CLIENT",IFERROR(VLOOKUP(C3098,Config_Carteiras!$A:$B,2,FALSE),1),"")</f>
        <v>1</v>
      </c>
      <c r="F3098" s="25">
        <v>1280</v>
      </c>
      <c r="G3098" s="28">
        <f>IF(LEFT(D3098,6)="CLIENT",IF(E3098=0,WORKDAY(A3098-1,1,Dias_Sem_Compensacao!$A$2:$A$500),WORKDAY(A3098,E3098,Dias_Sem_Compensacao!$A$2:$A$500)),"")</f>
        <v>46322</v>
      </c>
      <c r="H3098" s="25">
        <v>0</v>
      </c>
      <c r="I3098" s="28">
        <v>46321</v>
      </c>
      <c r="J3098" t="s">
        <v>554</v>
      </c>
      <c r="K3098" t="s">
        <v>2464</v>
      </c>
    </row>
    <row r="3099" spans="1:11" hidden="1">
      <c r="A3099" s="28">
        <v>46321</v>
      </c>
      <c r="B3099" t="s">
        <v>186</v>
      </c>
      <c r="C3099" t="s">
        <v>203</v>
      </c>
      <c r="D3099" t="s">
        <v>217</v>
      </c>
      <c r="E3099">
        <f>IF(LEFT(D3099,6)="CLIENT",IFERROR(VLOOKUP(C3099,Config_Carteiras!$A:$B,2,FALSE),1),"")</f>
        <v>1</v>
      </c>
      <c r="F3099" s="25">
        <v>966</v>
      </c>
      <c r="G3099" s="28">
        <f>IF(LEFT(D3099,6)="CLIENT",IF(E3099=0,WORKDAY(A3099-1,1,Dias_Sem_Compensacao!$A$2:$A$500),WORKDAY(A3099,E3099,Dias_Sem_Compensacao!$A$2:$A$500)),"")</f>
        <v>46322</v>
      </c>
      <c r="H3099" s="25">
        <v>0</v>
      </c>
      <c r="I3099" s="28">
        <v>46321</v>
      </c>
      <c r="J3099" t="s">
        <v>1870</v>
      </c>
      <c r="K3099" t="s">
        <v>3348</v>
      </c>
    </row>
    <row r="3100" spans="1:11" hidden="1">
      <c r="A3100" s="28">
        <v>46321</v>
      </c>
      <c r="B3100" t="s">
        <v>186</v>
      </c>
      <c r="C3100" t="s">
        <v>203</v>
      </c>
      <c r="D3100" t="s">
        <v>217</v>
      </c>
      <c r="E3100">
        <f>IF(LEFT(D3100,6)="CLIENT",IFERROR(VLOOKUP(C3100,Config_Carteiras!$A:$B,2,FALSE),1),"")</f>
        <v>1</v>
      </c>
      <c r="F3100" s="25">
        <v>5045.0200000000004</v>
      </c>
      <c r="G3100" s="28">
        <f>IF(LEFT(D3100,6)="CLIENT",IF(E3100=0,WORKDAY(A3100-1,1,Dias_Sem_Compensacao!$A$2:$A$500),WORKDAY(A3100,E3100,Dias_Sem_Compensacao!$A$2:$A$500)),"")</f>
        <v>46322</v>
      </c>
      <c r="H3100" s="25">
        <v>0</v>
      </c>
      <c r="I3100" s="28">
        <v>46321</v>
      </c>
      <c r="J3100" t="s">
        <v>3349</v>
      </c>
      <c r="K3100" t="s">
        <v>3350</v>
      </c>
    </row>
    <row r="3101" spans="1:11" hidden="1">
      <c r="A3101" s="28">
        <v>46321</v>
      </c>
      <c r="B3101" t="s">
        <v>186</v>
      </c>
      <c r="C3101" t="s">
        <v>203</v>
      </c>
      <c r="D3101" t="s">
        <v>217</v>
      </c>
      <c r="E3101">
        <f>IF(LEFT(D3101,6)="CLIENT",IFERROR(VLOOKUP(C3101,Config_Carteiras!$A:$B,2,FALSE),1),"")</f>
        <v>1</v>
      </c>
      <c r="F3101" s="25">
        <v>771.9</v>
      </c>
      <c r="G3101" s="28">
        <f>IF(LEFT(D3101,6)="CLIENT",IF(E3101=0,WORKDAY(A3101-1,1,Dias_Sem_Compensacao!$A$2:$A$500),WORKDAY(A3101,E3101,Dias_Sem_Compensacao!$A$2:$A$500)),"")</f>
        <v>46322</v>
      </c>
      <c r="H3101" s="25">
        <v>0</v>
      </c>
      <c r="I3101" s="28">
        <v>46321</v>
      </c>
      <c r="J3101" t="s">
        <v>1039</v>
      </c>
      <c r="K3101" t="s">
        <v>3351</v>
      </c>
    </row>
    <row r="3102" spans="1:11" hidden="1">
      <c r="A3102" s="28">
        <v>46321</v>
      </c>
      <c r="B3102" t="s">
        <v>186</v>
      </c>
      <c r="C3102" t="s">
        <v>203</v>
      </c>
      <c r="D3102" t="s">
        <v>217</v>
      </c>
      <c r="E3102">
        <f>IF(LEFT(D3102,6)="CLIENT",IFERROR(VLOOKUP(C3102,Config_Carteiras!$A:$B,2,FALSE),1),"")</f>
        <v>1</v>
      </c>
      <c r="F3102" s="25">
        <v>327.32</v>
      </c>
      <c r="G3102" s="28">
        <f>IF(LEFT(D3102,6)="CLIENT",IF(E3102=0,WORKDAY(A3102-1,1,Dias_Sem_Compensacao!$A$2:$A$500),WORKDAY(A3102,E3102,Dias_Sem_Compensacao!$A$2:$A$500)),"")</f>
        <v>46322</v>
      </c>
      <c r="H3102" s="25">
        <v>0</v>
      </c>
      <c r="I3102" s="28">
        <v>46321</v>
      </c>
      <c r="J3102" t="s">
        <v>2467</v>
      </c>
      <c r="K3102" t="s">
        <v>2468</v>
      </c>
    </row>
    <row r="3103" spans="1:11" hidden="1">
      <c r="A3103" s="28">
        <v>46321</v>
      </c>
      <c r="B3103" t="s">
        <v>186</v>
      </c>
      <c r="C3103" t="s">
        <v>203</v>
      </c>
      <c r="D3103" t="s">
        <v>217</v>
      </c>
      <c r="E3103">
        <f>IF(LEFT(D3103,6)="CLIENT",IFERROR(VLOOKUP(C3103,Config_Carteiras!$A:$B,2,FALSE),1),"")</f>
        <v>1</v>
      </c>
      <c r="F3103" s="25">
        <v>555</v>
      </c>
      <c r="G3103" s="28">
        <f>IF(LEFT(D3103,6)="CLIENT",IF(E3103=0,WORKDAY(A3103-1,1,Dias_Sem_Compensacao!$A$2:$A$500),WORKDAY(A3103,E3103,Dias_Sem_Compensacao!$A$2:$A$500)),"")</f>
        <v>46322</v>
      </c>
      <c r="H3103" s="25">
        <v>0</v>
      </c>
      <c r="I3103" s="28">
        <v>46321</v>
      </c>
      <c r="J3103" t="s">
        <v>3352</v>
      </c>
      <c r="K3103" t="s">
        <v>3353</v>
      </c>
    </row>
    <row r="3104" spans="1:11" hidden="1">
      <c r="A3104" s="28">
        <v>46321</v>
      </c>
      <c r="B3104" t="s">
        <v>186</v>
      </c>
      <c r="C3104" t="s">
        <v>203</v>
      </c>
      <c r="D3104" t="s">
        <v>217</v>
      </c>
      <c r="E3104">
        <f>IF(LEFT(D3104,6)="CLIENT",IFERROR(VLOOKUP(C3104,Config_Carteiras!$A:$B,2,FALSE),1),"")</f>
        <v>1</v>
      </c>
      <c r="F3104" s="25">
        <v>464</v>
      </c>
      <c r="G3104" s="28">
        <f>IF(LEFT(D3104,6)="CLIENT",IF(E3104=0,WORKDAY(A3104-1,1,Dias_Sem_Compensacao!$A$2:$A$500),WORKDAY(A3104,E3104,Dias_Sem_Compensacao!$A$2:$A$500)),"")</f>
        <v>46322</v>
      </c>
      <c r="H3104" s="25">
        <v>0</v>
      </c>
      <c r="I3104" s="28">
        <v>46321</v>
      </c>
      <c r="J3104" t="s">
        <v>2952</v>
      </c>
      <c r="K3104" t="s">
        <v>2953</v>
      </c>
    </row>
    <row r="3105" spans="1:11" hidden="1">
      <c r="A3105" s="28">
        <v>46321</v>
      </c>
      <c r="B3105" t="s">
        <v>186</v>
      </c>
      <c r="C3105" t="s">
        <v>203</v>
      </c>
      <c r="D3105" t="s">
        <v>217</v>
      </c>
      <c r="E3105">
        <f>IF(LEFT(D3105,6)="CLIENT",IFERROR(VLOOKUP(C3105,Config_Carteiras!$A:$B,2,FALSE),1),"")</f>
        <v>1</v>
      </c>
      <c r="F3105" s="25">
        <v>2813</v>
      </c>
      <c r="G3105" s="28">
        <f>IF(LEFT(D3105,6)="CLIENT",IF(E3105=0,WORKDAY(A3105-1,1,Dias_Sem_Compensacao!$A$2:$A$500),WORKDAY(A3105,E3105,Dias_Sem_Compensacao!$A$2:$A$500)),"")</f>
        <v>46322</v>
      </c>
      <c r="H3105" s="25">
        <v>0</v>
      </c>
      <c r="I3105" s="28">
        <v>46321</v>
      </c>
      <c r="J3105" t="s">
        <v>3354</v>
      </c>
      <c r="K3105" t="s">
        <v>3355</v>
      </c>
    </row>
    <row r="3106" spans="1:11" hidden="1">
      <c r="A3106" s="28">
        <v>46321</v>
      </c>
      <c r="B3106" t="s">
        <v>186</v>
      </c>
      <c r="C3106" t="s">
        <v>203</v>
      </c>
      <c r="D3106" t="s">
        <v>217</v>
      </c>
      <c r="E3106">
        <f>IF(LEFT(D3106,6)="CLIENT",IFERROR(VLOOKUP(C3106,Config_Carteiras!$A:$B,2,FALSE),1),"")</f>
        <v>1</v>
      </c>
      <c r="F3106" s="25">
        <v>555</v>
      </c>
      <c r="G3106" s="28">
        <f>IF(LEFT(D3106,6)="CLIENT",IF(E3106=0,WORKDAY(A3106-1,1,Dias_Sem_Compensacao!$A$2:$A$500),WORKDAY(A3106,E3106,Dias_Sem_Compensacao!$A$2:$A$500)),"")</f>
        <v>46322</v>
      </c>
      <c r="H3106" s="25">
        <v>0</v>
      </c>
      <c r="I3106" s="28">
        <v>46321</v>
      </c>
      <c r="J3106" t="s">
        <v>3356</v>
      </c>
      <c r="K3106" t="s">
        <v>3357</v>
      </c>
    </row>
    <row r="3107" spans="1:11" hidden="1">
      <c r="A3107" s="28">
        <v>46321</v>
      </c>
      <c r="B3107" t="s">
        <v>186</v>
      </c>
      <c r="C3107" t="s">
        <v>203</v>
      </c>
      <c r="D3107" t="s">
        <v>217</v>
      </c>
      <c r="E3107">
        <f>IF(LEFT(D3107,6)="CLIENT",IFERROR(VLOOKUP(C3107,Config_Carteiras!$A:$B,2,FALSE),1),"")</f>
        <v>1</v>
      </c>
      <c r="F3107" s="25">
        <v>1213</v>
      </c>
      <c r="G3107" s="28">
        <f>IF(LEFT(D3107,6)="CLIENT",IF(E3107=0,WORKDAY(A3107-1,1,Dias_Sem_Compensacao!$A$2:$A$500),WORKDAY(A3107,E3107,Dias_Sem_Compensacao!$A$2:$A$500)),"")</f>
        <v>46322</v>
      </c>
      <c r="H3107" s="25">
        <v>0</v>
      </c>
      <c r="I3107" s="28">
        <v>46321</v>
      </c>
      <c r="J3107" t="s">
        <v>2954</v>
      </c>
      <c r="K3107" t="s">
        <v>2955</v>
      </c>
    </row>
    <row r="3108" spans="1:11" hidden="1">
      <c r="A3108" s="28">
        <v>46321</v>
      </c>
      <c r="B3108" t="s">
        <v>186</v>
      </c>
      <c r="C3108" t="s">
        <v>203</v>
      </c>
      <c r="D3108" t="s">
        <v>217</v>
      </c>
      <c r="E3108">
        <f>IF(LEFT(D3108,6)="CLIENT",IFERROR(VLOOKUP(C3108,Config_Carteiras!$A:$B,2,FALSE),1),"")</f>
        <v>1</v>
      </c>
      <c r="F3108" s="25">
        <v>1266.17</v>
      </c>
      <c r="G3108" s="28">
        <f>IF(LEFT(D3108,6)="CLIENT",IF(E3108=0,WORKDAY(A3108-1,1,Dias_Sem_Compensacao!$A$2:$A$500),WORKDAY(A3108,E3108,Dias_Sem_Compensacao!$A$2:$A$500)),"")</f>
        <v>46322</v>
      </c>
      <c r="H3108" s="25">
        <v>0</v>
      </c>
      <c r="I3108" s="28">
        <v>46321</v>
      </c>
      <c r="J3108" t="s">
        <v>3358</v>
      </c>
      <c r="K3108" t="s">
        <v>3359</v>
      </c>
    </row>
    <row r="3109" spans="1:11" hidden="1">
      <c r="A3109" s="28">
        <v>46321</v>
      </c>
      <c r="B3109" t="s">
        <v>186</v>
      </c>
      <c r="C3109" t="s">
        <v>203</v>
      </c>
      <c r="D3109" t="s">
        <v>217</v>
      </c>
      <c r="E3109">
        <f>IF(LEFT(D3109,6)="CLIENT",IFERROR(VLOOKUP(C3109,Config_Carteiras!$A:$B,2,FALSE),1),"")</f>
        <v>1</v>
      </c>
      <c r="F3109" s="25">
        <v>1424.34</v>
      </c>
      <c r="G3109" s="28">
        <f>IF(LEFT(D3109,6)="CLIENT",IF(E3109=0,WORKDAY(A3109-1,1,Dias_Sem_Compensacao!$A$2:$A$500),WORKDAY(A3109,E3109,Dias_Sem_Compensacao!$A$2:$A$500)),"")</f>
        <v>46322</v>
      </c>
      <c r="H3109" s="25">
        <v>0</v>
      </c>
      <c r="I3109" s="28">
        <v>46321</v>
      </c>
      <c r="J3109" t="s">
        <v>3360</v>
      </c>
      <c r="K3109" t="s">
        <v>3361</v>
      </c>
    </row>
    <row r="3110" spans="1:11" hidden="1">
      <c r="A3110" s="28">
        <v>46321</v>
      </c>
      <c r="B3110" t="s">
        <v>186</v>
      </c>
      <c r="C3110" t="s">
        <v>203</v>
      </c>
      <c r="D3110" t="s">
        <v>217</v>
      </c>
      <c r="E3110">
        <f>IF(LEFT(D3110,6)="CLIENT",IFERROR(VLOOKUP(C3110,Config_Carteiras!$A:$B,2,FALSE),1),"")</f>
        <v>1</v>
      </c>
      <c r="F3110" s="25">
        <v>1213</v>
      </c>
      <c r="G3110" s="28">
        <f>IF(LEFT(D3110,6)="CLIENT",IF(E3110=0,WORKDAY(A3110-1,1,Dias_Sem_Compensacao!$A$2:$A$500),WORKDAY(A3110,E3110,Dias_Sem_Compensacao!$A$2:$A$500)),"")</f>
        <v>46322</v>
      </c>
      <c r="H3110" s="25">
        <v>0</v>
      </c>
      <c r="I3110" s="28">
        <v>46321</v>
      </c>
      <c r="J3110" t="s">
        <v>2956</v>
      </c>
      <c r="K3110" t="s">
        <v>2957</v>
      </c>
    </row>
    <row r="3111" spans="1:11" hidden="1">
      <c r="A3111" s="28">
        <v>46321</v>
      </c>
      <c r="B3111" t="s">
        <v>186</v>
      </c>
      <c r="C3111" t="s">
        <v>203</v>
      </c>
      <c r="D3111" t="s">
        <v>217</v>
      </c>
      <c r="E3111">
        <f>IF(LEFT(D3111,6)="CLIENT",IFERROR(VLOOKUP(C3111,Config_Carteiras!$A:$B,2,FALSE),1),"")</f>
        <v>1</v>
      </c>
      <c r="F3111" s="25">
        <v>1185.83</v>
      </c>
      <c r="G3111" s="28">
        <f>IF(LEFT(D3111,6)="CLIENT",IF(E3111=0,WORKDAY(A3111-1,1,Dias_Sem_Compensacao!$A$2:$A$500),WORKDAY(A3111,E3111,Dias_Sem_Compensacao!$A$2:$A$500)),"")</f>
        <v>46322</v>
      </c>
      <c r="H3111" s="25">
        <v>0</v>
      </c>
      <c r="I3111" s="28">
        <v>46321</v>
      </c>
      <c r="J3111" t="s">
        <v>2958</v>
      </c>
      <c r="K3111" t="s">
        <v>2959</v>
      </c>
    </row>
    <row r="3112" spans="1:11" hidden="1">
      <c r="A3112" s="28">
        <v>46321</v>
      </c>
      <c r="B3112" t="s">
        <v>186</v>
      </c>
      <c r="C3112" t="s">
        <v>203</v>
      </c>
      <c r="D3112" t="s">
        <v>217</v>
      </c>
      <c r="E3112">
        <f>IF(LEFT(D3112,6)="CLIENT",IFERROR(VLOOKUP(C3112,Config_Carteiras!$A:$B,2,FALSE),1),"")</f>
        <v>1</v>
      </c>
      <c r="F3112" s="25">
        <v>1818.09</v>
      </c>
      <c r="G3112" s="28">
        <f>IF(LEFT(D3112,6)="CLIENT",IF(E3112=0,WORKDAY(A3112-1,1,Dias_Sem_Compensacao!$A$2:$A$500),WORKDAY(A3112,E3112,Dias_Sem_Compensacao!$A$2:$A$500)),"")</f>
        <v>46322</v>
      </c>
      <c r="H3112" s="25">
        <v>0</v>
      </c>
      <c r="I3112" s="28">
        <v>46321</v>
      </c>
      <c r="J3112" t="s">
        <v>3362</v>
      </c>
      <c r="K3112" t="s">
        <v>3363</v>
      </c>
    </row>
    <row r="3113" spans="1:11" hidden="1">
      <c r="A3113" s="28">
        <v>46321</v>
      </c>
      <c r="B3113" t="s">
        <v>186</v>
      </c>
      <c r="C3113" t="s">
        <v>203</v>
      </c>
      <c r="D3113" t="s">
        <v>217</v>
      </c>
      <c r="E3113">
        <f>IF(LEFT(D3113,6)="CLIENT",IFERROR(VLOOKUP(C3113,Config_Carteiras!$A:$B,2,FALSE),1),"")</f>
        <v>1</v>
      </c>
      <c r="F3113" s="25">
        <v>577</v>
      </c>
      <c r="G3113" s="28">
        <f>IF(LEFT(D3113,6)="CLIENT",IF(E3113=0,WORKDAY(A3113-1,1,Dias_Sem_Compensacao!$A$2:$A$500),WORKDAY(A3113,E3113,Dias_Sem_Compensacao!$A$2:$A$500)),"")</f>
        <v>46322</v>
      </c>
      <c r="H3113" s="25">
        <v>0</v>
      </c>
      <c r="I3113" s="28">
        <v>46321</v>
      </c>
      <c r="J3113" t="s">
        <v>2962</v>
      </c>
      <c r="K3113" t="s">
        <v>2963</v>
      </c>
    </row>
    <row r="3114" spans="1:11" hidden="1">
      <c r="A3114" s="28">
        <v>46321</v>
      </c>
      <c r="B3114" t="s">
        <v>186</v>
      </c>
      <c r="C3114" t="s">
        <v>203</v>
      </c>
      <c r="D3114" t="s">
        <v>217</v>
      </c>
      <c r="E3114">
        <f>IF(LEFT(D3114,6)="CLIENT",IFERROR(VLOOKUP(C3114,Config_Carteiras!$A:$B,2,FALSE),1),"")</f>
        <v>1</v>
      </c>
      <c r="F3114" s="25">
        <v>674.2</v>
      </c>
      <c r="G3114" s="28">
        <f>IF(LEFT(D3114,6)="CLIENT",IF(E3114=0,WORKDAY(A3114-1,1,Dias_Sem_Compensacao!$A$2:$A$500),WORKDAY(A3114,E3114,Dias_Sem_Compensacao!$A$2:$A$500)),"")</f>
        <v>46322</v>
      </c>
      <c r="H3114" s="25">
        <v>0</v>
      </c>
      <c r="I3114" s="28">
        <v>46321</v>
      </c>
      <c r="J3114" t="s">
        <v>3364</v>
      </c>
      <c r="K3114" t="s">
        <v>3365</v>
      </c>
    </row>
    <row r="3115" spans="1:11" hidden="1">
      <c r="A3115" s="28">
        <v>46321</v>
      </c>
      <c r="B3115" t="s">
        <v>186</v>
      </c>
      <c r="C3115" t="s">
        <v>203</v>
      </c>
      <c r="D3115" t="s">
        <v>217</v>
      </c>
      <c r="E3115">
        <f>IF(LEFT(D3115,6)="CLIENT",IFERROR(VLOOKUP(C3115,Config_Carteiras!$A:$B,2,FALSE),1),"")</f>
        <v>1</v>
      </c>
      <c r="F3115" s="25">
        <v>829</v>
      </c>
      <c r="G3115" s="28">
        <f>IF(LEFT(D3115,6)="CLIENT",IF(E3115=0,WORKDAY(A3115-1,1,Dias_Sem_Compensacao!$A$2:$A$500),WORKDAY(A3115,E3115,Dias_Sem_Compensacao!$A$2:$A$500)),"")</f>
        <v>46322</v>
      </c>
      <c r="H3115" s="25">
        <v>0</v>
      </c>
      <c r="I3115" s="28">
        <v>46321</v>
      </c>
      <c r="J3115" t="s">
        <v>2966</v>
      </c>
      <c r="K3115" t="s">
        <v>2967</v>
      </c>
    </row>
    <row r="3116" spans="1:11" hidden="1">
      <c r="A3116" s="28">
        <v>46321</v>
      </c>
      <c r="B3116" t="s">
        <v>186</v>
      </c>
      <c r="C3116" t="s">
        <v>203</v>
      </c>
      <c r="D3116" t="s">
        <v>217</v>
      </c>
      <c r="E3116">
        <f>IF(LEFT(D3116,6)="CLIENT",IFERROR(VLOOKUP(C3116,Config_Carteiras!$A:$B,2,FALSE),1),"")</f>
        <v>1</v>
      </c>
      <c r="F3116" s="25">
        <v>666</v>
      </c>
      <c r="G3116" s="28">
        <f>IF(LEFT(D3116,6)="CLIENT",IF(E3116=0,WORKDAY(A3116-1,1,Dias_Sem_Compensacao!$A$2:$A$500),WORKDAY(A3116,E3116,Dias_Sem_Compensacao!$A$2:$A$500)),"")</f>
        <v>46322</v>
      </c>
      <c r="H3116" s="25">
        <v>0</v>
      </c>
      <c r="I3116" s="28">
        <v>46321</v>
      </c>
      <c r="J3116" t="s">
        <v>1592</v>
      </c>
      <c r="K3116" t="s">
        <v>3366</v>
      </c>
    </row>
    <row r="3117" spans="1:11" hidden="1">
      <c r="A3117" s="28">
        <v>46321</v>
      </c>
      <c r="B3117" t="s">
        <v>186</v>
      </c>
      <c r="C3117" t="s">
        <v>203</v>
      </c>
      <c r="D3117" t="s">
        <v>217</v>
      </c>
      <c r="E3117">
        <f>IF(LEFT(D3117,6)="CLIENT",IFERROR(VLOOKUP(C3117,Config_Carteiras!$A:$B,2,FALSE),1),"")</f>
        <v>1</v>
      </c>
      <c r="F3117" s="25">
        <v>1709</v>
      </c>
      <c r="G3117" s="28">
        <f>IF(LEFT(D3117,6)="CLIENT",IF(E3117=0,WORKDAY(A3117-1,1,Dias_Sem_Compensacao!$A$2:$A$500),WORKDAY(A3117,E3117,Dias_Sem_Compensacao!$A$2:$A$500)),"")</f>
        <v>46322</v>
      </c>
      <c r="H3117" s="25">
        <v>0</v>
      </c>
      <c r="I3117" s="28">
        <v>46321</v>
      </c>
      <c r="J3117" t="s">
        <v>1401</v>
      </c>
      <c r="K3117" t="s">
        <v>2973</v>
      </c>
    </row>
    <row r="3118" spans="1:11" hidden="1">
      <c r="A3118" s="28">
        <v>46321</v>
      </c>
      <c r="B3118" t="s">
        <v>186</v>
      </c>
      <c r="C3118" t="s">
        <v>203</v>
      </c>
      <c r="D3118" t="s">
        <v>217</v>
      </c>
      <c r="E3118">
        <f>IF(LEFT(D3118,6)="CLIENT",IFERROR(VLOOKUP(C3118,Config_Carteiras!$A:$B,2,FALSE),1),"")</f>
        <v>1</v>
      </c>
      <c r="F3118" s="25">
        <v>1006</v>
      </c>
      <c r="G3118" s="28">
        <f>IF(LEFT(D3118,6)="CLIENT",IF(E3118=0,WORKDAY(A3118-1,1,Dias_Sem_Compensacao!$A$2:$A$500),WORKDAY(A3118,E3118,Dias_Sem_Compensacao!$A$2:$A$500)),"")</f>
        <v>46322</v>
      </c>
      <c r="H3118" s="25">
        <v>0</v>
      </c>
      <c r="I3118" s="28">
        <v>46321</v>
      </c>
      <c r="J3118" t="s">
        <v>2974</v>
      </c>
      <c r="K3118" t="s">
        <v>2975</v>
      </c>
    </row>
    <row r="3119" spans="1:11" hidden="1">
      <c r="A3119" s="28">
        <v>46321</v>
      </c>
      <c r="B3119" t="s">
        <v>186</v>
      </c>
      <c r="C3119" t="s">
        <v>203</v>
      </c>
      <c r="D3119" t="s">
        <v>217</v>
      </c>
      <c r="E3119">
        <f>IF(LEFT(D3119,6)="CLIENT",IFERROR(VLOOKUP(C3119,Config_Carteiras!$A:$B,2,FALSE),1),"")</f>
        <v>1</v>
      </c>
      <c r="F3119" s="25">
        <v>1034</v>
      </c>
      <c r="G3119" s="28">
        <f>IF(LEFT(D3119,6)="CLIENT",IF(E3119=0,WORKDAY(A3119-1,1,Dias_Sem_Compensacao!$A$2:$A$500),WORKDAY(A3119,E3119,Dias_Sem_Compensacao!$A$2:$A$500)),"")</f>
        <v>46322</v>
      </c>
      <c r="H3119" s="25">
        <v>0</v>
      </c>
      <c r="I3119" s="28">
        <v>46321</v>
      </c>
      <c r="J3119" t="s">
        <v>2979</v>
      </c>
      <c r="K3119" t="s">
        <v>2980</v>
      </c>
    </row>
    <row r="3120" spans="1:11" hidden="1">
      <c r="A3120" s="28">
        <v>46321</v>
      </c>
      <c r="B3120" t="s">
        <v>186</v>
      </c>
      <c r="C3120" t="s">
        <v>203</v>
      </c>
      <c r="D3120" t="s">
        <v>217</v>
      </c>
      <c r="E3120">
        <f>IF(LEFT(D3120,6)="CLIENT",IFERROR(VLOOKUP(C3120,Config_Carteiras!$A:$B,2,FALSE),1),"")</f>
        <v>1</v>
      </c>
      <c r="F3120" s="25">
        <v>820</v>
      </c>
      <c r="G3120" s="28">
        <f>IF(LEFT(D3120,6)="CLIENT",IF(E3120=0,WORKDAY(A3120-1,1,Dias_Sem_Compensacao!$A$2:$A$500),WORKDAY(A3120,E3120,Dias_Sem_Compensacao!$A$2:$A$500)),"")</f>
        <v>46322</v>
      </c>
      <c r="H3120" s="25">
        <v>0</v>
      </c>
      <c r="I3120" s="28">
        <v>46321</v>
      </c>
      <c r="J3120" t="s">
        <v>3367</v>
      </c>
      <c r="K3120" t="s">
        <v>3368</v>
      </c>
    </row>
    <row r="3121" spans="1:11" hidden="1">
      <c r="A3121" s="28">
        <v>46321</v>
      </c>
      <c r="B3121" t="s">
        <v>186</v>
      </c>
      <c r="C3121" t="s">
        <v>203</v>
      </c>
      <c r="D3121" t="s">
        <v>217</v>
      </c>
      <c r="E3121">
        <f>IF(LEFT(D3121,6)="CLIENT",IFERROR(VLOOKUP(C3121,Config_Carteiras!$A:$B,2,FALSE),1),"")</f>
        <v>1</v>
      </c>
      <c r="F3121" s="25">
        <v>1225.92</v>
      </c>
      <c r="G3121" s="28">
        <f>IF(LEFT(D3121,6)="CLIENT",IF(E3121=0,WORKDAY(A3121-1,1,Dias_Sem_Compensacao!$A$2:$A$500),WORKDAY(A3121,E3121,Dias_Sem_Compensacao!$A$2:$A$500)),"")</f>
        <v>46322</v>
      </c>
      <c r="H3121" s="25">
        <v>0</v>
      </c>
      <c r="I3121" s="28">
        <v>46321</v>
      </c>
      <c r="J3121" t="s">
        <v>2518</v>
      </c>
      <c r="K3121" t="s">
        <v>2519</v>
      </c>
    </row>
    <row r="3122" spans="1:11" hidden="1">
      <c r="A3122" s="28">
        <v>46321</v>
      </c>
      <c r="B3122" t="s">
        <v>186</v>
      </c>
      <c r="C3122" t="s">
        <v>203</v>
      </c>
      <c r="D3122" t="s">
        <v>217</v>
      </c>
      <c r="E3122">
        <f>IF(LEFT(D3122,6)="CLIENT",IFERROR(VLOOKUP(C3122,Config_Carteiras!$A:$B,2,FALSE),1),"")</f>
        <v>1</v>
      </c>
      <c r="F3122" s="25">
        <v>672</v>
      </c>
      <c r="G3122" s="28">
        <f>IF(LEFT(D3122,6)="CLIENT",IF(E3122=0,WORKDAY(A3122-1,1,Dias_Sem_Compensacao!$A$2:$A$500),WORKDAY(A3122,E3122,Dias_Sem_Compensacao!$A$2:$A$500)),"")</f>
        <v>46322</v>
      </c>
      <c r="H3122" s="25">
        <v>0</v>
      </c>
      <c r="I3122" s="28">
        <v>46321</v>
      </c>
      <c r="J3122" t="s">
        <v>2981</v>
      </c>
      <c r="K3122" t="s">
        <v>2982</v>
      </c>
    </row>
    <row r="3123" spans="1:11" hidden="1">
      <c r="A3123" s="28">
        <v>46321</v>
      </c>
      <c r="B3123" t="s">
        <v>186</v>
      </c>
      <c r="C3123" t="s">
        <v>203</v>
      </c>
      <c r="D3123" t="s">
        <v>217</v>
      </c>
      <c r="E3123">
        <f>IF(LEFT(D3123,6)="CLIENT",IFERROR(VLOOKUP(C3123,Config_Carteiras!$A:$B,2,FALSE),1),"")</f>
        <v>1</v>
      </c>
      <c r="F3123" s="25">
        <v>709.95</v>
      </c>
      <c r="G3123" s="28">
        <f>IF(LEFT(D3123,6)="CLIENT",IF(E3123=0,WORKDAY(A3123-1,1,Dias_Sem_Compensacao!$A$2:$A$500),WORKDAY(A3123,E3123,Dias_Sem_Compensacao!$A$2:$A$500)),"")</f>
        <v>46322</v>
      </c>
      <c r="H3123" s="25">
        <v>0</v>
      </c>
      <c r="I3123" s="28">
        <v>46321</v>
      </c>
      <c r="J3123" t="s">
        <v>2773</v>
      </c>
      <c r="K3123" t="s">
        <v>3369</v>
      </c>
    </row>
    <row r="3124" spans="1:11" hidden="1">
      <c r="A3124" s="28">
        <v>46321</v>
      </c>
      <c r="B3124" t="s">
        <v>186</v>
      </c>
      <c r="C3124" t="s">
        <v>203</v>
      </c>
      <c r="D3124" t="s">
        <v>217</v>
      </c>
      <c r="E3124">
        <f>IF(LEFT(D3124,6)="CLIENT",IFERROR(VLOOKUP(C3124,Config_Carteiras!$A:$B,2,FALSE),1),"")</f>
        <v>1</v>
      </c>
      <c r="F3124" s="25">
        <v>636.32000000000005</v>
      </c>
      <c r="G3124" s="28">
        <f>IF(LEFT(D3124,6)="CLIENT",IF(E3124=0,WORKDAY(A3124-1,1,Dias_Sem_Compensacao!$A$2:$A$500),WORKDAY(A3124,E3124,Dias_Sem_Compensacao!$A$2:$A$500)),"")</f>
        <v>46322</v>
      </c>
      <c r="H3124" s="25">
        <v>0</v>
      </c>
      <c r="I3124" s="28">
        <v>46321</v>
      </c>
      <c r="J3124" t="s">
        <v>2983</v>
      </c>
      <c r="K3124" t="s">
        <v>2984</v>
      </c>
    </row>
    <row r="3125" spans="1:11" hidden="1">
      <c r="A3125" s="28">
        <v>46321</v>
      </c>
      <c r="B3125" t="s">
        <v>186</v>
      </c>
      <c r="C3125" t="s">
        <v>203</v>
      </c>
      <c r="D3125" t="s">
        <v>217</v>
      </c>
      <c r="E3125">
        <f>IF(LEFT(D3125,6)="CLIENT",IFERROR(VLOOKUP(C3125,Config_Carteiras!$A:$B,2,FALSE),1),"")</f>
        <v>1</v>
      </c>
      <c r="F3125" s="25">
        <v>308</v>
      </c>
      <c r="G3125" s="28">
        <f>IF(LEFT(D3125,6)="CLIENT",IF(E3125=0,WORKDAY(A3125-1,1,Dias_Sem_Compensacao!$A$2:$A$500),WORKDAY(A3125,E3125,Dias_Sem_Compensacao!$A$2:$A$500)),"")</f>
        <v>46322</v>
      </c>
      <c r="H3125" s="25">
        <v>0</v>
      </c>
      <c r="I3125" s="28">
        <v>46321</v>
      </c>
      <c r="J3125" t="s">
        <v>2524</v>
      </c>
      <c r="K3125" t="s">
        <v>2525</v>
      </c>
    </row>
    <row r="3126" spans="1:11" hidden="1">
      <c r="A3126" s="28">
        <v>46321</v>
      </c>
      <c r="B3126" t="s">
        <v>186</v>
      </c>
      <c r="C3126" t="s">
        <v>203</v>
      </c>
      <c r="D3126" t="s">
        <v>217</v>
      </c>
      <c r="E3126">
        <f>IF(LEFT(D3126,6)="CLIENT",IFERROR(VLOOKUP(C3126,Config_Carteiras!$A:$B,2,FALSE),1),"")</f>
        <v>1</v>
      </c>
      <c r="F3126" s="25">
        <v>1595.27</v>
      </c>
      <c r="G3126" s="28">
        <f>IF(LEFT(D3126,6)="CLIENT",IF(E3126=0,WORKDAY(A3126-1,1,Dias_Sem_Compensacao!$A$2:$A$500),WORKDAY(A3126,E3126,Dias_Sem_Compensacao!$A$2:$A$500)),"")</f>
        <v>46322</v>
      </c>
      <c r="H3126" s="25">
        <v>0</v>
      </c>
      <c r="I3126" s="28">
        <v>46321</v>
      </c>
      <c r="J3126" t="s">
        <v>3370</v>
      </c>
      <c r="K3126" t="s">
        <v>3371</v>
      </c>
    </row>
    <row r="3127" spans="1:11" hidden="1">
      <c r="A3127" s="28">
        <v>46321</v>
      </c>
      <c r="B3127" t="s">
        <v>186</v>
      </c>
      <c r="C3127" t="s">
        <v>203</v>
      </c>
      <c r="D3127" t="s">
        <v>217</v>
      </c>
      <c r="E3127">
        <f>IF(LEFT(D3127,6)="CLIENT",IFERROR(VLOOKUP(C3127,Config_Carteiras!$A:$B,2,FALSE),1),"")</f>
        <v>1</v>
      </c>
      <c r="F3127" s="25">
        <v>606</v>
      </c>
      <c r="G3127" s="28">
        <f>IF(LEFT(D3127,6)="CLIENT",IF(E3127=0,WORKDAY(A3127-1,1,Dias_Sem_Compensacao!$A$2:$A$500),WORKDAY(A3127,E3127,Dias_Sem_Compensacao!$A$2:$A$500)),"")</f>
        <v>46322</v>
      </c>
      <c r="H3127" s="25">
        <v>0</v>
      </c>
      <c r="I3127" s="28">
        <v>46321</v>
      </c>
      <c r="J3127" t="s">
        <v>2985</v>
      </c>
      <c r="K3127" t="s">
        <v>2986</v>
      </c>
    </row>
    <row r="3128" spans="1:11" hidden="1">
      <c r="A3128" s="28">
        <v>46321</v>
      </c>
      <c r="B3128" t="s">
        <v>186</v>
      </c>
      <c r="C3128" t="s">
        <v>203</v>
      </c>
      <c r="D3128" t="s">
        <v>217</v>
      </c>
      <c r="E3128">
        <f>IF(LEFT(D3128,6)="CLIENT",IFERROR(VLOOKUP(C3128,Config_Carteiras!$A:$B,2,FALSE),1),"")</f>
        <v>1</v>
      </c>
      <c r="F3128" s="25">
        <v>1868.28</v>
      </c>
      <c r="G3128" s="28">
        <f>IF(LEFT(D3128,6)="CLIENT",IF(E3128=0,WORKDAY(A3128-1,1,Dias_Sem_Compensacao!$A$2:$A$500),WORKDAY(A3128,E3128,Dias_Sem_Compensacao!$A$2:$A$500)),"")</f>
        <v>46322</v>
      </c>
      <c r="H3128" s="25">
        <v>0</v>
      </c>
      <c r="I3128" s="28">
        <v>46321</v>
      </c>
      <c r="J3128" t="s">
        <v>3372</v>
      </c>
      <c r="K3128" t="s">
        <v>3373</v>
      </c>
    </row>
    <row r="3129" spans="1:11" hidden="1">
      <c r="A3129" s="28">
        <v>46321</v>
      </c>
      <c r="B3129" t="s">
        <v>186</v>
      </c>
      <c r="C3129" t="s">
        <v>203</v>
      </c>
      <c r="D3129" t="s">
        <v>217</v>
      </c>
      <c r="E3129">
        <f>IF(LEFT(D3129,6)="CLIENT",IFERROR(VLOOKUP(C3129,Config_Carteiras!$A:$B,2,FALSE),1),"")</f>
        <v>1</v>
      </c>
      <c r="F3129" s="25">
        <v>537</v>
      </c>
      <c r="G3129" s="28">
        <f>IF(LEFT(D3129,6)="CLIENT",IF(E3129=0,WORKDAY(A3129-1,1,Dias_Sem_Compensacao!$A$2:$A$500),WORKDAY(A3129,E3129,Dias_Sem_Compensacao!$A$2:$A$500)),"")</f>
        <v>46322</v>
      </c>
      <c r="H3129" s="25">
        <v>0</v>
      </c>
      <c r="I3129" s="28">
        <v>46321</v>
      </c>
      <c r="J3129" t="s">
        <v>2987</v>
      </c>
      <c r="K3129" t="s">
        <v>2988</v>
      </c>
    </row>
    <row r="3130" spans="1:11" hidden="1">
      <c r="A3130" s="28">
        <v>46321</v>
      </c>
      <c r="B3130" t="s">
        <v>186</v>
      </c>
      <c r="C3130" t="s">
        <v>203</v>
      </c>
      <c r="D3130" t="s">
        <v>217</v>
      </c>
      <c r="E3130">
        <f>IF(LEFT(D3130,6)="CLIENT",IFERROR(VLOOKUP(C3130,Config_Carteiras!$A:$B,2,FALSE),1),"")</f>
        <v>1</v>
      </c>
      <c r="F3130" s="25">
        <v>1415.15</v>
      </c>
      <c r="G3130" s="28">
        <f>IF(LEFT(D3130,6)="CLIENT",IF(E3130=0,WORKDAY(A3130-1,1,Dias_Sem_Compensacao!$A$2:$A$500),WORKDAY(A3130,E3130,Dias_Sem_Compensacao!$A$2:$A$500)),"")</f>
        <v>46322</v>
      </c>
      <c r="H3130" s="25">
        <v>0</v>
      </c>
      <c r="I3130" s="28">
        <v>46321</v>
      </c>
      <c r="J3130" t="s">
        <v>3057</v>
      </c>
      <c r="K3130" t="s">
        <v>3374</v>
      </c>
    </row>
    <row r="3131" spans="1:11" hidden="1">
      <c r="A3131" s="28">
        <v>46321</v>
      </c>
      <c r="B3131" t="s">
        <v>186</v>
      </c>
      <c r="C3131" t="s">
        <v>203</v>
      </c>
      <c r="D3131" t="s">
        <v>217</v>
      </c>
      <c r="E3131">
        <f>IF(LEFT(D3131,6)="CLIENT",IFERROR(VLOOKUP(C3131,Config_Carteiras!$A:$B,2,FALSE),1),"")</f>
        <v>1</v>
      </c>
      <c r="F3131" s="25">
        <v>307</v>
      </c>
      <c r="G3131" s="28">
        <f>IF(LEFT(D3131,6)="CLIENT",IF(E3131=0,WORKDAY(A3131-1,1,Dias_Sem_Compensacao!$A$2:$A$500),WORKDAY(A3131,E3131,Dias_Sem_Compensacao!$A$2:$A$500)),"")</f>
        <v>46322</v>
      </c>
      <c r="H3131" s="25">
        <v>0</v>
      </c>
      <c r="I3131" s="28">
        <v>46321</v>
      </c>
      <c r="J3131" t="s">
        <v>2991</v>
      </c>
      <c r="K3131" t="s">
        <v>2992</v>
      </c>
    </row>
    <row r="3132" spans="1:11" hidden="1">
      <c r="A3132" s="28">
        <v>46321</v>
      </c>
      <c r="B3132" t="s">
        <v>186</v>
      </c>
      <c r="C3132" t="s">
        <v>203</v>
      </c>
      <c r="D3132" t="s">
        <v>217</v>
      </c>
      <c r="E3132">
        <f>IF(LEFT(D3132,6)="CLIENT",IFERROR(VLOOKUP(C3132,Config_Carteiras!$A:$B,2,FALSE),1),"")</f>
        <v>1</v>
      </c>
      <c r="F3132" s="25">
        <v>601</v>
      </c>
      <c r="G3132" s="28">
        <f>IF(LEFT(D3132,6)="CLIENT",IF(E3132=0,WORKDAY(A3132-1,1,Dias_Sem_Compensacao!$A$2:$A$500),WORKDAY(A3132,E3132,Dias_Sem_Compensacao!$A$2:$A$500)),"")</f>
        <v>46322</v>
      </c>
      <c r="H3132" s="25">
        <v>0</v>
      </c>
      <c r="I3132" s="28">
        <v>46321</v>
      </c>
      <c r="J3132" t="s">
        <v>1635</v>
      </c>
      <c r="K3132" t="s">
        <v>3375</v>
      </c>
    </row>
    <row r="3133" spans="1:11" hidden="1">
      <c r="A3133" s="28">
        <v>46321</v>
      </c>
      <c r="B3133" t="s">
        <v>186</v>
      </c>
      <c r="C3133" t="s">
        <v>203</v>
      </c>
      <c r="D3133" t="s">
        <v>217</v>
      </c>
      <c r="E3133">
        <f>IF(LEFT(D3133,6)="CLIENT",IFERROR(VLOOKUP(C3133,Config_Carteiras!$A:$B,2,FALSE),1),"")</f>
        <v>1</v>
      </c>
      <c r="F3133" s="25">
        <v>8085</v>
      </c>
      <c r="G3133" s="28">
        <f>IF(LEFT(D3133,6)="CLIENT",IF(E3133=0,WORKDAY(A3133-1,1,Dias_Sem_Compensacao!$A$2:$A$500),WORKDAY(A3133,E3133,Dias_Sem_Compensacao!$A$2:$A$500)),"")</f>
        <v>46322</v>
      </c>
      <c r="H3133" s="25">
        <v>0</v>
      </c>
      <c r="I3133" s="28">
        <v>46321</v>
      </c>
      <c r="J3133" t="s">
        <v>3376</v>
      </c>
      <c r="K3133" t="s">
        <v>3377</v>
      </c>
    </row>
    <row r="3134" spans="1:11" hidden="1">
      <c r="A3134" s="28">
        <v>46321</v>
      </c>
      <c r="B3134" t="s">
        <v>186</v>
      </c>
      <c r="C3134" t="s">
        <v>203</v>
      </c>
      <c r="D3134" t="s">
        <v>217</v>
      </c>
      <c r="E3134">
        <f>IF(LEFT(D3134,6)="CLIENT",IFERROR(VLOOKUP(C3134,Config_Carteiras!$A:$B,2,FALSE),1),"")</f>
        <v>1</v>
      </c>
      <c r="F3134" s="25">
        <v>1169</v>
      </c>
      <c r="G3134" s="28">
        <f>IF(LEFT(D3134,6)="CLIENT",IF(E3134=0,WORKDAY(A3134-1,1,Dias_Sem_Compensacao!$A$2:$A$500),WORKDAY(A3134,E3134,Dias_Sem_Compensacao!$A$2:$A$500)),"")</f>
        <v>46322</v>
      </c>
      <c r="H3134" s="25">
        <v>0</v>
      </c>
      <c r="I3134" s="28">
        <v>46321</v>
      </c>
      <c r="J3134" t="s">
        <v>2131</v>
      </c>
      <c r="K3134" t="s">
        <v>3378</v>
      </c>
    </row>
    <row r="3135" spans="1:11" hidden="1">
      <c r="A3135" s="28">
        <v>46321</v>
      </c>
      <c r="B3135" t="s">
        <v>186</v>
      </c>
      <c r="C3135" t="s">
        <v>203</v>
      </c>
      <c r="D3135" t="s">
        <v>217</v>
      </c>
      <c r="E3135">
        <f>IF(LEFT(D3135,6)="CLIENT",IFERROR(VLOOKUP(C3135,Config_Carteiras!$A:$B,2,FALSE),1),"")</f>
        <v>1</v>
      </c>
      <c r="F3135" s="25">
        <v>705.3</v>
      </c>
      <c r="G3135" s="28">
        <f>IF(LEFT(D3135,6)="CLIENT",IF(E3135=0,WORKDAY(A3135-1,1,Dias_Sem_Compensacao!$A$2:$A$500),WORKDAY(A3135,E3135,Dias_Sem_Compensacao!$A$2:$A$500)),"")</f>
        <v>46322</v>
      </c>
      <c r="H3135" s="25">
        <v>0</v>
      </c>
      <c r="I3135" s="28">
        <v>46321</v>
      </c>
      <c r="J3135" t="s">
        <v>2993</v>
      </c>
      <c r="K3135" t="s">
        <v>2994</v>
      </c>
    </row>
    <row r="3136" spans="1:11" hidden="1">
      <c r="A3136" s="28">
        <v>46321</v>
      </c>
      <c r="B3136" t="s">
        <v>186</v>
      </c>
      <c r="C3136" t="s">
        <v>203</v>
      </c>
      <c r="D3136" t="s">
        <v>217</v>
      </c>
      <c r="E3136">
        <f>IF(LEFT(D3136,6)="CLIENT",IFERROR(VLOOKUP(C3136,Config_Carteiras!$A:$B,2,FALSE),1),"")</f>
        <v>1</v>
      </c>
      <c r="F3136" s="25">
        <v>552</v>
      </c>
      <c r="G3136" s="28">
        <f>IF(LEFT(D3136,6)="CLIENT",IF(E3136=0,WORKDAY(A3136-1,1,Dias_Sem_Compensacao!$A$2:$A$500),WORKDAY(A3136,E3136,Dias_Sem_Compensacao!$A$2:$A$500)),"")</f>
        <v>46322</v>
      </c>
      <c r="H3136" s="25">
        <v>0</v>
      </c>
      <c r="I3136" s="28">
        <v>46321</v>
      </c>
      <c r="J3136" t="s">
        <v>2995</v>
      </c>
      <c r="K3136" t="s">
        <v>2996</v>
      </c>
    </row>
    <row r="3137" spans="1:11" hidden="1">
      <c r="A3137" s="28">
        <v>46321</v>
      </c>
      <c r="B3137" t="s">
        <v>186</v>
      </c>
      <c r="C3137" t="s">
        <v>203</v>
      </c>
      <c r="D3137" t="s">
        <v>217</v>
      </c>
      <c r="E3137">
        <f>IF(LEFT(D3137,6)="CLIENT",IFERROR(VLOOKUP(C3137,Config_Carteiras!$A:$B,2,FALSE),1),"")</f>
        <v>1</v>
      </c>
      <c r="F3137" s="25">
        <v>592</v>
      </c>
      <c r="G3137" s="28">
        <f>IF(LEFT(D3137,6)="CLIENT",IF(E3137=0,WORKDAY(A3137-1,1,Dias_Sem_Compensacao!$A$2:$A$500),WORKDAY(A3137,E3137,Dias_Sem_Compensacao!$A$2:$A$500)),"")</f>
        <v>46322</v>
      </c>
      <c r="H3137" s="25">
        <v>0</v>
      </c>
      <c r="I3137" s="28">
        <v>46321</v>
      </c>
      <c r="J3137" t="s">
        <v>3379</v>
      </c>
      <c r="K3137" t="s">
        <v>3380</v>
      </c>
    </row>
    <row r="3138" spans="1:11" hidden="1">
      <c r="A3138" s="28">
        <v>46321</v>
      </c>
      <c r="B3138" t="s">
        <v>186</v>
      </c>
      <c r="C3138" t="s">
        <v>203</v>
      </c>
      <c r="D3138" t="s">
        <v>217</v>
      </c>
      <c r="E3138">
        <f>IF(LEFT(D3138,6)="CLIENT",IFERROR(VLOOKUP(C3138,Config_Carteiras!$A:$B,2,FALSE),1),"")</f>
        <v>1</v>
      </c>
      <c r="F3138" s="25">
        <v>747</v>
      </c>
      <c r="G3138" s="28">
        <f>IF(LEFT(D3138,6)="CLIENT",IF(E3138=0,WORKDAY(A3138-1,1,Dias_Sem_Compensacao!$A$2:$A$500),WORKDAY(A3138,E3138,Dias_Sem_Compensacao!$A$2:$A$500)),"")</f>
        <v>46322</v>
      </c>
      <c r="H3138" s="25">
        <v>0</v>
      </c>
      <c r="I3138" s="28">
        <v>46321</v>
      </c>
      <c r="J3138" t="s">
        <v>3381</v>
      </c>
      <c r="K3138" t="s">
        <v>3382</v>
      </c>
    </row>
    <row r="3139" spans="1:11" hidden="1">
      <c r="A3139" s="28">
        <v>46321</v>
      </c>
      <c r="B3139" t="s">
        <v>186</v>
      </c>
      <c r="C3139" t="s">
        <v>203</v>
      </c>
      <c r="D3139" t="s">
        <v>217</v>
      </c>
      <c r="E3139">
        <f>IF(LEFT(D3139,6)="CLIENT",IFERROR(VLOOKUP(C3139,Config_Carteiras!$A:$B,2,FALSE),1),"")</f>
        <v>1</v>
      </c>
      <c r="F3139" s="25">
        <v>1035</v>
      </c>
      <c r="G3139" s="28">
        <f>IF(LEFT(D3139,6)="CLIENT",IF(E3139=0,WORKDAY(A3139-1,1,Dias_Sem_Compensacao!$A$2:$A$500),WORKDAY(A3139,E3139,Dias_Sem_Compensacao!$A$2:$A$500)),"")</f>
        <v>46322</v>
      </c>
      <c r="H3139" s="25">
        <v>0</v>
      </c>
      <c r="I3139" s="28">
        <v>46321</v>
      </c>
      <c r="J3139" t="s">
        <v>3383</v>
      </c>
      <c r="K3139" t="s">
        <v>3384</v>
      </c>
    </row>
    <row r="3140" spans="1:11" hidden="1">
      <c r="A3140" s="28">
        <v>46321</v>
      </c>
      <c r="B3140" t="s">
        <v>186</v>
      </c>
      <c r="C3140" t="s">
        <v>203</v>
      </c>
      <c r="D3140" t="s">
        <v>217</v>
      </c>
      <c r="E3140">
        <f>IF(LEFT(D3140,6)="CLIENT",IFERROR(VLOOKUP(C3140,Config_Carteiras!$A:$B,2,FALSE),1),"")</f>
        <v>1</v>
      </c>
      <c r="F3140" s="25">
        <v>695.83</v>
      </c>
      <c r="G3140" s="28">
        <f>IF(LEFT(D3140,6)="CLIENT",IF(E3140=0,WORKDAY(A3140-1,1,Dias_Sem_Compensacao!$A$2:$A$500),WORKDAY(A3140,E3140,Dias_Sem_Compensacao!$A$2:$A$500)),"")</f>
        <v>46322</v>
      </c>
      <c r="H3140" s="25">
        <v>0</v>
      </c>
      <c r="I3140" s="28">
        <v>46321</v>
      </c>
      <c r="J3140" t="s">
        <v>2997</v>
      </c>
      <c r="K3140" t="s">
        <v>2998</v>
      </c>
    </row>
    <row r="3141" spans="1:11" hidden="1">
      <c r="A3141" s="28">
        <v>46322</v>
      </c>
      <c r="B3141" t="s">
        <v>186</v>
      </c>
      <c r="C3141" t="s">
        <v>203</v>
      </c>
      <c r="D3141" t="s">
        <v>217</v>
      </c>
      <c r="E3141">
        <f>IF(LEFT(D3141,6)="CLIENT",IFERROR(VLOOKUP(C3141,Config_Carteiras!$A:$B,2,FALSE),1),"")</f>
        <v>1</v>
      </c>
      <c r="F3141" s="25">
        <v>805.97</v>
      </c>
      <c r="G3141" s="28">
        <f>IF(LEFT(D3141,6)="CLIENT",IF(E3141=0,WORKDAY(A3141-1,1,Dias_Sem_Compensacao!$A$2:$A$500),WORKDAY(A3141,E3141,Dias_Sem_Compensacao!$A$2:$A$500)),"")</f>
        <v>46323</v>
      </c>
      <c r="H3141" s="25">
        <v>0</v>
      </c>
      <c r="I3141" s="28">
        <v>46322</v>
      </c>
      <c r="J3141" t="s">
        <v>2327</v>
      </c>
      <c r="K3141" t="s">
        <v>2328</v>
      </c>
    </row>
    <row r="3142" spans="1:11" hidden="1">
      <c r="A3142" s="28">
        <v>46322</v>
      </c>
      <c r="B3142" t="s">
        <v>186</v>
      </c>
      <c r="C3142" t="s">
        <v>203</v>
      </c>
      <c r="D3142" t="s">
        <v>217</v>
      </c>
      <c r="E3142">
        <f>IF(LEFT(D3142,6)="CLIENT",IFERROR(VLOOKUP(C3142,Config_Carteiras!$A:$B,2,FALSE),1),"")</f>
        <v>1</v>
      </c>
      <c r="F3142" s="25">
        <v>346.72</v>
      </c>
      <c r="G3142" s="28">
        <f>IF(LEFT(D3142,6)="CLIENT",IF(E3142=0,WORKDAY(A3142-1,1,Dias_Sem_Compensacao!$A$2:$A$500),WORKDAY(A3142,E3142,Dias_Sem_Compensacao!$A$2:$A$500)),"")</f>
        <v>46323</v>
      </c>
      <c r="H3142" s="25">
        <v>0</v>
      </c>
      <c r="I3142" s="28">
        <v>46322</v>
      </c>
      <c r="K3142" t="s">
        <v>2329</v>
      </c>
    </row>
    <row r="3143" spans="1:11" hidden="1">
      <c r="A3143" s="28">
        <v>46322</v>
      </c>
      <c r="B3143" t="s">
        <v>186</v>
      </c>
      <c r="C3143" t="s">
        <v>203</v>
      </c>
      <c r="D3143" t="s">
        <v>217</v>
      </c>
      <c r="E3143">
        <f>IF(LEFT(D3143,6)="CLIENT",IFERROR(VLOOKUP(C3143,Config_Carteiras!$A:$B,2,FALSE),1),"")</f>
        <v>1</v>
      </c>
      <c r="F3143" s="25">
        <v>842.43</v>
      </c>
      <c r="G3143" s="28">
        <f>IF(LEFT(D3143,6)="CLIENT",IF(E3143=0,WORKDAY(A3143-1,1,Dias_Sem_Compensacao!$A$2:$A$500),WORKDAY(A3143,E3143,Dias_Sem_Compensacao!$A$2:$A$500)),"")</f>
        <v>46323</v>
      </c>
      <c r="H3143" s="25">
        <v>0</v>
      </c>
      <c r="I3143" s="28">
        <v>46322</v>
      </c>
      <c r="J3143" t="s">
        <v>2341</v>
      </c>
      <c r="K3143" t="s">
        <v>2342</v>
      </c>
    </row>
    <row r="3144" spans="1:11" hidden="1">
      <c r="A3144" s="28">
        <v>46322</v>
      </c>
      <c r="B3144" t="s">
        <v>186</v>
      </c>
      <c r="C3144" t="s">
        <v>203</v>
      </c>
      <c r="D3144" t="s">
        <v>217</v>
      </c>
      <c r="E3144">
        <f>IF(LEFT(D3144,6)="CLIENT",IFERROR(VLOOKUP(C3144,Config_Carteiras!$A:$B,2,FALSE),1),"")</f>
        <v>1</v>
      </c>
      <c r="F3144" s="25">
        <v>1649.38</v>
      </c>
      <c r="G3144" s="28">
        <f>IF(LEFT(D3144,6)="CLIENT",IF(E3144=0,WORKDAY(A3144-1,1,Dias_Sem_Compensacao!$A$2:$A$500),WORKDAY(A3144,E3144,Dias_Sem_Compensacao!$A$2:$A$500)),"")</f>
        <v>46323</v>
      </c>
      <c r="H3144" s="25">
        <v>0</v>
      </c>
      <c r="I3144" s="28">
        <v>46322</v>
      </c>
      <c r="J3144" t="s">
        <v>2343</v>
      </c>
      <c r="K3144" t="s">
        <v>2344</v>
      </c>
    </row>
    <row r="3145" spans="1:11" hidden="1">
      <c r="A3145" s="28">
        <v>46322</v>
      </c>
      <c r="B3145" t="s">
        <v>186</v>
      </c>
      <c r="C3145" t="s">
        <v>203</v>
      </c>
      <c r="D3145" t="s">
        <v>217</v>
      </c>
      <c r="E3145">
        <f>IF(LEFT(D3145,6)="CLIENT",IFERROR(VLOOKUP(C3145,Config_Carteiras!$A:$B,2,FALSE),1),"")</f>
        <v>1</v>
      </c>
      <c r="F3145" s="25">
        <v>5833</v>
      </c>
      <c r="G3145" s="28">
        <f>IF(LEFT(D3145,6)="CLIENT",IF(E3145=0,WORKDAY(A3145-1,1,Dias_Sem_Compensacao!$A$2:$A$500),WORKDAY(A3145,E3145,Dias_Sem_Compensacao!$A$2:$A$500)),"")</f>
        <v>46323</v>
      </c>
      <c r="H3145" s="25">
        <v>0</v>
      </c>
      <c r="I3145" s="28">
        <v>46322</v>
      </c>
      <c r="J3145" t="s">
        <v>1058</v>
      </c>
      <c r="K3145" t="s">
        <v>3385</v>
      </c>
    </row>
    <row r="3146" spans="1:11" hidden="1">
      <c r="A3146" s="28">
        <v>46322</v>
      </c>
      <c r="B3146" t="s">
        <v>186</v>
      </c>
      <c r="C3146" t="s">
        <v>203</v>
      </c>
      <c r="D3146" t="s">
        <v>217</v>
      </c>
      <c r="E3146">
        <f>IF(LEFT(D3146,6)="CLIENT",IFERROR(VLOOKUP(C3146,Config_Carteiras!$A:$B,2,FALSE),1),"")</f>
        <v>1</v>
      </c>
      <c r="F3146" s="25">
        <v>408.01</v>
      </c>
      <c r="G3146" s="28">
        <f>IF(LEFT(D3146,6)="CLIENT",IF(E3146=0,WORKDAY(A3146-1,1,Dias_Sem_Compensacao!$A$2:$A$500),WORKDAY(A3146,E3146,Dias_Sem_Compensacao!$A$2:$A$500)),"")</f>
        <v>46323</v>
      </c>
      <c r="H3146" s="25">
        <v>0</v>
      </c>
      <c r="I3146" s="28">
        <v>46322</v>
      </c>
      <c r="J3146" t="s">
        <v>2347</v>
      </c>
      <c r="K3146" t="s">
        <v>2348</v>
      </c>
    </row>
    <row r="3147" spans="1:11" hidden="1">
      <c r="A3147" s="28">
        <v>46322</v>
      </c>
      <c r="B3147" t="s">
        <v>186</v>
      </c>
      <c r="C3147" t="s">
        <v>203</v>
      </c>
      <c r="D3147" t="s">
        <v>217</v>
      </c>
      <c r="E3147">
        <f>IF(LEFT(D3147,6)="CLIENT",IFERROR(VLOOKUP(C3147,Config_Carteiras!$A:$B,2,FALSE),1),"")</f>
        <v>1</v>
      </c>
      <c r="F3147" s="25">
        <v>937.91</v>
      </c>
      <c r="G3147" s="28">
        <f>IF(LEFT(D3147,6)="CLIENT",IF(E3147=0,WORKDAY(A3147-1,1,Dias_Sem_Compensacao!$A$2:$A$500),WORKDAY(A3147,E3147,Dias_Sem_Compensacao!$A$2:$A$500)),"")</f>
        <v>46323</v>
      </c>
      <c r="H3147" s="25">
        <v>0</v>
      </c>
      <c r="I3147" s="28">
        <v>46322</v>
      </c>
      <c r="J3147" t="s">
        <v>2365</v>
      </c>
      <c r="K3147" t="s">
        <v>2366</v>
      </c>
    </row>
    <row r="3148" spans="1:11" hidden="1">
      <c r="A3148" s="28">
        <v>46322</v>
      </c>
      <c r="B3148" t="s">
        <v>186</v>
      </c>
      <c r="C3148" t="s">
        <v>203</v>
      </c>
      <c r="D3148" t="s">
        <v>217</v>
      </c>
      <c r="E3148">
        <f>IF(LEFT(D3148,6)="CLIENT",IFERROR(VLOOKUP(C3148,Config_Carteiras!$A:$B,2,FALSE),1),"")</f>
        <v>1</v>
      </c>
      <c r="F3148" s="25">
        <v>784.11</v>
      </c>
      <c r="G3148" s="28">
        <f>IF(LEFT(D3148,6)="CLIENT",IF(E3148=0,WORKDAY(A3148-1,1,Dias_Sem_Compensacao!$A$2:$A$500),WORKDAY(A3148,E3148,Dias_Sem_Compensacao!$A$2:$A$500)),"")</f>
        <v>46323</v>
      </c>
      <c r="H3148" s="25">
        <v>0</v>
      </c>
      <c r="I3148" s="28">
        <v>46322</v>
      </c>
      <c r="J3148" t="s">
        <v>3002</v>
      </c>
      <c r="K3148" t="s">
        <v>3003</v>
      </c>
    </row>
    <row r="3149" spans="1:11" hidden="1">
      <c r="A3149" s="28">
        <v>46322</v>
      </c>
      <c r="B3149" t="s">
        <v>186</v>
      </c>
      <c r="C3149" t="s">
        <v>203</v>
      </c>
      <c r="D3149" t="s">
        <v>217</v>
      </c>
      <c r="E3149">
        <f>IF(LEFT(D3149,6)="CLIENT",IFERROR(VLOOKUP(C3149,Config_Carteiras!$A:$B,2,FALSE),1),"")</f>
        <v>1</v>
      </c>
      <c r="F3149" s="25">
        <v>2238</v>
      </c>
      <c r="G3149" s="28">
        <f>IF(LEFT(D3149,6)="CLIENT",IF(E3149=0,WORKDAY(A3149-1,1,Dias_Sem_Compensacao!$A$2:$A$500),WORKDAY(A3149,E3149,Dias_Sem_Compensacao!$A$2:$A$500)),"")</f>
        <v>46323</v>
      </c>
      <c r="H3149" s="25">
        <v>0</v>
      </c>
      <c r="I3149" s="28">
        <v>46322</v>
      </c>
      <c r="J3149" t="s">
        <v>3004</v>
      </c>
      <c r="K3149" t="s">
        <v>3005</v>
      </c>
    </row>
    <row r="3150" spans="1:11" hidden="1">
      <c r="A3150" s="28">
        <v>46322</v>
      </c>
      <c r="B3150" t="s">
        <v>186</v>
      </c>
      <c r="C3150" t="s">
        <v>203</v>
      </c>
      <c r="D3150" t="s">
        <v>217</v>
      </c>
      <c r="E3150">
        <f>IF(LEFT(D3150,6)="CLIENT",IFERROR(VLOOKUP(C3150,Config_Carteiras!$A:$B,2,FALSE),1),"")</f>
        <v>1</v>
      </c>
      <c r="F3150" s="25">
        <v>26096.3</v>
      </c>
      <c r="G3150" s="28">
        <f>IF(LEFT(D3150,6)="CLIENT",IF(E3150=0,WORKDAY(A3150-1,1,Dias_Sem_Compensacao!$A$2:$A$500),WORKDAY(A3150,E3150,Dias_Sem_Compensacao!$A$2:$A$500)),"")</f>
        <v>46323</v>
      </c>
      <c r="H3150" s="25">
        <v>0</v>
      </c>
      <c r="I3150" s="28">
        <v>46322</v>
      </c>
      <c r="J3150" t="s">
        <v>1138</v>
      </c>
      <c r="K3150" t="s">
        <v>2367</v>
      </c>
    </row>
    <row r="3151" spans="1:11" hidden="1">
      <c r="A3151" s="28">
        <v>46322</v>
      </c>
      <c r="B3151" t="s">
        <v>186</v>
      </c>
      <c r="C3151" t="s">
        <v>203</v>
      </c>
      <c r="D3151" t="s">
        <v>217</v>
      </c>
      <c r="E3151">
        <f>IF(LEFT(D3151,6)="CLIENT",IFERROR(VLOOKUP(C3151,Config_Carteiras!$A:$B,2,FALSE),1),"")</f>
        <v>1</v>
      </c>
      <c r="F3151" s="25">
        <v>1276</v>
      </c>
      <c r="G3151" s="28">
        <f>IF(LEFT(D3151,6)="CLIENT",IF(E3151=0,WORKDAY(A3151-1,1,Dias_Sem_Compensacao!$A$2:$A$500),WORKDAY(A3151,E3151,Dias_Sem_Compensacao!$A$2:$A$500)),"")</f>
        <v>46323</v>
      </c>
      <c r="H3151" s="25">
        <v>0</v>
      </c>
      <c r="I3151" s="28">
        <v>46322</v>
      </c>
      <c r="J3151" t="s">
        <v>3386</v>
      </c>
      <c r="K3151" t="s">
        <v>3387</v>
      </c>
    </row>
    <row r="3152" spans="1:11" hidden="1">
      <c r="A3152" s="28">
        <v>46322</v>
      </c>
      <c r="B3152" t="s">
        <v>186</v>
      </c>
      <c r="C3152" t="s">
        <v>203</v>
      </c>
      <c r="D3152" t="s">
        <v>217</v>
      </c>
      <c r="E3152">
        <f>IF(LEFT(D3152,6)="CLIENT",IFERROR(VLOOKUP(C3152,Config_Carteiras!$A:$B,2,FALSE),1),"")</f>
        <v>1</v>
      </c>
      <c r="F3152" s="25">
        <v>703.22</v>
      </c>
      <c r="G3152" s="28">
        <f>IF(LEFT(D3152,6)="CLIENT",IF(E3152=0,WORKDAY(A3152-1,1,Dias_Sem_Compensacao!$A$2:$A$500),WORKDAY(A3152,E3152,Dias_Sem_Compensacao!$A$2:$A$500)),"")</f>
        <v>46323</v>
      </c>
      <c r="H3152" s="25">
        <v>0</v>
      </c>
      <c r="I3152" s="28">
        <v>46322</v>
      </c>
      <c r="J3152" t="s">
        <v>3006</v>
      </c>
      <c r="K3152" t="s">
        <v>3007</v>
      </c>
    </row>
    <row r="3153" spans="1:11" hidden="1">
      <c r="A3153" s="28">
        <v>46322</v>
      </c>
      <c r="B3153" t="s">
        <v>186</v>
      </c>
      <c r="C3153" t="s">
        <v>203</v>
      </c>
      <c r="D3153" t="s">
        <v>217</v>
      </c>
      <c r="E3153">
        <f>IF(LEFT(D3153,6)="CLIENT",IFERROR(VLOOKUP(C3153,Config_Carteiras!$A:$B,2,FALSE),1),"")</f>
        <v>1</v>
      </c>
      <c r="F3153" s="25">
        <v>1385.27</v>
      </c>
      <c r="G3153" s="28">
        <f>IF(LEFT(D3153,6)="CLIENT",IF(E3153=0,WORKDAY(A3153-1,1,Dias_Sem_Compensacao!$A$2:$A$500),WORKDAY(A3153,E3153,Dias_Sem_Compensacao!$A$2:$A$500)),"")</f>
        <v>46323</v>
      </c>
      <c r="H3153" s="25">
        <v>0</v>
      </c>
      <c r="I3153" s="28">
        <v>46322</v>
      </c>
      <c r="J3153" t="s">
        <v>2379</v>
      </c>
      <c r="K3153" t="s">
        <v>2380</v>
      </c>
    </row>
    <row r="3154" spans="1:11" hidden="1">
      <c r="A3154" s="28">
        <v>46322</v>
      </c>
      <c r="B3154" t="s">
        <v>186</v>
      </c>
      <c r="C3154" t="s">
        <v>203</v>
      </c>
      <c r="D3154" t="s">
        <v>217</v>
      </c>
      <c r="E3154">
        <f>IF(LEFT(D3154,6)="CLIENT",IFERROR(VLOOKUP(C3154,Config_Carteiras!$A:$B,2,FALSE),1),"")</f>
        <v>1</v>
      </c>
      <c r="F3154" s="25">
        <v>1477.3</v>
      </c>
      <c r="G3154" s="28">
        <f>IF(LEFT(D3154,6)="CLIENT",IF(E3154=0,WORKDAY(A3154-1,1,Dias_Sem_Compensacao!$A$2:$A$500),WORKDAY(A3154,E3154,Dias_Sem_Compensacao!$A$2:$A$500)),"")</f>
        <v>46323</v>
      </c>
      <c r="H3154" s="25">
        <v>0</v>
      </c>
      <c r="I3154" s="28">
        <v>46322</v>
      </c>
      <c r="J3154" t="s">
        <v>2383</v>
      </c>
      <c r="K3154" t="s">
        <v>2384</v>
      </c>
    </row>
    <row r="3155" spans="1:11" hidden="1">
      <c r="A3155" s="28">
        <v>46322</v>
      </c>
      <c r="B3155" t="s">
        <v>186</v>
      </c>
      <c r="C3155" t="s">
        <v>203</v>
      </c>
      <c r="D3155" t="s">
        <v>217</v>
      </c>
      <c r="E3155">
        <f>IF(LEFT(D3155,6)="CLIENT",IFERROR(VLOOKUP(C3155,Config_Carteiras!$A:$B,2,FALSE),1),"")</f>
        <v>1</v>
      </c>
      <c r="F3155" s="25">
        <v>1707.12</v>
      </c>
      <c r="G3155" s="28">
        <f>IF(LEFT(D3155,6)="CLIENT",IF(E3155=0,WORKDAY(A3155-1,1,Dias_Sem_Compensacao!$A$2:$A$500),WORKDAY(A3155,E3155,Dias_Sem_Compensacao!$A$2:$A$500)),"")</f>
        <v>46323</v>
      </c>
      <c r="H3155" s="25">
        <v>0</v>
      </c>
      <c r="I3155" s="28">
        <v>46322</v>
      </c>
      <c r="J3155" t="s">
        <v>2385</v>
      </c>
      <c r="K3155" t="s">
        <v>2386</v>
      </c>
    </row>
    <row r="3156" spans="1:11" hidden="1">
      <c r="A3156" s="28">
        <v>46322</v>
      </c>
      <c r="B3156" t="s">
        <v>186</v>
      </c>
      <c r="C3156" t="s">
        <v>203</v>
      </c>
      <c r="D3156" t="s">
        <v>217</v>
      </c>
      <c r="E3156">
        <f>IF(LEFT(D3156,6)="CLIENT",IFERROR(VLOOKUP(C3156,Config_Carteiras!$A:$B,2,FALSE),1),"")</f>
        <v>1</v>
      </c>
      <c r="F3156" s="25">
        <v>2544.7199999999998</v>
      </c>
      <c r="G3156" s="28">
        <f>IF(LEFT(D3156,6)="CLIENT",IF(E3156=0,WORKDAY(A3156-1,1,Dias_Sem_Compensacao!$A$2:$A$500),WORKDAY(A3156,E3156,Dias_Sem_Compensacao!$A$2:$A$500)),"")</f>
        <v>46323</v>
      </c>
      <c r="H3156" s="25">
        <v>0</v>
      </c>
      <c r="I3156" s="28">
        <v>46322</v>
      </c>
      <c r="J3156" t="s">
        <v>2389</v>
      </c>
      <c r="K3156" t="s">
        <v>2390</v>
      </c>
    </row>
    <row r="3157" spans="1:11" hidden="1">
      <c r="A3157" s="28">
        <v>46322</v>
      </c>
      <c r="B3157" t="s">
        <v>186</v>
      </c>
      <c r="C3157" t="s">
        <v>203</v>
      </c>
      <c r="D3157" t="s">
        <v>217</v>
      </c>
      <c r="E3157">
        <f>IF(LEFT(D3157,6)="CLIENT",IFERROR(VLOOKUP(C3157,Config_Carteiras!$A:$B,2,FALSE),1),"")</f>
        <v>1</v>
      </c>
      <c r="F3157" s="25">
        <v>2629.22</v>
      </c>
      <c r="G3157" s="28">
        <f>IF(LEFT(D3157,6)="CLIENT",IF(E3157=0,WORKDAY(A3157-1,1,Dias_Sem_Compensacao!$A$2:$A$500),WORKDAY(A3157,E3157,Dias_Sem_Compensacao!$A$2:$A$500)),"")</f>
        <v>46323</v>
      </c>
      <c r="H3157" s="25">
        <v>0</v>
      </c>
      <c r="I3157" s="28">
        <v>46322</v>
      </c>
      <c r="J3157" t="s">
        <v>3388</v>
      </c>
      <c r="K3157" t="s">
        <v>3389</v>
      </c>
    </row>
    <row r="3158" spans="1:11" hidden="1">
      <c r="A3158" s="28">
        <v>46322</v>
      </c>
      <c r="B3158" t="s">
        <v>186</v>
      </c>
      <c r="C3158" t="s">
        <v>203</v>
      </c>
      <c r="D3158" t="s">
        <v>217</v>
      </c>
      <c r="E3158">
        <f>IF(LEFT(D3158,6)="CLIENT",IFERROR(VLOOKUP(C3158,Config_Carteiras!$A:$B,2,FALSE),1),"")</f>
        <v>1</v>
      </c>
      <c r="F3158" s="25">
        <v>1267.07</v>
      </c>
      <c r="G3158" s="28">
        <f>IF(LEFT(D3158,6)="CLIENT",IF(E3158=0,WORKDAY(A3158-1,1,Dias_Sem_Compensacao!$A$2:$A$500),WORKDAY(A3158,E3158,Dias_Sem_Compensacao!$A$2:$A$500)),"")</f>
        <v>46323</v>
      </c>
      <c r="H3158" s="25">
        <v>0</v>
      </c>
      <c r="I3158" s="28">
        <v>46322</v>
      </c>
      <c r="J3158" t="s">
        <v>2587</v>
      </c>
      <c r="K3158" t="s">
        <v>3010</v>
      </c>
    </row>
    <row r="3159" spans="1:11" hidden="1">
      <c r="A3159" s="28">
        <v>46322</v>
      </c>
      <c r="B3159" t="s">
        <v>186</v>
      </c>
      <c r="C3159" t="s">
        <v>203</v>
      </c>
      <c r="D3159" t="s">
        <v>217</v>
      </c>
      <c r="E3159">
        <f>IF(LEFT(D3159,6)="CLIENT",IFERROR(VLOOKUP(C3159,Config_Carteiras!$A:$B,2,FALSE),1),"")</f>
        <v>1</v>
      </c>
      <c r="F3159" s="25">
        <v>1278</v>
      </c>
      <c r="G3159" s="28">
        <f>IF(LEFT(D3159,6)="CLIENT",IF(E3159=0,WORKDAY(A3159-1,1,Dias_Sem_Compensacao!$A$2:$A$500),WORKDAY(A3159,E3159,Dias_Sem_Compensacao!$A$2:$A$500)),"")</f>
        <v>46323</v>
      </c>
      <c r="H3159" s="25">
        <v>0</v>
      </c>
      <c r="I3159" s="28">
        <v>46322</v>
      </c>
      <c r="J3159" t="s">
        <v>2697</v>
      </c>
      <c r="K3159" t="s">
        <v>3390</v>
      </c>
    </row>
    <row r="3160" spans="1:11" hidden="1">
      <c r="A3160" s="28">
        <v>46322</v>
      </c>
      <c r="B3160" t="s">
        <v>186</v>
      </c>
      <c r="C3160" t="s">
        <v>203</v>
      </c>
      <c r="D3160" t="s">
        <v>217</v>
      </c>
      <c r="E3160">
        <f>IF(LEFT(D3160,6)="CLIENT",IFERROR(VLOOKUP(C3160,Config_Carteiras!$A:$B,2,FALSE),1),"")</f>
        <v>1</v>
      </c>
      <c r="F3160" s="25">
        <v>1447.18</v>
      </c>
      <c r="G3160" s="28">
        <f>IF(LEFT(D3160,6)="CLIENT",IF(E3160=0,WORKDAY(A3160-1,1,Dias_Sem_Compensacao!$A$2:$A$500),WORKDAY(A3160,E3160,Dias_Sem_Compensacao!$A$2:$A$500)),"")</f>
        <v>46323</v>
      </c>
      <c r="H3160" s="25">
        <v>0</v>
      </c>
      <c r="I3160" s="28">
        <v>46322</v>
      </c>
      <c r="J3160" t="s">
        <v>2409</v>
      </c>
      <c r="K3160" t="s">
        <v>2410</v>
      </c>
    </row>
    <row r="3161" spans="1:11" hidden="1">
      <c r="A3161" s="28">
        <v>46322</v>
      </c>
      <c r="B3161" t="s">
        <v>186</v>
      </c>
      <c r="C3161" t="s">
        <v>203</v>
      </c>
      <c r="D3161" t="s">
        <v>217</v>
      </c>
      <c r="E3161">
        <f>IF(LEFT(D3161,6)="CLIENT",IFERROR(VLOOKUP(C3161,Config_Carteiras!$A:$B,2,FALSE),1),"")</f>
        <v>1</v>
      </c>
      <c r="F3161" s="25">
        <v>381</v>
      </c>
      <c r="G3161" s="28">
        <f>IF(LEFT(D3161,6)="CLIENT",IF(E3161=0,WORKDAY(A3161-1,1,Dias_Sem_Compensacao!$A$2:$A$500),WORKDAY(A3161,E3161,Dias_Sem_Compensacao!$A$2:$A$500)),"")</f>
        <v>46323</v>
      </c>
      <c r="H3161" s="25">
        <v>0</v>
      </c>
      <c r="I3161" s="28">
        <v>46322</v>
      </c>
      <c r="J3161" t="s">
        <v>3018</v>
      </c>
      <c r="K3161" t="s">
        <v>3019</v>
      </c>
    </row>
    <row r="3162" spans="1:11" hidden="1">
      <c r="A3162" s="28">
        <v>46322</v>
      </c>
      <c r="B3162" t="s">
        <v>186</v>
      </c>
      <c r="C3162" t="s">
        <v>203</v>
      </c>
      <c r="D3162" t="s">
        <v>217</v>
      </c>
      <c r="E3162">
        <f>IF(LEFT(D3162,6)="CLIENT",IFERROR(VLOOKUP(C3162,Config_Carteiras!$A:$B,2,FALSE),1),"")</f>
        <v>1</v>
      </c>
      <c r="F3162" s="25">
        <v>1435.82</v>
      </c>
      <c r="G3162" s="28">
        <f>IF(LEFT(D3162,6)="CLIENT",IF(E3162=0,WORKDAY(A3162-1,1,Dias_Sem_Compensacao!$A$2:$A$500),WORKDAY(A3162,E3162,Dias_Sem_Compensacao!$A$2:$A$500)),"")</f>
        <v>46323</v>
      </c>
      <c r="H3162" s="25">
        <v>0</v>
      </c>
      <c r="I3162" s="28">
        <v>46322</v>
      </c>
      <c r="J3162" t="s">
        <v>1962</v>
      </c>
      <c r="K3162" t="s">
        <v>1963</v>
      </c>
    </row>
    <row r="3163" spans="1:11" hidden="1">
      <c r="A3163" s="28">
        <v>46322</v>
      </c>
      <c r="B3163" t="s">
        <v>186</v>
      </c>
      <c r="C3163" t="s">
        <v>203</v>
      </c>
      <c r="D3163" t="s">
        <v>217</v>
      </c>
      <c r="E3163">
        <f>IF(LEFT(D3163,6)="CLIENT",IFERROR(VLOOKUP(C3163,Config_Carteiras!$A:$B,2,FALSE),1),"")</f>
        <v>1</v>
      </c>
      <c r="F3163" s="25">
        <v>1446</v>
      </c>
      <c r="G3163" s="28">
        <f>IF(LEFT(D3163,6)="CLIENT",IF(E3163=0,WORKDAY(A3163-1,1,Dias_Sem_Compensacao!$A$2:$A$500),WORKDAY(A3163,E3163,Dias_Sem_Compensacao!$A$2:$A$500)),"")</f>
        <v>46323</v>
      </c>
      <c r="H3163" s="25">
        <v>0</v>
      </c>
      <c r="I3163" s="28">
        <v>46322</v>
      </c>
      <c r="J3163" t="s">
        <v>3020</v>
      </c>
      <c r="K3163" t="s">
        <v>3021</v>
      </c>
    </row>
    <row r="3164" spans="1:11" hidden="1">
      <c r="A3164" s="28">
        <v>46322</v>
      </c>
      <c r="B3164" t="s">
        <v>186</v>
      </c>
      <c r="C3164" t="s">
        <v>203</v>
      </c>
      <c r="D3164" t="s">
        <v>217</v>
      </c>
      <c r="E3164">
        <f>IF(LEFT(D3164,6)="CLIENT",IFERROR(VLOOKUP(C3164,Config_Carteiras!$A:$B,2,FALSE),1),"")</f>
        <v>1</v>
      </c>
      <c r="F3164" s="25">
        <v>975</v>
      </c>
      <c r="G3164" s="28">
        <f>IF(LEFT(D3164,6)="CLIENT",IF(E3164=0,WORKDAY(A3164-1,1,Dias_Sem_Compensacao!$A$2:$A$500),WORKDAY(A3164,E3164,Dias_Sem_Compensacao!$A$2:$A$500)),"")</f>
        <v>46323</v>
      </c>
      <c r="H3164" s="25">
        <v>0</v>
      </c>
      <c r="I3164" s="28">
        <v>46322</v>
      </c>
      <c r="J3164" t="s">
        <v>3022</v>
      </c>
      <c r="K3164" t="s">
        <v>3023</v>
      </c>
    </row>
    <row r="3165" spans="1:11" hidden="1">
      <c r="A3165" s="28">
        <v>46322</v>
      </c>
      <c r="B3165" t="s">
        <v>186</v>
      </c>
      <c r="C3165" t="s">
        <v>203</v>
      </c>
      <c r="D3165" t="s">
        <v>217</v>
      </c>
      <c r="E3165">
        <f>IF(LEFT(D3165,6)="CLIENT",IFERROR(VLOOKUP(C3165,Config_Carteiras!$A:$B,2,FALSE),1),"")</f>
        <v>1</v>
      </c>
      <c r="F3165" s="25">
        <v>1101</v>
      </c>
      <c r="G3165" s="28">
        <f>IF(LEFT(D3165,6)="CLIENT",IF(E3165=0,WORKDAY(A3165-1,1,Dias_Sem_Compensacao!$A$2:$A$500),WORKDAY(A3165,E3165,Dias_Sem_Compensacao!$A$2:$A$500)),"")</f>
        <v>46323</v>
      </c>
      <c r="H3165" s="25">
        <v>0</v>
      </c>
      <c r="I3165" s="28">
        <v>46322</v>
      </c>
      <c r="J3165" t="s">
        <v>284</v>
      </c>
      <c r="K3165" t="s">
        <v>2420</v>
      </c>
    </row>
    <row r="3166" spans="1:11" hidden="1">
      <c r="A3166" s="28">
        <v>46322</v>
      </c>
      <c r="B3166" t="s">
        <v>186</v>
      </c>
      <c r="C3166" t="s">
        <v>203</v>
      </c>
      <c r="D3166" t="s">
        <v>217</v>
      </c>
      <c r="E3166">
        <f>IF(LEFT(D3166,6)="CLIENT",IFERROR(VLOOKUP(C3166,Config_Carteiras!$A:$B,2,FALSE),1),"")</f>
        <v>1</v>
      </c>
      <c r="F3166" s="25">
        <v>660.51</v>
      </c>
      <c r="G3166" s="28">
        <f>IF(LEFT(D3166,6)="CLIENT",IF(E3166=0,WORKDAY(A3166-1,1,Dias_Sem_Compensacao!$A$2:$A$500),WORKDAY(A3166,E3166,Dias_Sem_Compensacao!$A$2:$A$500)),"")</f>
        <v>46323</v>
      </c>
      <c r="H3166" s="25">
        <v>0</v>
      </c>
      <c r="I3166" s="28">
        <v>46322</v>
      </c>
      <c r="J3166" t="s">
        <v>2421</v>
      </c>
      <c r="K3166" t="s">
        <v>2422</v>
      </c>
    </row>
    <row r="3167" spans="1:11" hidden="1">
      <c r="A3167" s="28">
        <v>46322</v>
      </c>
      <c r="B3167" t="s">
        <v>186</v>
      </c>
      <c r="C3167" t="s">
        <v>203</v>
      </c>
      <c r="D3167" t="s">
        <v>217</v>
      </c>
      <c r="E3167">
        <f>IF(LEFT(D3167,6)="CLIENT",IFERROR(VLOOKUP(C3167,Config_Carteiras!$A:$B,2,FALSE),1),"")</f>
        <v>1</v>
      </c>
      <c r="F3167" s="25">
        <v>1056</v>
      </c>
      <c r="G3167" s="28">
        <f>IF(LEFT(D3167,6)="CLIENT",IF(E3167=0,WORKDAY(A3167-1,1,Dias_Sem_Compensacao!$A$2:$A$500),WORKDAY(A3167,E3167,Dias_Sem_Compensacao!$A$2:$A$500)),"")</f>
        <v>46323</v>
      </c>
      <c r="H3167" s="25">
        <v>0</v>
      </c>
      <c r="I3167" s="28">
        <v>46322</v>
      </c>
      <c r="J3167" t="s">
        <v>718</v>
      </c>
      <c r="K3167" t="s">
        <v>1978</v>
      </c>
    </row>
    <row r="3168" spans="1:11" hidden="1">
      <c r="A3168" s="28">
        <v>46322</v>
      </c>
      <c r="B3168" t="s">
        <v>186</v>
      </c>
      <c r="C3168" t="s">
        <v>203</v>
      </c>
      <c r="D3168" t="s">
        <v>217</v>
      </c>
      <c r="E3168">
        <f>IF(LEFT(D3168,6)="CLIENT",IFERROR(VLOOKUP(C3168,Config_Carteiras!$A:$B,2,FALSE),1),"")</f>
        <v>1</v>
      </c>
      <c r="F3168" s="25">
        <v>844</v>
      </c>
      <c r="G3168" s="28">
        <f>IF(LEFT(D3168,6)="CLIENT",IF(E3168=0,WORKDAY(A3168-1,1,Dias_Sem_Compensacao!$A$2:$A$500),WORKDAY(A3168,E3168,Dias_Sem_Compensacao!$A$2:$A$500)),"")</f>
        <v>46323</v>
      </c>
      <c r="H3168" s="25">
        <v>0</v>
      </c>
      <c r="I3168" s="28">
        <v>46322</v>
      </c>
      <c r="J3168" t="s">
        <v>3391</v>
      </c>
      <c r="K3168" t="s">
        <v>3392</v>
      </c>
    </row>
    <row r="3169" spans="1:11" hidden="1">
      <c r="A3169" s="28">
        <v>46322</v>
      </c>
      <c r="B3169" t="s">
        <v>186</v>
      </c>
      <c r="C3169" t="s">
        <v>203</v>
      </c>
      <c r="D3169" t="s">
        <v>217</v>
      </c>
      <c r="E3169">
        <f>IF(LEFT(D3169,6)="CLIENT",IFERROR(VLOOKUP(C3169,Config_Carteiras!$A:$B,2,FALSE),1),"")</f>
        <v>1</v>
      </c>
      <c r="F3169" s="25">
        <v>678</v>
      </c>
      <c r="G3169" s="28">
        <f>IF(LEFT(D3169,6)="CLIENT",IF(E3169=0,WORKDAY(A3169-1,1,Dias_Sem_Compensacao!$A$2:$A$500),WORKDAY(A3169,E3169,Dias_Sem_Compensacao!$A$2:$A$500)),"")</f>
        <v>46323</v>
      </c>
      <c r="H3169" s="25">
        <v>0</v>
      </c>
      <c r="I3169" s="28">
        <v>46322</v>
      </c>
      <c r="J3169" t="s">
        <v>2437</v>
      </c>
      <c r="K3169" t="s">
        <v>2438</v>
      </c>
    </row>
    <row r="3170" spans="1:11" hidden="1">
      <c r="A3170" s="28">
        <v>46322</v>
      </c>
      <c r="B3170" t="s">
        <v>186</v>
      </c>
      <c r="C3170" t="s">
        <v>203</v>
      </c>
      <c r="D3170" t="s">
        <v>217</v>
      </c>
      <c r="E3170">
        <f>IF(LEFT(D3170,6)="CLIENT",IFERROR(VLOOKUP(C3170,Config_Carteiras!$A:$B,2,FALSE),1),"")</f>
        <v>1</v>
      </c>
      <c r="F3170" s="25">
        <v>1226</v>
      </c>
      <c r="G3170" s="28">
        <f>IF(LEFT(D3170,6)="CLIENT",IF(E3170=0,WORKDAY(A3170-1,1,Dias_Sem_Compensacao!$A$2:$A$500),WORKDAY(A3170,E3170,Dias_Sem_Compensacao!$A$2:$A$500)),"")</f>
        <v>46323</v>
      </c>
      <c r="H3170" s="25">
        <v>0</v>
      </c>
      <c r="I3170" s="28">
        <v>46322</v>
      </c>
      <c r="J3170" t="s">
        <v>3028</v>
      </c>
      <c r="K3170" t="s">
        <v>3029</v>
      </c>
    </row>
    <row r="3171" spans="1:11" hidden="1">
      <c r="A3171" s="28">
        <v>46322</v>
      </c>
      <c r="B3171" t="s">
        <v>186</v>
      </c>
      <c r="C3171" t="s">
        <v>203</v>
      </c>
      <c r="D3171" t="s">
        <v>217</v>
      </c>
      <c r="E3171">
        <f>IF(LEFT(D3171,6)="CLIENT",IFERROR(VLOOKUP(C3171,Config_Carteiras!$A:$B,2,FALSE),1),"")</f>
        <v>1</v>
      </c>
      <c r="F3171" s="25">
        <v>1220</v>
      </c>
      <c r="G3171" s="28">
        <f>IF(LEFT(D3171,6)="CLIENT",IF(E3171=0,WORKDAY(A3171-1,1,Dias_Sem_Compensacao!$A$2:$A$500),WORKDAY(A3171,E3171,Dias_Sem_Compensacao!$A$2:$A$500)),"")</f>
        <v>46323</v>
      </c>
      <c r="H3171" s="25">
        <v>0</v>
      </c>
      <c r="I3171" s="28">
        <v>46322</v>
      </c>
      <c r="J3171" t="s">
        <v>2717</v>
      </c>
      <c r="K3171" t="s">
        <v>3030</v>
      </c>
    </row>
    <row r="3172" spans="1:11" hidden="1">
      <c r="A3172" s="28">
        <v>46322</v>
      </c>
      <c r="B3172" t="s">
        <v>186</v>
      </c>
      <c r="C3172" t="s">
        <v>203</v>
      </c>
      <c r="D3172" t="s">
        <v>217</v>
      </c>
      <c r="E3172">
        <f>IF(LEFT(D3172,6)="CLIENT",IFERROR(VLOOKUP(C3172,Config_Carteiras!$A:$B,2,FALSE),1),"")</f>
        <v>1</v>
      </c>
      <c r="F3172" s="25">
        <v>1758</v>
      </c>
      <c r="G3172" s="28">
        <f>IF(LEFT(D3172,6)="CLIENT",IF(E3172=0,WORKDAY(A3172-1,1,Dias_Sem_Compensacao!$A$2:$A$500),WORKDAY(A3172,E3172,Dias_Sem_Compensacao!$A$2:$A$500)),"")</f>
        <v>46323</v>
      </c>
      <c r="H3172" s="25">
        <v>0</v>
      </c>
      <c r="I3172" s="28">
        <v>46322</v>
      </c>
      <c r="J3172" t="s">
        <v>3031</v>
      </c>
      <c r="K3172" t="s">
        <v>3032</v>
      </c>
    </row>
    <row r="3173" spans="1:11" hidden="1">
      <c r="A3173" s="28">
        <v>46322</v>
      </c>
      <c r="B3173" t="s">
        <v>186</v>
      </c>
      <c r="C3173" t="s">
        <v>203</v>
      </c>
      <c r="D3173" t="s">
        <v>217</v>
      </c>
      <c r="E3173">
        <f>IF(LEFT(D3173,6)="CLIENT",IFERROR(VLOOKUP(C3173,Config_Carteiras!$A:$B,2,FALSE),1),"")</f>
        <v>1</v>
      </c>
      <c r="F3173" s="25">
        <v>16850</v>
      </c>
      <c r="G3173" s="28">
        <f>IF(LEFT(D3173,6)="CLIENT",IF(E3173=0,WORKDAY(A3173-1,1,Dias_Sem_Compensacao!$A$2:$A$500),WORKDAY(A3173,E3173,Dias_Sem_Compensacao!$A$2:$A$500)),"")</f>
        <v>46323</v>
      </c>
      <c r="H3173" s="25">
        <v>0</v>
      </c>
      <c r="I3173" s="28">
        <v>46322</v>
      </c>
      <c r="J3173" t="s">
        <v>1201</v>
      </c>
      <c r="K3173" t="s">
        <v>3033</v>
      </c>
    </row>
    <row r="3174" spans="1:11" hidden="1">
      <c r="A3174" s="28">
        <v>46322</v>
      </c>
      <c r="B3174" t="s">
        <v>186</v>
      </c>
      <c r="C3174" t="s">
        <v>203</v>
      </c>
      <c r="D3174" t="s">
        <v>217</v>
      </c>
      <c r="E3174">
        <f>IF(LEFT(D3174,6)="CLIENT",IFERROR(VLOOKUP(C3174,Config_Carteiras!$A:$B,2,FALSE),1),"")</f>
        <v>1</v>
      </c>
      <c r="F3174" s="25">
        <v>937</v>
      </c>
      <c r="G3174" s="28">
        <f>IF(LEFT(D3174,6)="CLIENT",IF(E3174=0,WORKDAY(A3174-1,1,Dias_Sem_Compensacao!$A$2:$A$500),WORKDAY(A3174,E3174,Dias_Sem_Compensacao!$A$2:$A$500)),"")</f>
        <v>46323</v>
      </c>
      <c r="H3174" s="25">
        <v>0</v>
      </c>
      <c r="I3174" s="28">
        <v>46322</v>
      </c>
      <c r="J3174" t="s">
        <v>2443</v>
      </c>
      <c r="K3174" t="s">
        <v>2444</v>
      </c>
    </row>
    <row r="3175" spans="1:11" hidden="1">
      <c r="A3175" s="28">
        <v>46322</v>
      </c>
      <c r="B3175" t="s">
        <v>186</v>
      </c>
      <c r="C3175" t="s">
        <v>203</v>
      </c>
      <c r="D3175" t="s">
        <v>217</v>
      </c>
      <c r="E3175">
        <f>IF(LEFT(D3175,6)="CLIENT",IFERROR(VLOOKUP(C3175,Config_Carteiras!$A:$B,2,FALSE),1),"")</f>
        <v>1</v>
      </c>
      <c r="F3175" s="25">
        <v>637</v>
      </c>
      <c r="G3175" s="28">
        <f>IF(LEFT(D3175,6)="CLIENT",IF(E3175=0,WORKDAY(A3175-1,1,Dias_Sem_Compensacao!$A$2:$A$500),WORKDAY(A3175,E3175,Dias_Sem_Compensacao!$A$2:$A$500)),"")</f>
        <v>46323</v>
      </c>
      <c r="H3175" s="25">
        <v>0</v>
      </c>
      <c r="I3175" s="28">
        <v>46322</v>
      </c>
      <c r="J3175" t="s">
        <v>3034</v>
      </c>
      <c r="K3175" t="s">
        <v>3035</v>
      </c>
    </row>
    <row r="3176" spans="1:11" hidden="1">
      <c r="A3176" s="28">
        <v>46322</v>
      </c>
      <c r="B3176" t="s">
        <v>186</v>
      </c>
      <c r="C3176" t="s">
        <v>203</v>
      </c>
      <c r="D3176" t="s">
        <v>217</v>
      </c>
      <c r="E3176">
        <f>IF(LEFT(D3176,6)="CLIENT",IFERROR(VLOOKUP(C3176,Config_Carteiras!$A:$B,2,FALSE),1),"")</f>
        <v>1</v>
      </c>
      <c r="F3176" s="25">
        <v>1016.13</v>
      </c>
      <c r="G3176" s="28">
        <f>IF(LEFT(D3176,6)="CLIENT",IF(E3176=0,WORKDAY(A3176-1,1,Dias_Sem_Compensacao!$A$2:$A$500),WORKDAY(A3176,E3176,Dias_Sem_Compensacao!$A$2:$A$500)),"")</f>
        <v>46323</v>
      </c>
      <c r="H3176" s="25">
        <v>0</v>
      </c>
      <c r="I3176" s="28">
        <v>46322</v>
      </c>
      <c r="J3176" t="s">
        <v>3393</v>
      </c>
      <c r="K3176" t="s">
        <v>3394</v>
      </c>
    </row>
    <row r="3177" spans="1:11" hidden="1">
      <c r="A3177" s="28">
        <v>46322</v>
      </c>
      <c r="B3177" t="s">
        <v>186</v>
      </c>
      <c r="C3177" t="s">
        <v>203</v>
      </c>
      <c r="D3177" t="s">
        <v>217</v>
      </c>
      <c r="E3177">
        <f>IF(LEFT(D3177,6)="CLIENT",IFERROR(VLOOKUP(C3177,Config_Carteiras!$A:$B,2,FALSE),1),"")</f>
        <v>1</v>
      </c>
      <c r="F3177" s="25">
        <v>632</v>
      </c>
      <c r="G3177" s="28">
        <f>IF(LEFT(D3177,6)="CLIENT",IF(E3177=0,WORKDAY(A3177-1,1,Dias_Sem_Compensacao!$A$2:$A$500),WORKDAY(A3177,E3177,Dias_Sem_Compensacao!$A$2:$A$500)),"")</f>
        <v>46323</v>
      </c>
      <c r="H3177" s="25">
        <v>0</v>
      </c>
      <c r="I3177" s="28">
        <v>46322</v>
      </c>
      <c r="J3177" t="s">
        <v>3036</v>
      </c>
      <c r="K3177" t="s">
        <v>3037</v>
      </c>
    </row>
    <row r="3178" spans="1:11" hidden="1">
      <c r="A3178" s="28">
        <v>46322</v>
      </c>
      <c r="B3178" t="s">
        <v>186</v>
      </c>
      <c r="C3178" t="s">
        <v>203</v>
      </c>
      <c r="D3178" t="s">
        <v>217</v>
      </c>
      <c r="E3178">
        <f>IF(LEFT(D3178,6)="CLIENT",IFERROR(VLOOKUP(C3178,Config_Carteiras!$A:$B,2,FALSE),1),"")</f>
        <v>1</v>
      </c>
      <c r="F3178" s="25">
        <v>4314.01</v>
      </c>
      <c r="G3178" s="28">
        <f>IF(LEFT(D3178,6)="CLIENT",IF(E3178=0,WORKDAY(A3178-1,1,Dias_Sem_Compensacao!$A$2:$A$500),WORKDAY(A3178,E3178,Dias_Sem_Compensacao!$A$2:$A$500)),"")</f>
        <v>46323</v>
      </c>
      <c r="H3178" s="25">
        <v>0</v>
      </c>
      <c r="I3178" s="28">
        <v>46322</v>
      </c>
      <c r="J3178" t="s">
        <v>1365</v>
      </c>
      <c r="K3178" t="s">
        <v>3395</v>
      </c>
    </row>
    <row r="3179" spans="1:11" hidden="1">
      <c r="A3179" s="28">
        <v>46322</v>
      </c>
      <c r="B3179" t="s">
        <v>186</v>
      </c>
      <c r="C3179" t="s">
        <v>203</v>
      </c>
      <c r="D3179" t="s">
        <v>217</v>
      </c>
      <c r="E3179">
        <f>IF(LEFT(D3179,6)="CLIENT",IFERROR(VLOOKUP(C3179,Config_Carteiras!$A:$B,2,FALSE),1),"")</f>
        <v>1</v>
      </c>
      <c r="F3179" s="25">
        <v>1076</v>
      </c>
      <c r="G3179" s="28">
        <f>IF(LEFT(D3179,6)="CLIENT",IF(E3179=0,WORKDAY(A3179-1,1,Dias_Sem_Compensacao!$A$2:$A$500),WORKDAY(A3179,E3179,Dias_Sem_Compensacao!$A$2:$A$500)),"")</f>
        <v>46323</v>
      </c>
      <c r="H3179" s="25">
        <v>0</v>
      </c>
      <c r="I3179" s="28">
        <v>46322</v>
      </c>
      <c r="J3179" t="s">
        <v>3038</v>
      </c>
      <c r="K3179" t="s">
        <v>3039</v>
      </c>
    </row>
    <row r="3180" spans="1:11" hidden="1">
      <c r="A3180" s="28">
        <v>46322</v>
      </c>
      <c r="B3180" t="s">
        <v>186</v>
      </c>
      <c r="C3180" t="s">
        <v>203</v>
      </c>
      <c r="D3180" t="s">
        <v>217</v>
      </c>
      <c r="E3180">
        <f>IF(LEFT(D3180,6)="CLIENT",IFERROR(VLOOKUP(C3180,Config_Carteiras!$A:$B,2,FALSE),1),"")</f>
        <v>1</v>
      </c>
      <c r="F3180" s="25">
        <v>2057.92</v>
      </c>
      <c r="G3180" s="28">
        <f>IF(LEFT(D3180,6)="CLIENT",IF(E3180=0,WORKDAY(A3180-1,1,Dias_Sem_Compensacao!$A$2:$A$500),WORKDAY(A3180,E3180,Dias_Sem_Compensacao!$A$2:$A$500)),"")</f>
        <v>46323</v>
      </c>
      <c r="H3180" s="25">
        <v>0</v>
      </c>
      <c r="I3180" s="28">
        <v>46322</v>
      </c>
      <c r="J3180" t="s">
        <v>2458</v>
      </c>
      <c r="K3180" t="s">
        <v>2459</v>
      </c>
    </row>
    <row r="3181" spans="1:11" hidden="1">
      <c r="A3181" s="28">
        <v>46322</v>
      </c>
      <c r="B3181" t="s">
        <v>186</v>
      </c>
      <c r="C3181" t="s">
        <v>203</v>
      </c>
      <c r="D3181" t="s">
        <v>217</v>
      </c>
      <c r="E3181">
        <f>IF(LEFT(D3181,6)="CLIENT",IFERROR(VLOOKUP(C3181,Config_Carteiras!$A:$B,2,FALSE),1),"")</f>
        <v>1</v>
      </c>
      <c r="F3181" s="25">
        <v>566</v>
      </c>
      <c r="G3181" s="28">
        <f>IF(LEFT(D3181,6)="CLIENT",IF(E3181=0,WORKDAY(A3181-1,1,Dias_Sem_Compensacao!$A$2:$A$500),WORKDAY(A3181,E3181,Dias_Sem_Compensacao!$A$2:$A$500)),"")</f>
        <v>46323</v>
      </c>
      <c r="H3181" s="25">
        <v>0</v>
      </c>
      <c r="I3181" s="28">
        <v>46322</v>
      </c>
      <c r="J3181" t="s">
        <v>3040</v>
      </c>
      <c r="K3181" t="s">
        <v>3041</v>
      </c>
    </row>
    <row r="3182" spans="1:11" hidden="1">
      <c r="A3182" s="28">
        <v>46322</v>
      </c>
      <c r="B3182" t="s">
        <v>186</v>
      </c>
      <c r="C3182" t="s">
        <v>203</v>
      </c>
      <c r="D3182" t="s">
        <v>217</v>
      </c>
      <c r="E3182">
        <f>IF(LEFT(D3182,6)="CLIENT",IFERROR(VLOOKUP(C3182,Config_Carteiras!$A:$B,2,FALSE),1),"")</f>
        <v>1</v>
      </c>
      <c r="F3182" s="25">
        <v>560.29999999999995</v>
      </c>
      <c r="G3182" s="28">
        <f>IF(LEFT(D3182,6)="CLIENT",IF(E3182=0,WORKDAY(A3182-1,1,Dias_Sem_Compensacao!$A$2:$A$500),WORKDAY(A3182,E3182,Dias_Sem_Compensacao!$A$2:$A$500)),"")</f>
        <v>46323</v>
      </c>
      <c r="H3182" s="25">
        <v>0</v>
      </c>
      <c r="I3182" s="28">
        <v>46322</v>
      </c>
      <c r="J3182" t="s">
        <v>2473</v>
      </c>
      <c r="K3182" t="s">
        <v>2474</v>
      </c>
    </row>
    <row r="3183" spans="1:11" hidden="1">
      <c r="A3183" s="28">
        <v>46322</v>
      </c>
      <c r="B3183" t="s">
        <v>186</v>
      </c>
      <c r="C3183" t="s">
        <v>203</v>
      </c>
      <c r="D3183" t="s">
        <v>217</v>
      </c>
      <c r="E3183">
        <f>IF(LEFT(D3183,6)="CLIENT",IFERROR(VLOOKUP(C3183,Config_Carteiras!$A:$B,2,FALSE),1),"")</f>
        <v>1</v>
      </c>
      <c r="F3183" s="25">
        <v>2782</v>
      </c>
      <c r="G3183" s="28">
        <f>IF(LEFT(D3183,6)="CLIENT",IF(E3183=0,WORKDAY(A3183-1,1,Dias_Sem_Compensacao!$A$2:$A$500),WORKDAY(A3183,E3183,Dias_Sem_Compensacao!$A$2:$A$500)),"")</f>
        <v>46323</v>
      </c>
      <c r="H3183" s="25">
        <v>0</v>
      </c>
      <c r="I3183" s="28">
        <v>46322</v>
      </c>
      <c r="J3183" t="s">
        <v>1227</v>
      </c>
      <c r="K3183" t="s">
        <v>3042</v>
      </c>
    </row>
    <row r="3184" spans="1:11" hidden="1">
      <c r="A3184" s="28">
        <v>46322</v>
      </c>
      <c r="B3184" t="s">
        <v>186</v>
      </c>
      <c r="C3184" t="s">
        <v>203</v>
      </c>
      <c r="D3184" t="s">
        <v>217</v>
      </c>
      <c r="E3184">
        <f>IF(LEFT(D3184,6)="CLIENT",IFERROR(VLOOKUP(C3184,Config_Carteiras!$A:$B,2,FALSE),1),"")</f>
        <v>1</v>
      </c>
      <c r="F3184" s="25">
        <v>421</v>
      </c>
      <c r="G3184" s="28">
        <f>IF(LEFT(D3184,6)="CLIENT",IF(E3184=0,WORKDAY(A3184-1,1,Dias_Sem_Compensacao!$A$2:$A$500),WORKDAY(A3184,E3184,Dias_Sem_Compensacao!$A$2:$A$500)),"")</f>
        <v>46323</v>
      </c>
      <c r="H3184" s="25">
        <v>0</v>
      </c>
      <c r="I3184" s="28">
        <v>46322</v>
      </c>
      <c r="J3184" t="s">
        <v>3043</v>
      </c>
      <c r="K3184" t="s">
        <v>3044</v>
      </c>
    </row>
    <row r="3185" spans="1:11" hidden="1">
      <c r="A3185" s="28">
        <v>46322</v>
      </c>
      <c r="B3185" t="s">
        <v>186</v>
      </c>
      <c r="C3185" t="s">
        <v>203</v>
      </c>
      <c r="D3185" t="s">
        <v>217</v>
      </c>
      <c r="E3185">
        <f>IF(LEFT(D3185,6)="CLIENT",IFERROR(VLOOKUP(C3185,Config_Carteiras!$A:$B,2,FALSE),1),"")</f>
        <v>1</v>
      </c>
      <c r="F3185" s="25">
        <v>801</v>
      </c>
      <c r="G3185" s="28">
        <f>IF(LEFT(D3185,6)="CLIENT",IF(E3185=0,WORKDAY(A3185-1,1,Dias_Sem_Compensacao!$A$2:$A$500),WORKDAY(A3185,E3185,Dias_Sem_Compensacao!$A$2:$A$500)),"")</f>
        <v>46323</v>
      </c>
      <c r="H3185" s="25">
        <v>0</v>
      </c>
      <c r="I3185" s="28">
        <v>46322</v>
      </c>
      <c r="J3185" t="s">
        <v>3045</v>
      </c>
      <c r="K3185" t="s">
        <v>3046</v>
      </c>
    </row>
    <row r="3186" spans="1:11" hidden="1">
      <c r="A3186" s="28">
        <v>46322</v>
      </c>
      <c r="B3186" t="s">
        <v>186</v>
      </c>
      <c r="C3186" t="s">
        <v>203</v>
      </c>
      <c r="D3186" t="s">
        <v>217</v>
      </c>
      <c r="E3186">
        <f>IF(LEFT(D3186,6)="CLIENT",IFERROR(VLOOKUP(C3186,Config_Carteiras!$A:$B,2,FALSE),1),"")</f>
        <v>1</v>
      </c>
      <c r="F3186" s="25">
        <v>707.8</v>
      </c>
      <c r="G3186" s="28">
        <f>IF(LEFT(D3186,6)="CLIENT",IF(E3186=0,WORKDAY(A3186-1,1,Dias_Sem_Compensacao!$A$2:$A$500),WORKDAY(A3186,E3186,Dias_Sem_Compensacao!$A$2:$A$500)),"")</f>
        <v>46323</v>
      </c>
      <c r="H3186" s="25">
        <v>0</v>
      </c>
      <c r="I3186" s="28">
        <v>46322</v>
      </c>
      <c r="J3186" t="s">
        <v>3047</v>
      </c>
      <c r="K3186" t="s">
        <v>3048</v>
      </c>
    </row>
    <row r="3187" spans="1:11" hidden="1">
      <c r="A3187" s="28">
        <v>46322</v>
      </c>
      <c r="B3187" t="s">
        <v>186</v>
      </c>
      <c r="C3187" t="s">
        <v>203</v>
      </c>
      <c r="D3187" t="s">
        <v>217</v>
      </c>
      <c r="E3187">
        <f>IF(LEFT(D3187,6)="CLIENT",IFERROR(VLOOKUP(C3187,Config_Carteiras!$A:$B,2,FALSE),1),"")</f>
        <v>1</v>
      </c>
      <c r="F3187" s="25">
        <v>758.27</v>
      </c>
      <c r="G3187" s="28">
        <f>IF(LEFT(D3187,6)="CLIENT",IF(E3187=0,WORKDAY(A3187-1,1,Dias_Sem_Compensacao!$A$2:$A$500),WORKDAY(A3187,E3187,Dias_Sem_Compensacao!$A$2:$A$500)),"")</f>
        <v>46323</v>
      </c>
      <c r="H3187" s="25">
        <v>0</v>
      </c>
      <c r="I3187" s="28">
        <v>46322</v>
      </c>
      <c r="J3187" t="s">
        <v>2490</v>
      </c>
      <c r="K3187" t="s">
        <v>2491</v>
      </c>
    </row>
    <row r="3188" spans="1:11" hidden="1">
      <c r="A3188" s="28">
        <v>46322</v>
      </c>
      <c r="B3188" t="s">
        <v>186</v>
      </c>
      <c r="C3188" t="s">
        <v>203</v>
      </c>
      <c r="D3188" t="s">
        <v>217</v>
      </c>
      <c r="E3188">
        <f>IF(LEFT(D3188,6)="CLIENT",IFERROR(VLOOKUP(C3188,Config_Carteiras!$A:$B,2,FALSE),1),"")</f>
        <v>1</v>
      </c>
      <c r="F3188" s="25">
        <v>430.8</v>
      </c>
      <c r="G3188" s="28">
        <f>IF(LEFT(D3188,6)="CLIENT",IF(E3188=0,WORKDAY(A3188-1,1,Dias_Sem_Compensacao!$A$2:$A$500),WORKDAY(A3188,E3188,Dias_Sem_Compensacao!$A$2:$A$500)),"")</f>
        <v>46323</v>
      </c>
      <c r="H3188" s="25">
        <v>0</v>
      </c>
      <c r="I3188" s="28">
        <v>46322</v>
      </c>
      <c r="J3188" t="s">
        <v>3051</v>
      </c>
      <c r="K3188" t="s">
        <v>3052</v>
      </c>
    </row>
    <row r="3189" spans="1:11" hidden="1">
      <c r="A3189" s="28">
        <v>46322</v>
      </c>
      <c r="B3189" t="s">
        <v>186</v>
      </c>
      <c r="C3189" t="s">
        <v>203</v>
      </c>
      <c r="D3189" t="s">
        <v>217</v>
      </c>
      <c r="E3189">
        <f>IF(LEFT(D3189,6)="CLIENT",IFERROR(VLOOKUP(C3189,Config_Carteiras!$A:$B,2,FALSE),1),"")</f>
        <v>1</v>
      </c>
      <c r="F3189" s="25">
        <v>1143.5999999999999</v>
      </c>
      <c r="G3189" s="28">
        <f>IF(LEFT(D3189,6)="CLIENT",IF(E3189=0,WORKDAY(A3189-1,1,Dias_Sem_Compensacao!$A$2:$A$500),WORKDAY(A3189,E3189,Dias_Sem_Compensacao!$A$2:$A$500)),"")</f>
        <v>46323</v>
      </c>
      <c r="H3189" s="25">
        <v>0</v>
      </c>
      <c r="I3189" s="28">
        <v>46322</v>
      </c>
      <c r="J3189" t="s">
        <v>1250</v>
      </c>
      <c r="K3189" t="s">
        <v>1251</v>
      </c>
    </row>
    <row r="3190" spans="1:11" hidden="1">
      <c r="A3190" s="28">
        <v>46322</v>
      </c>
      <c r="B3190" t="s">
        <v>186</v>
      </c>
      <c r="C3190" t="s">
        <v>203</v>
      </c>
      <c r="D3190" t="s">
        <v>217</v>
      </c>
      <c r="E3190">
        <f>IF(LEFT(D3190,6)="CLIENT",IFERROR(VLOOKUP(C3190,Config_Carteiras!$A:$B,2,FALSE),1),"")</f>
        <v>1</v>
      </c>
      <c r="F3190" s="25">
        <v>1819</v>
      </c>
      <c r="G3190" s="28">
        <f>IF(LEFT(D3190,6)="CLIENT",IF(E3190=0,WORKDAY(A3190-1,1,Dias_Sem_Compensacao!$A$2:$A$500),WORKDAY(A3190,E3190,Dias_Sem_Compensacao!$A$2:$A$500)),"")</f>
        <v>46323</v>
      </c>
      <c r="H3190" s="25">
        <v>0</v>
      </c>
      <c r="I3190" s="28">
        <v>46322</v>
      </c>
      <c r="J3190" t="s">
        <v>2494</v>
      </c>
      <c r="K3190" t="s">
        <v>2495</v>
      </c>
    </row>
    <row r="3191" spans="1:11" hidden="1">
      <c r="A3191" s="28">
        <v>46322</v>
      </c>
      <c r="B3191" t="s">
        <v>186</v>
      </c>
      <c r="C3191" t="s">
        <v>203</v>
      </c>
      <c r="D3191" t="s">
        <v>217</v>
      </c>
      <c r="E3191">
        <f>IF(LEFT(D3191,6)="CLIENT",IFERROR(VLOOKUP(C3191,Config_Carteiras!$A:$B,2,FALSE),1),"")</f>
        <v>1</v>
      </c>
      <c r="F3191" s="25">
        <v>2374</v>
      </c>
      <c r="G3191" s="28">
        <f>IF(LEFT(D3191,6)="CLIENT",IF(E3191=0,WORKDAY(A3191-1,1,Dias_Sem_Compensacao!$A$2:$A$500),WORKDAY(A3191,E3191,Dias_Sem_Compensacao!$A$2:$A$500)),"")</f>
        <v>46323</v>
      </c>
      <c r="H3191" s="25">
        <v>0</v>
      </c>
      <c r="I3191" s="28">
        <v>46322</v>
      </c>
      <c r="J3191" t="s">
        <v>2496</v>
      </c>
      <c r="K3191" t="s">
        <v>2497</v>
      </c>
    </row>
    <row r="3192" spans="1:11" hidden="1">
      <c r="A3192" s="28">
        <v>46322</v>
      </c>
      <c r="B3192" t="s">
        <v>186</v>
      </c>
      <c r="C3192" t="s">
        <v>203</v>
      </c>
      <c r="D3192" t="s">
        <v>217</v>
      </c>
      <c r="E3192">
        <f>IF(LEFT(D3192,6)="CLIENT",IFERROR(VLOOKUP(C3192,Config_Carteiras!$A:$B,2,FALSE),1),"")</f>
        <v>1</v>
      </c>
      <c r="F3192" s="25">
        <v>559</v>
      </c>
      <c r="G3192" s="28">
        <f>IF(LEFT(D3192,6)="CLIENT",IF(E3192=0,WORKDAY(A3192-1,1,Dias_Sem_Compensacao!$A$2:$A$500),WORKDAY(A3192,E3192,Dias_Sem_Compensacao!$A$2:$A$500)),"")</f>
        <v>46323</v>
      </c>
      <c r="H3192" s="25">
        <v>0</v>
      </c>
      <c r="I3192" s="28">
        <v>46322</v>
      </c>
      <c r="J3192" t="s">
        <v>1255</v>
      </c>
      <c r="K3192" t="s">
        <v>2498</v>
      </c>
    </row>
    <row r="3193" spans="1:11" hidden="1">
      <c r="A3193" s="28">
        <v>46322</v>
      </c>
      <c r="B3193" t="s">
        <v>186</v>
      </c>
      <c r="C3193" t="s">
        <v>203</v>
      </c>
      <c r="D3193" t="s">
        <v>217</v>
      </c>
      <c r="E3193">
        <f>IF(LEFT(D3193,6)="CLIENT",IFERROR(VLOOKUP(C3193,Config_Carteiras!$A:$B,2,FALSE),1),"")</f>
        <v>1</v>
      </c>
      <c r="F3193" s="25">
        <v>409.16</v>
      </c>
      <c r="G3193" s="28">
        <f>IF(LEFT(D3193,6)="CLIENT",IF(E3193=0,WORKDAY(A3193-1,1,Dias_Sem_Compensacao!$A$2:$A$500),WORKDAY(A3193,E3193,Dias_Sem_Compensacao!$A$2:$A$500)),"")</f>
        <v>46323</v>
      </c>
      <c r="H3193" s="25">
        <v>0</v>
      </c>
      <c r="I3193" s="28">
        <v>46322</v>
      </c>
      <c r="J3193" t="s">
        <v>2499</v>
      </c>
      <c r="K3193" t="s">
        <v>2500</v>
      </c>
    </row>
    <row r="3194" spans="1:11" hidden="1">
      <c r="A3194" s="28">
        <v>46322</v>
      </c>
      <c r="B3194" t="s">
        <v>186</v>
      </c>
      <c r="C3194" t="s">
        <v>203</v>
      </c>
      <c r="D3194" t="s">
        <v>217</v>
      </c>
      <c r="E3194">
        <f>IF(LEFT(D3194,6)="CLIENT",IFERROR(VLOOKUP(C3194,Config_Carteiras!$A:$B,2,FALSE),1),"")</f>
        <v>1</v>
      </c>
      <c r="F3194" s="25">
        <v>686.31</v>
      </c>
      <c r="G3194" s="28">
        <f>IF(LEFT(D3194,6)="CLIENT",IF(E3194=0,WORKDAY(A3194-1,1,Dias_Sem_Compensacao!$A$2:$A$500),WORKDAY(A3194,E3194,Dias_Sem_Compensacao!$A$2:$A$500)),"")</f>
        <v>46323</v>
      </c>
      <c r="H3194" s="25">
        <v>0</v>
      </c>
      <c r="I3194" s="28">
        <v>46322</v>
      </c>
      <c r="J3194" t="s">
        <v>2501</v>
      </c>
      <c r="K3194" t="s">
        <v>2502</v>
      </c>
    </row>
    <row r="3195" spans="1:11" hidden="1">
      <c r="A3195" s="28">
        <v>46322</v>
      </c>
      <c r="B3195" t="s">
        <v>186</v>
      </c>
      <c r="C3195" t="s">
        <v>203</v>
      </c>
      <c r="D3195" t="s">
        <v>217</v>
      </c>
      <c r="E3195">
        <f>IF(LEFT(D3195,6)="CLIENT",IFERROR(VLOOKUP(C3195,Config_Carteiras!$A:$B,2,FALSE),1),"")</f>
        <v>1</v>
      </c>
      <c r="F3195" s="25">
        <v>1066</v>
      </c>
      <c r="G3195" s="28">
        <f>IF(LEFT(D3195,6)="CLIENT",IF(E3195=0,WORKDAY(A3195-1,1,Dias_Sem_Compensacao!$A$2:$A$500),WORKDAY(A3195,E3195,Dias_Sem_Compensacao!$A$2:$A$500)),"")</f>
        <v>46323</v>
      </c>
      <c r="H3195" s="25">
        <v>0</v>
      </c>
      <c r="I3195" s="28">
        <v>46322</v>
      </c>
      <c r="J3195" t="s">
        <v>3396</v>
      </c>
      <c r="K3195" t="s">
        <v>3397</v>
      </c>
    </row>
    <row r="3196" spans="1:11" hidden="1">
      <c r="A3196" s="28">
        <v>46322</v>
      </c>
      <c r="B3196" t="s">
        <v>186</v>
      </c>
      <c r="C3196" t="s">
        <v>203</v>
      </c>
      <c r="D3196" t="s">
        <v>217</v>
      </c>
      <c r="E3196">
        <f>IF(LEFT(D3196,6)="CLIENT",IFERROR(VLOOKUP(C3196,Config_Carteiras!$A:$B,2,FALSE),1),"")</f>
        <v>1</v>
      </c>
      <c r="F3196" s="25">
        <v>660</v>
      </c>
      <c r="G3196" s="28">
        <f>IF(LEFT(D3196,6)="CLIENT",IF(E3196=0,WORKDAY(A3196-1,1,Dias_Sem_Compensacao!$A$2:$A$500),WORKDAY(A3196,E3196,Dias_Sem_Compensacao!$A$2:$A$500)),"")</f>
        <v>46323</v>
      </c>
      <c r="H3196" s="25">
        <v>0</v>
      </c>
      <c r="I3196" s="28">
        <v>46322</v>
      </c>
      <c r="J3196" t="s">
        <v>1910</v>
      </c>
      <c r="K3196" t="s">
        <v>3053</v>
      </c>
    </row>
    <row r="3197" spans="1:11" hidden="1">
      <c r="A3197" s="28">
        <v>46322</v>
      </c>
      <c r="B3197" t="s">
        <v>186</v>
      </c>
      <c r="C3197" t="s">
        <v>203</v>
      </c>
      <c r="D3197" t="s">
        <v>217</v>
      </c>
      <c r="E3197">
        <f>IF(LEFT(D3197,6)="CLIENT",IFERROR(VLOOKUP(C3197,Config_Carteiras!$A:$B,2,FALSE),1),"")</f>
        <v>1</v>
      </c>
      <c r="F3197" s="25">
        <v>1271</v>
      </c>
      <c r="G3197" s="28">
        <f>IF(LEFT(D3197,6)="CLIENT",IF(E3197=0,WORKDAY(A3197-1,1,Dias_Sem_Compensacao!$A$2:$A$500),WORKDAY(A3197,E3197,Dias_Sem_Compensacao!$A$2:$A$500)),"")</f>
        <v>46323</v>
      </c>
      <c r="H3197" s="25">
        <v>0</v>
      </c>
      <c r="I3197" s="28">
        <v>46322</v>
      </c>
      <c r="J3197" t="s">
        <v>2512</v>
      </c>
      <c r="K3197" t="s">
        <v>2513</v>
      </c>
    </row>
    <row r="3198" spans="1:11" hidden="1">
      <c r="A3198" s="28">
        <v>46322</v>
      </c>
      <c r="B3198" t="s">
        <v>186</v>
      </c>
      <c r="C3198" t="s">
        <v>203</v>
      </c>
      <c r="D3198" t="s">
        <v>217</v>
      </c>
      <c r="E3198">
        <f>IF(LEFT(D3198,6)="CLIENT",IFERROR(VLOOKUP(C3198,Config_Carteiras!$A:$B,2,FALSE),1),"")</f>
        <v>1</v>
      </c>
      <c r="F3198" s="25">
        <v>470.28</v>
      </c>
      <c r="G3198" s="28">
        <f>IF(LEFT(D3198,6)="CLIENT",IF(E3198=0,WORKDAY(A3198-1,1,Dias_Sem_Compensacao!$A$2:$A$500),WORKDAY(A3198,E3198,Dias_Sem_Compensacao!$A$2:$A$500)),"")</f>
        <v>46323</v>
      </c>
      <c r="H3198" s="25">
        <v>0</v>
      </c>
      <c r="I3198" s="28">
        <v>46322</v>
      </c>
      <c r="J3198" t="s">
        <v>2012</v>
      </c>
      <c r="K3198" t="s">
        <v>2013</v>
      </c>
    </row>
    <row r="3199" spans="1:11" hidden="1">
      <c r="A3199" s="28">
        <v>46322</v>
      </c>
      <c r="B3199" t="s">
        <v>186</v>
      </c>
      <c r="C3199" t="s">
        <v>203</v>
      </c>
      <c r="D3199" t="s">
        <v>217</v>
      </c>
      <c r="E3199">
        <f>IF(LEFT(D3199,6)="CLIENT",IFERROR(VLOOKUP(C3199,Config_Carteiras!$A:$B,2,FALSE),1),"")</f>
        <v>1</v>
      </c>
      <c r="F3199" s="25">
        <v>1199</v>
      </c>
      <c r="G3199" s="28">
        <f>IF(LEFT(D3199,6)="CLIENT",IF(E3199=0,WORKDAY(A3199-1,1,Dias_Sem_Compensacao!$A$2:$A$500),WORKDAY(A3199,E3199,Dias_Sem_Compensacao!$A$2:$A$500)),"")</f>
        <v>46323</v>
      </c>
      <c r="H3199" s="25">
        <v>0</v>
      </c>
      <c r="I3199" s="28">
        <v>46322</v>
      </c>
      <c r="J3199" t="s">
        <v>3398</v>
      </c>
      <c r="K3199" t="s">
        <v>3399</v>
      </c>
    </row>
    <row r="3200" spans="1:11" hidden="1">
      <c r="A3200" s="28">
        <v>46322</v>
      </c>
      <c r="B3200" t="s">
        <v>186</v>
      </c>
      <c r="C3200" t="s">
        <v>203</v>
      </c>
      <c r="D3200" t="s">
        <v>217</v>
      </c>
      <c r="E3200">
        <f>IF(LEFT(D3200,6)="CLIENT",IFERROR(VLOOKUP(C3200,Config_Carteiras!$A:$B,2,FALSE),1),"")</f>
        <v>1</v>
      </c>
      <c r="F3200" s="25">
        <v>1720</v>
      </c>
      <c r="G3200" s="28">
        <f>IF(LEFT(D3200,6)="CLIENT",IF(E3200=0,WORKDAY(A3200-1,1,Dias_Sem_Compensacao!$A$2:$A$500),WORKDAY(A3200,E3200,Dias_Sem_Compensacao!$A$2:$A$500)),"")</f>
        <v>46323</v>
      </c>
      <c r="H3200" s="25">
        <v>0</v>
      </c>
      <c r="I3200" s="28">
        <v>46322</v>
      </c>
      <c r="J3200" t="s">
        <v>2018</v>
      </c>
      <c r="K3200" t="s">
        <v>2019</v>
      </c>
    </row>
    <row r="3201" spans="1:11" hidden="1">
      <c r="A3201" s="28">
        <v>46322</v>
      </c>
      <c r="B3201" t="s">
        <v>186</v>
      </c>
      <c r="C3201" t="s">
        <v>203</v>
      </c>
      <c r="D3201" t="s">
        <v>217</v>
      </c>
      <c r="E3201">
        <f>IF(LEFT(D3201,6)="CLIENT",IFERROR(VLOOKUP(C3201,Config_Carteiras!$A:$B,2,FALSE),1),"")</f>
        <v>1</v>
      </c>
      <c r="F3201" s="25">
        <v>402.35</v>
      </c>
      <c r="G3201" s="28">
        <f>IF(LEFT(D3201,6)="CLIENT",IF(E3201=0,WORKDAY(A3201-1,1,Dias_Sem_Compensacao!$A$2:$A$500),WORKDAY(A3201,E3201,Dias_Sem_Compensacao!$A$2:$A$500)),"")</f>
        <v>46323</v>
      </c>
      <c r="H3201" s="25">
        <v>0</v>
      </c>
      <c r="I3201" s="28">
        <v>46322</v>
      </c>
      <c r="J3201" t="s">
        <v>792</v>
      </c>
      <c r="K3201" t="s">
        <v>3056</v>
      </c>
    </row>
    <row r="3202" spans="1:11" hidden="1">
      <c r="A3202" s="28">
        <v>46322</v>
      </c>
      <c r="B3202" t="s">
        <v>186</v>
      </c>
      <c r="C3202" t="s">
        <v>203</v>
      </c>
      <c r="D3202" t="s">
        <v>217</v>
      </c>
      <c r="E3202">
        <f>IF(LEFT(D3202,6)="CLIENT",IFERROR(VLOOKUP(C3202,Config_Carteiras!$A:$B,2,FALSE),1),"")</f>
        <v>1</v>
      </c>
      <c r="F3202" s="25">
        <v>1668</v>
      </c>
      <c r="G3202" s="28">
        <f>IF(LEFT(D3202,6)="CLIENT",IF(E3202=0,WORKDAY(A3202-1,1,Dias_Sem_Compensacao!$A$2:$A$500),WORKDAY(A3202,E3202,Dias_Sem_Compensacao!$A$2:$A$500)),"")</f>
        <v>46323</v>
      </c>
      <c r="H3202" s="25">
        <v>0</v>
      </c>
      <c r="I3202" s="28">
        <v>46322</v>
      </c>
      <c r="J3202" t="s">
        <v>1020</v>
      </c>
      <c r="K3202" t="s">
        <v>2539</v>
      </c>
    </row>
    <row r="3203" spans="1:11" hidden="1">
      <c r="A3203" s="28">
        <v>46322</v>
      </c>
      <c r="B3203" t="s">
        <v>186</v>
      </c>
      <c r="C3203" t="s">
        <v>203</v>
      </c>
      <c r="D3203" t="s">
        <v>217</v>
      </c>
      <c r="E3203">
        <f>IF(LEFT(D3203,6)="CLIENT",IFERROR(VLOOKUP(C3203,Config_Carteiras!$A:$B,2,FALSE),1),"")</f>
        <v>1</v>
      </c>
      <c r="F3203" s="25">
        <v>1440.16</v>
      </c>
      <c r="G3203" s="28">
        <f>IF(LEFT(D3203,6)="CLIENT",IF(E3203=0,WORKDAY(A3203-1,1,Dias_Sem_Compensacao!$A$2:$A$500),WORKDAY(A3203,E3203,Dias_Sem_Compensacao!$A$2:$A$500)),"")</f>
        <v>46323</v>
      </c>
      <c r="H3203" s="25">
        <v>0</v>
      </c>
      <c r="I3203" s="28">
        <v>46322</v>
      </c>
      <c r="J3203" t="s">
        <v>3062</v>
      </c>
      <c r="K3203" t="s">
        <v>3063</v>
      </c>
    </row>
    <row r="3204" spans="1:11" hidden="1">
      <c r="A3204" s="28">
        <v>46322</v>
      </c>
      <c r="B3204" t="s">
        <v>186</v>
      </c>
      <c r="C3204" t="s">
        <v>203</v>
      </c>
      <c r="D3204" t="s">
        <v>217</v>
      </c>
      <c r="E3204">
        <f>IF(LEFT(D3204,6)="CLIENT",IFERROR(VLOOKUP(C3204,Config_Carteiras!$A:$B,2,FALSE),1),"")</f>
        <v>1</v>
      </c>
      <c r="F3204" s="25">
        <v>844.6</v>
      </c>
      <c r="G3204" s="28">
        <f>IF(LEFT(D3204,6)="CLIENT",IF(E3204=0,WORKDAY(A3204-1,1,Dias_Sem_Compensacao!$A$2:$A$500),WORKDAY(A3204,E3204,Dias_Sem_Compensacao!$A$2:$A$500)),"")</f>
        <v>46323</v>
      </c>
      <c r="H3204" s="25">
        <v>0</v>
      </c>
      <c r="I3204" s="28">
        <v>46322</v>
      </c>
      <c r="J3204" t="s">
        <v>2541</v>
      </c>
      <c r="K3204" t="s">
        <v>2542</v>
      </c>
    </row>
    <row r="3205" spans="1:11" hidden="1">
      <c r="A3205" s="28">
        <v>46322</v>
      </c>
      <c r="B3205" t="s">
        <v>186</v>
      </c>
      <c r="C3205" t="s">
        <v>203</v>
      </c>
      <c r="D3205" t="s">
        <v>217</v>
      </c>
      <c r="E3205">
        <f>IF(LEFT(D3205,6)="CLIENT",IFERROR(VLOOKUP(C3205,Config_Carteiras!$A:$B,2,FALSE),1),"")</f>
        <v>1</v>
      </c>
      <c r="F3205" s="25">
        <v>6656</v>
      </c>
      <c r="G3205" s="28">
        <f>IF(LEFT(D3205,6)="CLIENT",IF(E3205=0,WORKDAY(A3205-1,1,Dias_Sem_Compensacao!$A$2:$A$500),WORKDAY(A3205,E3205,Dias_Sem_Compensacao!$A$2:$A$500)),"")</f>
        <v>46323</v>
      </c>
      <c r="H3205" s="25">
        <v>0</v>
      </c>
      <c r="I3205" s="28">
        <v>46322</v>
      </c>
      <c r="J3205" t="s">
        <v>1279</v>
      </c>
      <c r="K3205" t="s">
        <v>3400</v>
      </c>
    </row>
    <row r="3206" spans="1:11" hidden="1">
      <c r="A3206" s="28">
        <v>46322</v>
      </c>
      <c r="B3206" t="s">
        <v>186</v>
      </c>
      <c r="C3206" t="s">
        <v>203</v>
      </c>
      <c r="D3206" t="s">
        <v>217</v>
      </c>
      <c r="E3206">
        <f>IF(LEFT(D3206,6)="CLIENT",IFERROR(VLOOKUP(C3206,Config_Carteiras!$A:$B,2,FALSE),1),"")</f>
        <v>1</v>
      </c>
      <c r="F3206" s="25">
        <v>1321</v>
      </c>
      <c r="G3206" s="28">
        <f>IF(LEFT(D3206,6)="CLIENT",IF(E3206=0,WORKDAY(A3206-1,1,Dias_Sem_Compensacao!$A$2:$A$500),WORKDAY(A3206,E3206,Dias_Sem_Compensacao!$A$2:$A$500)),"")</f>
        <v>46323</v>
      </c>
      <c r="H3206" s="25">
        <v>0</v>
      </c>
      <c r="I3206" s="28">
        <v>46322</v>
      </c>
      <c r="J3206" t="s">
        <v>2993</v>
      </c>
      <c r="K3206" t="s">
        <v>3064</v>
      </c>
    </row>
    <row r="3207" spans="1:11" hidden="1">
      <c r="A3207" s="28">
        <v>46322</v>
      </c>
      <c r="B3207" t="s">
        <v>186</v>
      </c>
      <c r="C3207" t="s">
        <v>203</v>
      </c>
      <c r="D3207" t="s">
        <v>217</v>
      </c>
      <c r="E3207">
        <f>IF(LEFT(D3207,6)="CLIENT",IFERROR(VLOOKUP(C3207,Config_Carteiras!$A:$B,2,FALSE),1),"")</f>
        <v>1</v>
      </c>
      <c r="F3207" s="25">
        <v>3893</v>
      </c>
      <c r="G3207" s="28">
        <f>IF(LEFT(D3207,6)="CLIENT",IF(E3207=0,WORKDAY(A3207-1,1,Dias_Sem_Compensacao!$A$2:$A$500),WORKDAY(A3207,E3207,Dias_Sem_Compensacao!$A$2:$A$500)),"")</f>
        <v>46323</v>
      </c>
      <c r="H3207" s="25">
        <v>0</v>
      </c>
      <c r="I3207" s="28">
        <v>46322</v>
      </c>
      <c r="J3207" t="s">
        <v>3065</v>
      </c>
      <c r="K3207" t="s">
        <v>3066</v>
      </c>
    </row>
    <row r="3208" spans="1:11" hidden="1">
      <c r="A3208" s="28">
        <v>46322</v>
      </c>
      <c r="B3208" t="s">
        <v>186</v>
      </c>
      <c r="C3208" t="s">
        <v>203</v>
      </c>
      <c r="D3208" t="s">
        <v>217</v>
      </c>
      <c r="E3208">
        <f>IF(LEFT(D3208,6)="CLIENT",IFERROR(VLOOKUP(C3208,Config_Carteiras!$A:$B,2,FALSE),1),"")</f>
        <v>1</v>
      </c>
      <c r="F3208" s="25">
        <v>587.39</v>
      </c>
      <c r="G3208" s="28">
        <f>IF(LEFT(D3208,6)="CLIENT",IF(E3208=0,WORKDAY(A3208-1,1,Dias_Sem_Compensacao!$A$2:$A$500),WORKDAY(A3208,E3208,Dias_Sem_Compensacao!$A$2:$A$500)),"")</f>
        <v>46323</v>
      </c>
      <c r="H3208" s="25">
        <v>0</v>
      </c>
      <c r="I3208" s="28">
        <v>46322</v>
      </c>
      <c r="J3208" t="s">
        <v>3067</v>
      </c>
      <c r="K3208" t="s">
        <v>3068</v>
      </c>
    </row>
    <row r="3209" spans="1:11" hidden="1">
      <c r="A3209" s="28">
        <v>46322</v>
      </c>
      <c r="B3209" t="s">
        <v>186</v>
      </c>
      <c r="C3209" t="s">
        <v>203</v>
      </c>
      <c r="D3209" t="s">
        <v>217</v>
      </c>
      <c r="E3209">
        <f>IF(LEFT(D3209,6)="CLIENT",IFERROR(VLOOKUP(C3209,Config_Carteiras!$A:$B,2,FALSE),1),"")</f>
        <v>1</v>
      </c>
      <c r="F3209" s="25">
        <v>521</v>
      </c>
      <c r="G3209" s="28">
        <f>IF(LEFT(D3209,6)="CLIENT",IF(E3209=0,WORKDAY(A3209-1,1,Dias_Sem_Compensacao!$A$2:$A$500),WORKDAY(A3209,E3209,Dias_Sem_Compensacao!$A$2:$A$500)),"")</f>
        <v>46323</v>
      </c>
      <c r="H3209" s="25">
        <v>0</v>
      </c>
      <c r="I3209" s="28">
        <v>46322</v>
      </c>
      <c r="J3209" t="s">
        <v>1929</v>
      </c>
      <c r="K3209" t="s">
        <v>2551</v>
      </c>
    </row>
    <row r="3210" spans="1:11" hidden="1">
      <c r="A3210" s="28">
        <v>46323</v>
      </c>
      <c r="B3210" t="s">
        <v>186</v>
      </c>
      <c r="C3210" t="s">
        <v>203</v>
      </c>
      <c r="D3210" t="s">
        <v>217</v>
      </c>
      <c r="E3210">
        <f>IF(LEFT(D3210,6)="CLIENT",IFERROR(VLOOKUP(C3210,Config_Carteiras!$A:$B,2,FALSE),1),"")</f>
        <v>1</v>
      </c>
      <c r="F3210" s="25">
        <v>431</v>
      </c>
      <c r="G3210" s="28">
        <f>IF(LEFT(D3210,6)="CLIENT",IF(E3210=0,WORKDAY(A3210-1,1,Dias_Sem_Compensacao!$A$2:$A$500),WORKDAY(A3210,E3210,Dias_Sem_Compensacao!$A$2:$A$500)),"")</f>
        <v>46324</v>
      </c>
      <c r="H3210" s="25">
        <v>0</v>
      </c>
      <c r="I3210" s="28">
        <v>46323</v>
      </c>
      <c r="J3210" t="s">
        <v>3071</v>
      </c>
      <c r="K3210" t="s">
        <v>3072</v>
      </c>
    </row>
    <row r="3211" spans="1:11" hidden="1">
      <c r="A3211" s="28">
        <v>46323</v>
      </c>
      <c r="B3211" t="s">
        <v>186</v>
      </c>
      <c r="C3211" t="s">
        <v>203</v>
      </c>
      <c r="D3211" t="s">
        <v>217</v>
      </c>
      <c r="E3211">
        <f>IF(LEFT(D3211,6)="CLIENT",IFERROR(VLOOKUP(C3211,Config_Carteiras!$A:$B,2,FALSE),1),"")</f>
        <v>1</v>
      </c>
      <c r="F3211" s="25">
        <v>391.51</v>
      </c>
      <c r="G3211" s="28">
        <f>IF(LEFT(D3211,6)="CLIENT",IF(E3211=0,WORKDAY(A3211-1,1,Dias_Sem_Compensacao!$A$2:$A$500),WORKDAY(A3211,E3211,Dias_Sem_Compensacao!$A$2:$A$500)),"")</f>
        <v>46324</v>
      </c>
      <c r="H3211" s="25">
        <v>0</v>
      </c>
      <c r="I3211" s="28">
        <v>46323</v>
      </c>
      <c r="J3211" t="s">
        <v>1291</v>
      </c>
      <c r="K3211" t="s">
        <v>1292</v>
      </c>
    </row>
    <row r="3212" spans="1:11" hidden="1">
      <c r="A3212" s="28">
        <v>46323</v>
      </c>
      <c r="B3212" t="s">
        <v>186</v>
      </c>
      <c r="C3212" t="s">
        <v>203</v>
      </c>
      <c r="D3212" t="s">
        <v>217</v>
      </c>
      <c r="E3212">
        <f>IF(LEFT(D3212,6)="CLIENT",IFERROR(VLOOKUP(C3212,Config_Carteiras!$A:$B,2,FALSE),1),"")</f>
        <v>1</v>
      </c>
      <c r="F3212" s="25">
        <v>643</v>
      </c>
      <c r="G3212" s="28">
        <f>IF(LEFT(D3212,6)="CLIENT",IF(E3212=0,WORKDAY(A3212-1,1,Dias_Sem_Compensacao!$A$2:$A$500),WORKDAY(A3212,E3212,Dias_Sem_Compensacao!$A$2:$A$500)),"")</f>
        <v>46324</v>
      </c>
      <c r="H3212" s="25">
        <v>0</v>
      </c>
      <c r="I3212" s="28">
        <v>46323</v>
      </c>
      <c r="J3212" t="s">
        <v>2552</v>
      </c>
      <c r="K3212" t="s">
        <v>2553</v>
      </c>
    </row>
    <row r="3213" spans="1:11" hidden="1">
      <c r="A3213" s="28">
        <v>46323</v>
      </c>
      <c r="B3213" t="s">
        <v>186</v>
      </c>
      <c r="C3213" t="s">
        <v>203</v>
      </c>
      <c r="D3213" t="s">
        <v>217</v>
      </c>
      <c r="E3213">
        <f>IF(LEFT(D3213,6)="CLIENT",IFERROR(VLOOKUP(C3213,Config_Carteiras!$A:$B,2,FALSE),1),"")</f>
        <v>1</v>
      </c>
      <c r="F3213" s="25">
        <v>1220</v>
      </c>
      <c r="G3213" s="28">
        <f>IF(LEFT(D3213,6)="CLIENT",IF(E3213=0,WORKDAY(A3213-1,1,Dias_Sem_Compensacao!$A$2:$A$500),WORKDAY(A3213,E3213,Dias_Sem_Compensacao!$A$2:$A$500)),"")</f>
        <v>46324</v>
      </c>
      <c r="H3213" s="25">
        <v>0</v>
      </c>
      <c r="I3213" s="28">
        <v>46323</v>
      </c>
      <c r="J3213" t="s">
        <v>2557</v>
      </c>
      <c r="K3213" t="s">
        <v>2558</v>
      </c>
    </row>
    <row r="3214" spans="1:11" hidden="1">
      <c r="A3214" s="28">
        <v>46323</v>
      </c>
      <c r="B3214" t="s">
        <v>186</v>
      </c>
      <c r="C3214" t="s">
        <v>203</v>
      </c>
      <c r="D3214" t="s">
        <v>217</v>
      </c>
      <c r="E3214">
        <f>IF(LEFT(D3214,6)="CLIENT",IFERROR(VLOOKUP(C3214,Config_Carteiras!$A:$B,2,FALSE),1),"")</f>
        <v>1</v>
      </c>
      <c r="F3214" s="25">
        <v>668.03</v>
      </c>
      <c r="G3214" s="28">
        <f>IF(LEFT(D3214,6)="CLIENT",IF(E3214=0,WORKDAY(A3214-1,1,Dias_Sem_Compensacao!$A$2:$A$500),WORKDAY(A3214,E3214,Dias_Sem_Compensacao!$A$2:$A$500)),"")</f>
        <v>46324</v>
      </c>
      <c r="H3214" s="25">
        <v>0</v>
      </c>
      <c r="I3214" s="28">
        <v>46323</v>
      </c>
      <c r="J3214" t="s">
        <v>1304</v>
      </c>
      <c r="K3214" t="s">
        <v>1305</v>
      </c>
    </row>
    <row r="3215" spans="1:11" hidden="1">
      <c r="A3215" s="28">
        <v>46323</v>
      </c>
      <c r="B3215" t="s">
        <v>186</v>
      </c>
      <c r="C3215" t="s">
        <v>203</v>
      </c>
      <c r="D3215" t="s">
        <v>217</v>
      </c>
      <c r="E3215">
        <f>IF(LEFT(D3215,6)="CLIENT",IFERROR(VLOOKUP(C3215,Config_Carteiras!$A:$B,2,FALSE),1),"")</f>
        <v>1</v>
      </c>
      <c r="F3215" s="25">
        <v>1768</v>
      </c>
      <c r="G3215" s="28">
        <f>IF(LEFT(D3215,6)="CLIENT",IF(E3215=0,WORKDAY(A3215-1,1,Dias_Sem_Compensacao!$A$2:$A$500),WORKDAY(A3215,E3215,Dias_Sem_Compensacao!$A$2:$A$500)),"")</f>
        <v>46324</v>
      </c>
      <c r="H3215" s="25">
        <v>0</v>
      </c>
      <c r="I3215" s="28">
        <v>46323</v>
      </c>
      <c r="J3215" t="s">
        <v>3074</v>
      </c>
      <c r="K3215" t="s">
        <v>3075</v>
      </c>
    </row>
    <row r="3216" spans="1:11" hidden="1">
      <c r="A3216" s="28">
        <v>46323</v>
      </c>
      <c r="B3216" t="s">
        <v>186</v>
      </c>
      <c r="C3216" t="s">
        <v>203</v>
      </c>
      <c r="D3216" t="s">
        <v>217</v>
      </c>
      <c r="E3216">
        <f>IF(LEFT(D3216,6)="CLIENT",IFERROR(VLOOKUP(C3216,Config_Carteiras!$A:$B,2,FALSE),1),"")</f>
        <v>1</v>
      </c>
      <c r="F3216" s="25">
        <v>2937.02</v>
      </c>
      <c r="G3216" s="28">
        <f>IF(LEFT(D3216,6)="CLIENT",IF(E3216=0,WORKDAY(A3216-1,1,Dias_Sem_Compensacao!$A$2:$A$500),WORKDAY(A3216,E3216,Dias_Sem_Compensacao!$A$2:$A$500)),"")</f>
        <v>46324</v>
      </c>
      <c r="H3216" s="25">
        <v>0</v>
      </c>
      <c r="I3216" s="28">
        <v>46323</v>
      </c>
      <c r="J3216" t="s">
        <v>2567</v>
      </c>
      <c r="K3216" t="s">
        <v>2568</v>
      </c>
    </row>
    <row r="3217" spans="1:11" hidden="1">
      <c r="A3217" s="28">
        <v>46323</v>
      </c>
      <c r="B3217" t="s">
        <v>186</v>
      </c>
      <c r="C3217" t="s">
        <v>203</v>
      </c>
      <c r="D3217" t="s">
        <v>217</v>
      </c>
      <c r="E3217">
        <f>IF(LEFT(D3217,6)="CLIENT",IFERROR(VLOOKUP(C3217,Config_Carteiras!$A:$B,2,FALSE),1),"")</f>
        <v>1</v>
      </c>
      <c r="F3217" s="25">
        <v>1173.8</v>
      </c>
      <c r="G3217" s="28">
        <f>IF(LEFT(D3217,6)="CLIENT",IF(E3217=0,WORKDAY(A3217-1,1,Dias_Sem_Compensacao!$A$2:$A$500),WORKDAY(A3217,E3217,Dias_Sem_Compensacao!$A$2:$A$500)),"")</f>
        <v>46324</v>
      </c>
      <c r="H3217" s="25">
        <v>0</v>
      </c>
      <c r="I3217" s="28">
        <v>46323</v>
      </c>
      <c r="J3217" t="s">
        <v>3076</v>
      </c>
      <c r="K3217" t="s">
        <v>3077</v>
      </c>
    </row>
    <row r="3218" spans="1:11" hidden="1">
      <c r="A3218" s="28">
        <v>46323</v>
      </c>
      <c r="B3218" t="s">
        <v>186</v>
      </c>
      <c r="C3218" t="s">
        <v>203</v>
      </c>
      <c r="D3218" t="s">
        <v>217</v>
      </c>
      <c r="E3218">
        <f>IF(LEFT(D3218,6)="CLIENT",IFERROR(VLOOKUP(C3218,Config_Carteiras!$A:$B,2,FALSE),1),"")</f>
        <v>1</v>
      </c>
      <c r="F3218" s="25">
        <v>571.22</v>
      </c>
      <c r="G3218" s="28">
        <f>IF(LEFT(D3218,6)="CLIENT",IF(E3218=0,WORKDAY(A3218-1,1,Dias_Sem_Compensacao!$A$2:$A$500),WORKDAY(A3218,E3218,Dias_Sem_Compensacao!$A$2:$A$500)),"")</f>
        <v>46324</v>
      </c>
      <c r="H3218" s="25">
        <v>0</v>
      </c>
      <c r="I3218" s="28">
        <v>46323</v>
      </c>
      <c r="J3218" t="s">
        <v>1943</v>
      </c>
      <c r="K3218" t="s">
        <v>2571</v>
      </c>
    </row>
    <row r="3219" spans="1:11" hidden="1">
      <c r="A3219" s="28">
        <v>46323</v>
      </c>
      <c r="B3219" t="s">
        <v>186</v>
      </c>
      <c r="C3219" t="s">
        <v>203</v>
      </c>
      <c r="D3219" t="s">
        <v>217</v>
      </c>
      <c r="E3219">
        <f>IF(LEFT(D3219,6)="CLIENT",IFERROR(VLOOKUP(C3219,Config_Carteiras!$A:$B,2,FALSE),1),"")</f>
        <v>1</v>
      </c>
      <c r="F3219" s="25">
        <v>4273.3900000000003</v>
      </c>
      <c r="G3219" s="28">
        <f>IF(LEFT(D3219,6)="CLIENT",IF(E3219=0,WORKDAY(A3219-1,1,Dias_Sem_Compensacao!$A$2:$A$500),WORKDAY(A3219,E3219,Dias_Sem_Compensacao!$A$2:$A$500)),"")</f>
        <v>46324</v>
      </c>
      <c r="H3219" s="25">
        <v>0</v>
      </c>
      <c r="I3219" s="28">
        <v>46323</v>
      </c>
      <c r="J3219" t="s">
        <v>1319</v>
      </c>
      <c r="K3219" t="s">
        <v>3401</v>
      </c>
    </row>
    <row r="3220" spans="1:11" hidden="1">
      <c r="A3220" s="28">
        <v>46323</v>
      </c>
      <c r="B3220" t="s">
        <v>186</v>
      </c>
      <c r="C3220" t="s">
        <v>203</v>
      </c>
      <c r="D3220" t="s">
        <v>217</v>
      </c>
      <c r="E3220">
        <f>IF(LEFT(D3220,6)="CLIENT",IFERROR(VLOOKUP(C3220,Config_Carteiras!$A:$B,2,FALSE),1),"")</f>
        <v>1</v>
      </c>
      <c r="F3220" s="25">
        <v>1140.01</v>
      </c>
      <c r="G3220" s="28">
        <f>IF(LEFT(D3220,6)="CLIENT",IF(E3220=0,WORKDAY(A3220-1,1,Dias_Sem_Compensacao!$A$2:$A$500),WORKDAY(A3220,E3220,Dias_Sem_Compensacao!$A$2:$A$500)),"")</f>
        <v>46324</v>
      </c>
      <c r="H3220" s="25">
        <v>0</v>
      </c>
      <c r="I3220" s="28">
        <v>46323</v>
      </c>
      <c r="J3220" t="s">
        <v>2572</v>
      </c>
      <c r="K3220" t="s">
        <v>2573</v>
      </c>
    </row>
    <row r="3221" spans="1:11" hidden="1">
      <c r="A3221" s="28">
        <v>46323</v>
      </c>
      <c r="B3221" t="s">
        <v>186</v>
      </c>
      <c r="C3221" t="s">
        <v>203</v>
      </c>
      <c r="D3221" t="s">
        <v>217</v>
      </c>
      <c r="E3221">
        <f>IF(LEFT(D3221,6)="CLIENT",IFERROR(VLOOKUP(C3221,Config_Carteiras!$A:$B,2,FALSE),1),"")</f>
        <v>1</v>
      </c>
      <c r="F3221" s="25">
        <v>1473</v>
      </c>
      <c r="G3221" s="28">
        <f>IF(LEFT(D3221,6)="CLIENT",IF(E3221=0,WORKDAY(A3221-1,1,Dias_Sem_Compensacao!$A$2:$A$500),WORKDAY(A3221,E3221,Dias_Sem_Compensacao!$A$2:$A$500)),"")</f>
        <v>46324</v>
      </c>
      <c r="H3221" s="25">
        <v>0</v>
      </c>
      <c r="I3221" s="28">
        <v>46323</v>
      </c>
      <c r="J3221" t="s">
        <v>3080</v>
      </c>
      <c r="K3221" t="s">
        <v>3081</v>
      </c>
    </row>
    <row r="3222" spans="1:11" hidden="1">
      <c r="A3222" s="28">
        <v>46323</v>
      </c>
      <c r="B3222" t="s">
        <v>186</v>
      </c>
      <c r="C3222" t="s">
        <v>203</v>
      </c>
      <c r="D3222" t="s">
        <v>217</v>
      </c>
      <c r="E3222">
        <f>IF(LEFT(D3222,6)="CLIENT",IFERROR(VLOOKUP(C3222,Config_Carteiras!$A:$B,2,FALSE),1),"")</f>
        <v>1</v>
      </c>
      <c r="F3222" s="25">
        <v>1233.27</v>
      </c>
      <c r="G3222" s="28">
        <f>IF(LEFT(D3222,6)="CLIENT",IF(E3222=0,WORKDAY(A3222-1,1,Dias_Sem_Compensacao!$A$2:$A$500),WORKDAY(A3222,E3222,Dias_Sem_Compensacao!$A$2:$A$500)),"")</f>
        <v>46324</v>
      </c>
      <c r="H3222" s="25">
        <v>0</v>
      </c>
      <c r="I3222" s="28">
        <v>46323</v>
      </c>
      <c r="J3222" t="s">
        <v>2574</v>
      </c>
      <c r="K3222" t="s">
        <v>2575</v>
      </c>
    </row>
    <row r="3223" spans="1:11" hidden="1">
      <c r="A3223" s="28">
        <v>46323</v>
      </c>
      <c r="B3223" t="s">
        <v>186</v>
      </c>
      <c r="C3223" t="s">
        <v>203</v>
      </c>
      <c r="D3223" t="s">
        <v>217</v>
      </c>
      <c r="E3223">
        <f>IF(LEFT(D3223,6)="CLIENT",IFERROR(VLOOKUP(C3223,Config_Carteiras!$A:$B,2,FALSE),1),"")</f>
        <v>1</v>
      </c>
      <c r="F3223" s="25">
        <v>649</v>
      </c>
      <c r="G3223" s="28">
        <f>IF(LEFT(D3223,6)="CLIENT",IF(E3223=0,WORKDAY(A3223-1,1,Dias_Sem_Compensacao!$A$2:$A$500),WORKDAY(A3223,E3223,Dias_Sem_Compensacao!$A$2:$A$500)),"")</f>
        <v>46324</v>
      </c>
      <c r="H3223" s="25">
        <v>0</v>
      </c>
      <c r="I3223" s="28">
        <v>46323</v>
      </c>
      <c r="J3223" t="s">
        <v>2577</v>
      </c>
      <c r="K3223" t="s">
        <v>2578</v>
      </c>
    </row>
    <row r="3224" spans="1:11" hidden="1">
      <c r="A3224" s="28">
        <v>46323</v>
      </c>
      <c r="B3224" t="s">
        <v>186</v>
      </c>
      <c r="C3224" t="s">
        <v>203</v>
      </c>
      <c r="D3224" t="s">
        <v>217</v>
      </c>
      <c r="E3224">
        <f>IF(LEFT(D3224,6)="CLIENT",IFERROR(VLOOKUP(C3224,Config_Carteiras!$A:$B,2,FALSE),1),"")</f>
        <v>1</v>
      </c>
      <c r="F3224" s="25">
        <v>627</v>
      </c>
      <c r="G3224" s="28">
        <f>IF(LEFT(D3224,6)="CLIENT",IF(E3224=0,WORKDAY(A3224-1,1,Dias_Sem_Compensacao!$A$2:$A$500),WORKDAY(A3224,E3224,Dias_Sem_Compensacao!$A$2:$A$500)),"")</f>
        <v>46324</v>
      </c>
      <c r="H3224" s="25">
        <v>0</v>
      </c>
      <c r="I3224" s="28">
        <v>46323</v>
      </c>
      <c r="J3224" t="s">
        <v>2579</v>
      </c>
      <c r="K3224" t="s">
        <v>2580</v>
      </c>
    </row>
    <row r="3225" spans="1:11" hidden="1">
      <c r="A3225" s="28">
        <v>46323</v>
      </c>
      <c r="B3225" t="s">
        <v>186</v>
      </c>
      <c r="C3225" t="s">
        <v>203</v>
      </c>
      <c r="D3225" t="s">
        <v>217</v>
      </c>
      <c r="E3225">
        <f>IF(LEFT(D3225,6)="CLIENT",IFERROR(VLOOKUP(C3225,Config_Carteiras!$A:$B,2,FALSE),1),"")</f>
        <v>1</v>
      </c>
      <c r="F3225" s="25">
        <v>947</v>
      </c>
      <c r="G3225" s="28">
        <f>IF(LEFT(D3225,6)="CLIENT",IF(E3225=0,WORKDAY(A3225-1,1,Dias_Sem_Compensacao!$A$2:$A$500),WORKDAY(A3225,E3225,Dias_Sem_Compensacao!$A$2:$A$500)),"")</f>
        <v>46324</v>
      </c>
      <c r="H3225" s="25">
        <v>0</v>
      </c>
      <c r="I3225" s="28">
        <v>46323</v>
      </c>
      <c r="J3225" t="s">
        <v>1331</v>
      </c>
      <c r="K3225" t="s">
        <v>3082</v>
      </c>
    </row>
    <row r="3226" spans="1:11" hidden="1">
      <c r="A3226" s="28">
        <v>46323</v>
      </c>
      <c r="B3226" t="s">
        <v>186</v>
      </c>
      <c r="C3226" t="s">
        <v>203</v>
      </c>
      <c r="D3226" t="s">
        <v>217</v>
      </c>
      <c r="E3226">
        <f>IF(LEFT(D3226,6)="CLIENT",IFERROR(VLOOKUP(C3226,Config_Carteiras!$A:$B,2,FALSE),1),"")</f>
        <v>1</v>
      </c>
      <c r="F3226" s="25">
        <v>2554</v>
      </c>
      <c r="G3226" s="28">
        <f>IF(LEFT(D3226,6)="CLIENT",IF(E3226=0,WORKDAY(A3226-1,1,Dias_Sem_Compensacao!$A$2:$A$500),WORKDAY(A3226,E3226,Dias_Sem_Compensacao!$A$2:$A$500)),"")</f>
        <v>46324</v>
      </c>
      <c r="H3226" s="25">
        <v>0</v>
      </c>
      <c r="I3226" s="28">
        <v>46323</v>
      </c>
      <c r="J3226" t="s">
        <v>3402</v>
      </c>
      <c r="K3226" t="s">
        <v>3403</v>
      </c>
    </row>
    <row r="3227" spans="1:11" hidden="1">
      <c r="A3227" s="28">
        <v>46323</v>
      </c>
      <c r="B3227" t="s">
        <v>186</v>
      </c>
      <c r="C3227" t="s">
        <v>203</v>
      </c>
      <c r="D3227" t="s">
        <v>217</v>
      </c>
      <c r="E3227">
        <f>IF(LEFT(D3227,6)="CLIENT",IFERROR(VLOOKUP(C3227,Config_Carteiras!$A:$B,2,FALSE),1),"")</f>
        <v>1</v>
      </c>
      <c r="F3227" s="25">
        <v>856.03</v>
      </c>
      <c r="G3227" s="28">
        <f>IF(LEFT(D3227,6)="CLIENT",IF(E3227=0,WORKDAY(A3227-1,1,Dias_Sem_Compensacao!$A$2:$A$500),WORKDAY(A3227,E3227,Dias_Sem_Compensacao!$A$2:$A$500)),"")</f>
        <v>46324</v>
      </c>
      <c r="H3227" s="25">
        <v>0</v>
      </c>
      <c r="I3227" s="28">
        <v>46323</v>
      </c>
      <c r="J3227" t="s">
        <v>2583</v>
      </c>
      <c r="K3227" t="s">
        <v>2584</v>
      </c>
    </row>
    <row r="3228" spans="1:11" hidden="1">
      <c r="A3228" s="28">
        <v>46323</v>
      </c>
      <c r="B3228" t="s">
        <v>186</v>
      </c>
      <c r="C3228" t="s">
        <v>203</v>
      </c>
      <c r="D3228" t="s">
        <v>217</v>
      </c>
      <c r="E3228">
        <f>IF(LEFT(D3228,6)="CLIENT",IFERROR(VLOOKUP(C3228,Config_Carteiras!$A:$B,2,FALSE),1),"")</f>
        <v>1</v>
      </c>
      <c r="F3228" s="25">
        <v>384.76</v>
      </c>
      <c r="G3228" s="28">
        <f>IF(LEFT(D3228,6)="CLIENT",IF(E3228=0,WORKDAY(A3228-1,1,Dias_Sem_Compensacao!$A$2:$A$500),WORKDAY(A3228,E3228,Dias_Sem_Compensacao!$A$2:$A$500)),"")</f>
        <v>46324</v>
      </c>
      <c r="H3228" s="25">
        <v>0</v>
      </c>
      <c r="I3228" s="28">
        <v>46323</v>
      </c>
      <c r="J3228" t="s">
        <v>2585</v>
      </c>
      <c r="K3228" t="s">
        <v>2586</v>
      </c>
    </row>
    <row r="3229" spans="1:11" hidden="1">
      <c r="A3229" s="28">
        <v>46323</v>
      </c>
      <c r="B3229" t="s">
        <v>186</v>
      </c>
      <c r="C3229" t="s">
        <v>203</v>
      </c>
      <c r="D3229" t="s">
        <v>217</v>
      </c>
      <c r="E3229">
        <f>IF(LEFT(D3229,6)="CLIENT",IFERROR(VLOOKUP(C3229,Config_Carteiras!$A:$B,2,FALSE),1),"")</f>
        <v>1</v>
      </c>
      <c r="F3229" s="25">
        <v>358.05</v>
      </c>
      <c r="G3229" s="28">
        <f>IF(LEFT(D3229,6)="CLIENT",IF(E3229=0,WORKDAY(A3229-1,1,Dias_Sem_Compensacao!$A$2:$A$500),WORKDAY(A3229,E3229,Dias_Sem_Compensacao!$A$2:$A$500)),"")</f>
        <v>46324</v>
      </c>
      <c r="H3229" s="25">
        <v>0</v>
      </c>
      <c r="I3229" s="28">
        <v>46323</v>
      </c>
      <c r="J3229" t="s">
        <v>2407</v>
      </c>
      <c r="K3229" t="s">
        <v>3084</v>
      </c>
    </row>
    <row r="3230" spans="1:11" hidden="1">
      <c r="A3230" s="28">
        <v>46323</v>
      </c>
      <c r="B3230" t="s">
        <v>186</v>
      </c>
      <c r="C3230" t="s">
        <v>203</v>
      </c>
      <c r="D3230" t="s">
        <v>217</v>
      </c>
      <c r="E3230">
        <f>IF(LEFT(D3230,6)="CLIENT",IFERROR(VLOOKUP(C3230,Config_Carteiras!$A:$B,2,FALSE),1),"")</f>
        <v>1</v>
      </c>
      <c r="F3230" s="25">
        <v>674.47</v>
      </c>
      <c r="G3230" s="28">
        <f>IF(LEFT(D3230,6)="CLIENT",IF(E3230=0,WORKDAY(A3230-1,1,Dias_Sem_Compensacao!$A$2:$A$500),WORKDAY(A3230,E3230,Dias_Sem_Compensacao!$A$2:$A$500)),"")</f>
        <v>46324</v>
      </c>
      <c r="H3230" s="25">
        <v>0</v>
      </c>
      <c r="I3230" s="28">
        <v>46323</v>
      </c>
      <c r="J3230" t="s">
        <v>3404</v>
      </c>
      <c r="K3230" t="s">
        <v>3405</v>
      </c>
    </row>
    <row r="3231" spans="1:11" hidden="1">
      <c r="A3231" s="28">
        <v>46323</v>
      </c>
      <c r="B3231" t="s">
        <v>186</v>
      </c>
      <c r="C3231" t="s">
        <v>203</v>
      </c>
      <c r="D3231" t="s">
        <v>217</v>
      </c>
      <c r="E3231">
        <f>IF(LEFT(D3231,6)="CLIENT",IFERROR(VLOOKUP(C3231,Config_Carteiras!$A:$B,2,FALSE),1),"")</f>
        <v>1</v>
      </c>
      <c r="F3231" s="25">
        <v>1086.04</v>
      </c>
      <c r="G3231" s="28">
        <f>IF(LEFT(D3231,6)="CLIENT",IF(E3231=0,WORKDAY(A3231-1,1,Dias_Sem_Compensacao!$A$2:$A$500),WORKDAY(A3231,E3231,Dias_Sem_Compensacao!$A$2:$A$500)),"")</f>
        <v>46324</v>
      </c>
      <c r="H3231" s="25">
        <v>0</v>
      </c>
      <c r="I3231" s="28">
        <v>46323</v>
      </c>
      <c r="J3231" t="s">
        <v>2053</v>
      </c>
      <c r="K3231" t="s">
        <v>2054</v>
      </c>
    </row>
    <row r="3232" spans="1:11" hidden="1">
      <c r="A3232" s="28">
        <v>46323</v>
      </c>
      <c r="B3232" t="s">
        <v>186</v>
      </c>
      <c r="C3232" t="s">
        <v>203</v>
      </c>
      <c r="D3232" t="s">
        <v>217</v>
      </c>
      <c r="E3232">
        <f>IF(LEFT(D3232,6)="CLIENT",IFERROR(VLOOKUP(C3232,Config_Carteiras!$A:$B,2,FALSE),1),"")</f>
        <v>1</v>
      </c>
      <c r="F3232" s="25">
        <v>2362.02</v>
      </c>
      <c r="G3232" s="28">
        <f>IF(LEFT(D3232,6)="CLIENT",IF(E3232=0,WORKDAY(A3232-1,1,Dias_Sem_Compensacao!$A$2:$A$500),WORKDAY(A3232,E3232,Dias_Sem_Compensacao!$A$2:$A$500)),"")</f>
        <v>46324</v>
      </c>
      <c r="H3232" s="25">
        <v>0</v>
      </c>
      <c r="I3232" s="28">
        <v>46323</v>
      </c>
      <c r="J3232" t="s">
        <v>2589</v>
      </c>
      <c r="K3232" t="s">
        <v>2590</v>
      </c>
    </row>
    <row r="3233" spans="1:11" hidden="1">
      <c r="A3233" s="28">
        <v>46323</v>
      </c>
      <c r="B3233" t="s">
        <v>186</v>
      </c>
      <c r="C3233" t="s">
        <v>203</v>
      </c>
      <c r="D3233" t="s">
        <v>217</v>
      </c>
      <c r="E3233">
        <f>IF(LEFT(D3233,6)="CLIENT",IFERROR(VLOOKUP(C3233,Config_Carteiras!$A:$B,2,FALSE),1),"")</f>
        <v>1</v>
      </c>
      <c r="F3233" s="25">
        <v>2009</v>
      </c>
      <c r="G3233" s="28">
        <f>IF(LEFT(D3233,6)="CLIENT",IF(E3233=0,WORKDAY(A3233-1,1,Dias_Sem_Compensacao!$A$2:$A$500),WORKDAY(A3233,E3233,Dias_Sem_Compensacao!$A$2:$A$500)),"")</f>
        <v>46324</v>
      </c>
      <c r="H3233" s="25">
        <v>0</v>
      </c>
      <c r="I3233" s="28">
        <v>46323</v>
      </c>
      <c r="J3233" t="s">
        <v>1176</v>
      </c>
      <c r="K3233" t="s">
        <v>3406</v>
      </c>
    </row>
    <row r="3234" spans="1:11" hidden="1">
      <c r="A3234" s="28">
        <v>46323</v>
      </c>
      <c r="B3234" t="s">
        <v>186</v>
      </c>
      <c r="C3234" t="s">
        <v>203</v>
      </c>
      <c r="D3234" t="s">
        <v>217</v>
      </c>
      <c r="E3234">
        <f>IF(LEFT(D3234,6)="CLIENT",IFERROR(VLOOKUP(C3234,Config_Carteiras!$A:$B,2,FALSE),1),"")</f>
        <v>1</v>
      </c>
      <c r="F3234" s="25">
        <v>1305.21</v>
      </c>
      <c r="G3234" s="28">
        <f>IF(LEFT(D3234,6)="CLIENT",IF(E3234=0,WORKDAY(A3234-1,1,Dias_Sem_Compensacao!$A$2:$A$500),WORKDAY(A3234,E3234,Dias_Sem_Compensacao!$A$2:$A$500)),"")</f>
        <v>46324</v>
      </c>
      <c r="H3234" s="25">
        <v>0</v>
      </c>
      <c r="I3234" s="28">
        <v>46323</v>
      </c>
      <c r="J3234" t="s">
        <v>1703</v>
      </c>
      <c r="K3234" t="s">
        <v>2591</v>
      </c>
    </row>
    <row r="3235" spans="1:11" hidden="1">
      <c r="A3235" s="28">
        <v>46323</v>
      </c>
      <c r="B3235" t="s">
        <v>186</v>
      </c>
      <c r="C3235" t="s">
        <v>203</v>
      </c>
      <c r="D3235" t="s">
        <v>217</v>
      </c>
      <c r="E3235">
        <f>IF(LEFT(D3235,6)="CLIENT",IFERROR(VLOOKUP(C3235,Config_Carteiras!$A:$B,2,FALSE),1),"")</f>
        <v>1</v>
      </c>
      <c r="F3235" s="25">
        <v>1126</v>
      </c>
      <c r="G3235" s="28">
        <f>IF(LEFT(D3235,6)="CLIENT",IF(E3235=0,WORKDAY(A3235-1,1,Dias_Sem_Compensacao!$A$2:$A$500),WORKDAY(A3235,E3235,Dias_Sem_Compensacao!$A$2:$A$500)),"")</f>
        <v>46324</v>
      </c>
      <c r="H3235" s="25">
        <v>0</v>
      </c>
      <c r="I3235" s="28">
        <v>46323</v>
      </c>
      <c r="J3235" t="s">
        <v>2592</v>
      </c>
      <c r="K3235" t="s">
        <v>2593</v>
      </c>
    </row>
    <row r="3236" spans="1:11" hidden="1">
      <c r="A3236" s="28">
        <v>46323</v>
      </c>
      <c r="B3236" t="s">
        <v>186</v>
      </c>
      <c r="C3236" t="s">
        <v>203</v>
      </c>
      <c r="D3236" t="s">
        <v>217</v>
      </c>
      <c r="E3236">
        <f>IF(LEFT(D3236,6)="CLIENT",IFERROR(VLOOKUP(C3236,Config_Carteiras!$A:$B,2,FALSE),1),"")</f>
        <v>1</v>
      </c>
      <c r="F3236" s="25">
        <v>1276</v>
      </c>
      <c r="G3236" s="28">
        <f>IF(LEFT(D3236,6)="CLIENT",IF(E3236=0,WORKDAY(A3236-1,1,Dias_Sem_Compensacao!$A$2:$A$500),WORKDAY(A3236,E3236,Dias_Sem_Compensacao!$A$2:$A$500)),"")</f>
        <v>46324</v>
      </c>
      <c r="H3236" s="25">
        <v>0</v>
      </c>
      <c r="I3236" s="28">
        <v>46323</v>
      </c>
      <c r="J3236" t="s">
        <v>3086</v>
      </c>
      <c r="K3236" t="s">
        <v>3087</v>
      </c>
    </row>
    <row r="3237" spans="1:11" hidden="1">
      <c r="A3237" s="28">
        <v>46323</v>
      </c>
      <c r="B3237" t="s">
        <v>186</v>
      </c>
      <c r="C3237" t="s">
        <v>203</v>
      </c>
      <c r="D3237" t="s">
        <v>217</v>
      </c>
      <c r="E3237">
        <f>IF(LEFT(D3237,6)="CLIENT",IFERROR(VLOOKUP(C3237,Config_Carteiras!$A:$B,2,FALSE),1),"")</f>
        <v>1</v>
      </c>
      <c r="F3237" s="25">
        <v>759</v>
      </c>
      <c r="G3237" s="28">
        <f>IF(LEFT(D3237,6)="CLIENT",IF(E3237=0,WORKDAY(A3237-1,1,Dias_Sem_Compensacao!$A$2:$A$500),WORKDAY(A3237,E3237,Dias_Sem_Compensacao!$A$2:$A$500)),"")</f>
        <v>46324</v>
      </c>
      <c r="H3237" s="25">
        <v>0</v>
      </c>
      <c r="I3237" s="28">
        <v>46323</v>
      </c>
      <c r="J3237" t="s">
        <v>3088</v>
      </c>
      <c r="K3237" t="s">
        <v>3089</v>
      </c>
    </row>
    <row r="3238" spans="1:11" hidden="1">
      <c r="A3238" s="28">
        <v>46323</v>
      </c>
      <c r="B3238" t="s">
        <v>186</v>
      </c>
      <c r="C3238" t="s">
        <v>203</v>
      </c>
      <c r="D3238" t="s">
        <v>217</v>
      </c>
      <c r="E3238">
        <f>IF(LEFT(D3238,6)="CLIENT",IFERROR(VLOOKUP(C3238,Config_Carteiras!$A:$B,2,FALSE),1),"")</f>
        <v>1</v>
      </c>
      <c r="F3238" s="25">
        <v>2082</v>
      </c>
      <c r="G3238" s="28">
        <f>IF(LEFT(D3238,6)="CLIENT",IF(E3238=0,WORKDAY(A3238-1,1,Dias_Sem_Compensacao!$A$2:$A$500),WORKDAY(A3238,E3238,Dias_Sem_Compensacao!$A$2:$A$500)),"")</f>
        <v>46324</v>
      </c>
      <c r="H3238" s="25">
        <v>0</v>
      </c>
      <c r="I3238" s="28">
        <v>46323</v>
      </c>
      <c r="J3238" t="s">
        <v>3090</v>
      </c>
      <c r="K3238" t="s">
        <v>3091</v>
      </c>
    </row>
    <row r="3239" spans="1:11" hidden="1">
      <c r="A3239" s="28">
        <v>46323</v>
      </c>
      <c r="B3239" t="s">
        <v>186</v>
      </c>
      <c r="C3239" t="s">
        <v>203</v>
      </c>
      <c r="D3239" t="s">
        <v>217</v>
      </c>
      <c r="E3239">
        <f>IF(LEFT(D3239,6)="CLIENT",IFERROR(VLOOKUP(C3239,Config_Carteiras!$A:$B,2,FALSE),1),"")</f>
        <v>1</v>
      </c>
      <c r="F3239" s="25">
        <v>596</v>
      </c>
      <c r="G3239" s="28">
        <f>IF(LEFT(D3239,6)="CLIENT",IF(E3239=0,WORKDAY(A3239-1,1,Dias_Sem_Compensacao!$A$2:$A$500),WORKDAY(A3239,E3239,Dias_Sem_Compensacao!$A$2:$A$500)),"")</f>
        <v>46324</v>
      </c>
      <c r="H3239" s="25">
        <v>0</v>
      </c>
      <c r="I3239" s="28">
        <v>46323</v>
      </c>
      <c r="J3239" t="s">
        <v>2597</v>
      </c>
      <c r="K3239" t="s">
        <v>2598</v>
      </c>
    </row>
    <row r="3240" spans="1:11" hidden="1">
      <c r="A3240" s="28">
        <v>46323</v>
      </c>
      <c r="B3240" t="s">
        <v>186</v>
      </c>
      <c r="C3240" t="s">
        <v>203</v>
      </c>
      <c r="D3240" t="s">
        <v>217</v>
      </c>
      <c r="E3240">
        <f>IF(LEFT(D3240,6)="CLIENT",IFERROR(VLOOKUP(C3240,Config_Carteiras!$A:$B,2,FALSE),1),"")</f>
        <v>1</v>
      </c>
      <c r="F3240" s="25">
        <v>1851.15</v>
      </c>
      <c r="G3240" s="28">
        <f>IF(LEFT(D3240,6)="CLIENT",IF(E3240=0,WORKDAY(A3240-1,1,Dias_Sem_Compensacao!$A$2:$A$500),WORKDAY(A3240,E3240,Dias_Sem_Compensacao!$A$2:$A$500)),"")</f>
        <v>46324</v>
      </c>
      <c r="H3240" s="25">
        <v>0</v>
      </c>
      <c r="I3240" s="28">
        <v>46323</v>
      </c>
      <c r="J3240" t="s">
        <v>2060</v>
      </c>
      <c r="K3240" t="s">
        <v>2061</v>
      </c>
    </row>
    <row r="3241" spans="1:11" hidden="1">
      <c r="A3241" s="28">
        <v>46323</v>
      </c>
      <c r="B3241" t="s">
        <v>186</v>
      </c>
      <c r="C3241" t="s">
        <v>203</v>
      </c>
      <c r="D3241" t="s">
        <v>217</v>
      </c>
      <c r="E3241">
        <f>IF(LEFT(D3241,6)="CLIENT",IFERROR(VLOOKUP(C3241,Config_Carteiras!$A:$B,2,FALSE),1),"")</f>
        <v>1</v>
      </c>
      <c r="F3241" s="25">
        <v>629</v>
      </c>
      <c r="G3241" s="28">
        <f>IF(LEFT(D3241,6)="CLIENT",IF(E3241=0,WORKDAY(A3241-1,1,Dias_Sem_Compensacao!$A$2:$A$500),WORKDAY(A3241,E3241,Dias_Sem_Compensacao!$A$2:$A$500)),"")</f>
        <v>46324</v>
      </c>
      <c r="H3241" s="25">
        <v>0</v>
      </c>
      <c r="I3241" s="28">
        <v>46323</v>
      </c>
      <c r="J3241" t="s">
        <v>3094</v>
      </c>
      <c r="K3241" t="s">
        <v>3095</v>
      </c>
    </row>
    <row r="3242" spans="1:11" hidden="1">
      <c r="A3242" s="28">
        <v>46323</v>
      </c>
      <c r="B3242" t="s">
        <v>186</v>
      </c>
      <c r="C3242" t="s">
        <v>203</v>
      </c>
      <c r="D3242" t="s">
        <v>217</v>
      </c>
      <c r="E3242">
        <f>IF(LEFT(D3242,6)="CLIENT",IFERROR(VLOOKUP(C3242,Config_Carteiras!$A:$B,2,FALSE),1),"")</f>
        <v>1</v>
      </c>
      <c r="F3242" s="25">
        <v>1217</v>
      </c>
      <c r="G3242" s="28">
        <f>IF(LEFT(D3242,6)="CLIENT",IF(E3242=0,WORKDAY(A3242-1,1,Dias_Sem_Compensacao!$A$2:$A$500),WORKDAY(A3242,E3242,Dias_Sem_Compensacao!$A$2:$A$500)),"")</f>
        <v>46324</v>
      </c>
      <c r="H3242" s="25">
        <v>0</v>
      </c>
      <c r="I3242" s="28">
        <v>46323</v>
      </c>
      <c r="J3242" t="s">
        <v>413</v>
      </c>
      <c r="K3242" t="s">
        <v>2068</v>
      </c>
    </row>
    <row r="3243" spans="1:11" hidden="1">
      <c r="A3243" s="28">
        <v>46323</v>
      </c>
      <c r="B3243" t="s">
        <v>186</v>
      </c>
      <c r="C3243" t="s">
        <v>203</v>
      </c>
      <c r="D3243" t="s">
        <v>217</v>
      </c>
      <c r="E3243">
        <f>IF(LEFT(D3243,6)="CLIENT",IFERROR(VLOOKUP(C3243,Config_Carteiras!$A:$B,2,FALSE),1),"")</f>
        <v>1</v>
      </c>
      <c r="F3243" s="25">
        <v>758.86</v>
      </c>
      <c r="G3243" s="28">
        <f>IF(LEFT(D3243,6)="CLIENT",IF(E3243=0,WORKDAY(A3243-1,1,Dias_Sem_Compensacao!$A$2:$A$500),WORKDAY(A3243,E3243,Dias_Sem_Compensacao!$A$2:$A$500)),"")</f>
        <v>46324</v>
      </c>
      <c r="H3243" s="25">
        <v>0</v>
      </c>
      <c r="I3243" s="28">
        <v>46323</v>
      </c>
      <c r="J3243" t="s">
        <v>2069</v>
      </c>
      <c r="K3243" t="s">
        <v>2070</v>
      </c>
    </row>
    <row r="3244" spans="1:11" hidden="1">
      <c r="A3244" s="28">
        <v>46323</v>
      </c>
      <c r="B3244" t="s">
        <v>186</v>
      </c>
      <c r="C3244" t="s">
        <v>203</v>
      </c>
      <c r="D3244" t="s">
        <v>217</v>
      </c>
      <c r="E3244">
        <f>IF(LEFT(D3244,6)="CLIENT",IFERROR(VLOOKUP(C3244,Config_Carteiras!$A:$B,2,FALSE),1),"")</f>
        <v>1</v>
      </c>
      <c r="F3244" s="25">
        <v>314.5</v>
      </c>
      <c r="G3244" s="28">
        <f>IF(LEFT(D3244,6)="CLIENT",IF(E3244=0,WORKDAY(A3244-1,1,Dias_Sem_Compensacao!$A$2:$A$500),WORKDAY(A3244,E3244,Dias_Sem_Compensacao!$A$2:$A$500)),"")</f>
        <v>46324</v>
      </c>
      <c r="H3244" s="25">
        <v>0</v>
      </c>
      <c r="I3244" s="28">
        <v>46323</v>
      </c>
      <c r="J3244" t="s">
        <v>2071</v>
      </c>
      <c r="K3244" t="s">
        <v>2072</v>
      </c>
    </row>
    <row r="3245" spans="1:11" hidden="1">
      <c r="A3245" s="28">
        <v>46323</v>
      </c>
      <c r="B3245" t="s">
        <v>186</v>
      </c>
      <c r="C3245" t="s">
        <v>203</v>
      </c>
      <c r="D3245" t="s">
        <v>217</v>
      </c>
      <c r="E3245">
        <f>IF(LEFT(D3245,6)="CLIENT",IFERROR(VLOOKUP(C3245,Config_Carteiras!$A:$B,2,FALSE),1),"")</f>
        <v>1</v>
      </c>
      <c r="F3245" s="25">
        <v>494.5</v>
      </c>
      <c r="G3245" s="28">
        <f>IF(LEFT(D3245,6)="CLIENT",IF(E3245=0,WORKDAY(A3245-1,1,Dias_Sem_Compensacao!$A$2:$A$500),WORKDAY(A3245,E3245,Dias_Sem_Compensacao!$A$2:$A$500)),"")</f>
        <v>46324</v>
      </c>
      <c r="H3245" s="25">
        <v>0</v>
      </c>
      <c r="I3245" s="28">
        <v>46323</v>
      </c>
      <c r="J3245" t="s">
        <v>2073</v>
      </c>
      <c r="K3245" t="s">
        <v>2074</v>
      </c>
    </row>
    <row r="3246" spans="1:11" hidden="1">
      <c r="A3246" s="28">
        <v>46323</v>
      </c>
      <c r="B3246" t="s">
        <v>186</v>
      </c>
      <c r="C3246" t="s">
        <v>203</v>
      </c>
      <c r="D3246" t="s">
        <v>217</v>
      </c>
      <c r="E3246">
        <f>IF(LEFT(D3246,6)="CLIENT",IFERROR(VLOOKUP(C3246,Config_Carteiras!$A:$B,2,FALSE),1),"")</f>
        <v>1</v>
      </c>
      <c r="F3246" s="25">
        <v>4601</v>
      </c>
      <c r="G3246" s="28">
        <f>IF(LEFT(D3246,6)="CLIENT",IF(E3246=0,WORKDAY(A3246-1,1,Dias_Sem_Compensacao!$A$2:$A$500),WORKDAY(A3246,E3246,Dias_Sem_Compensacao!$A$2:$A$500)),"")</f>
        <v>46324</v>
      </c>
      <c r="H3246" s="25">
        <v>0</v>
      </c>
      <c r="I3246" s="28">
        <v>46323</v>
      </c>
      <c r="J3246" t="s">
        <v>3101</v>
      </c>
      <c r="K3246" t="s">
        <v>3102</v>
      </c>
    </row>
    <row r="3247" spans="1:11" hidden="1">
      <c r="A3247" s="28">
        <v>46323</v>
      </c>
      <c r="B3247" t="s">
        <v>186</v>
      </c>
      <c r="C3247" t="s">
        <v>203</v>
      </c>
      <c r="D3247" t="s">
        <v>217</v>
      </c>
      <c r="E3247">
        <f>IF(LEFT(D3247,6)="CLIENT",IFERROR(VLOOKUP(C3247,Config_Carteiras!$A:$B,2,FALSE),1),"")</f>
        <v>1</v>
      </c>
      <c r="F3247" s="25">
        <v>1343.89</v>
      </c>
      <c r="G3247" s="28">
        <f>IF(LEFT(D3247,6)="CLIENT",IF(E3247=0,WORKDAY(A3247-1,1,Dias_Sem_Compensacao!$A$2:$A$500),WORKDAY(A3247,E3247,Dias_Sem_Compensacao!$A$2:$A$500)),"")</f>
        <v>46324</v>
      </c>
      <c r="H3247" s="25">
        <v>0</v>
      </c>
      <c r="I3247" s="28">
        <v>46323</v>
      </c>
      <c r="J3247" t="s">
        <v>2602</v>
      </c>
      <c r="K3247" t="s">
        <v>2603</v>
      </c>
    </row>
    <row r="3248" spans="1:11" hidden="1">
      <c r="A3248" s="28">
        <v>46323</v>
      </c>
      <c r="B3248" t="s">
        <v>186</v>
      </c>
      <c r="C3248" t="s">
        <v>203</v>
      </c>
      <c r="D3248" t="s">
        <v>217</v>
      </c>
      <c r="E3248">
        <f>IF(LEFT(D3248,6)="CLIENT",IFERROR(VLOOKUP(C3248,Config_Carteiras!$A:$B,2,FALSE),1),"")</f>
        <v>1</v>
      </c>
      <c r="F3248" s="25">
        <v>1238.6600000000001</v>
      </c>
      <c r="G3248" s="28">
        <f>IF(LEFT(D3248,6)="CLIENT",IF(E3248=0,WORKDAY(A3248-1,1,Dias_Sem_Compensacao!$A$2:$A$500),WORKDAY(A3248,E3248,Dias_Sem_Compensacao!$A$2:$A$500)),"")</f>
        <v>46324</v>
      </c>
      <c r="H3248" s="25">
        <v>0</v>
      </c>
      <c r="I3248" s="28">
        <v>46323</v>
      </c>
      <c r="J3248" t="s">
        <v>2606</v>
      </c>
      <c r="K3248" t="s">
        <v>2607</v>
      </c>
    </row>
    <row r="3249" spans="1:11" hidden="1">
      <c r="A3249" s="28">
        <v>46323</v>
      </c>
      <c r="B3249" t="s">
        <v>186</v>
      </c>
      <c r="C3249" t="s">
        <v>203</v>
      </c>
      <c r="D3249" t="s">
        <v>217</v>
      </c>
      <c r="E3249">
        <f>IF(LEFT(D3249,6)="CLIENT",IFERROR(VLOOKUP(C3249,Config_Carteiras!$A:$B,2,FALSE),1),"")</f>
        <v>1</v>
      </c>
      <c r="F3249" s="25">
        <v>551</v>
      </c>
      <c r="G3249" s="28">
        <f>IF(LEFT(D3249,6)="CLIENT",IF(E3249=0,WORKDAY(A3249-1,1,Dias_Sem_Compensacao!$A$2:$A$500),WORKDAY(A3249,E3249,Dias_Sem_Compensacao!$A$2:$A$500)),"")</f>
        <v>46324</v>
      </c>
      <c r="H3249" s="25">
        <v>0</v>
      </c>
      <c r="I3249" s="28">
        <v>46323</v>
      </c>
      <c r="J3249" t="s">
        <v>2614</v>
      </c>
      <c r="K3249" t="s">
        <v>2615</v>
      </c>
    </row>
    <row r="3250" spans="1:11" hidden="1">
      <c r="A3250" s="28">
        <v>46323</v>
      </c>
      <c r="B3250" t="s">
        <v>186</v>
      </c>
      <c r="C3250" t="s">
        <v>203</v>
      </c>
      <c r="D3250" t="s">
        <v>217</v>
      </c>
      <c r="E3250">
        <f>IF(LEFT(D3250,6)="CLIENT",IFERROR(VLOOKUP(C3250,Config_Carteiras!$A:$B,2,FALSE),1),"")</f>
        <v>1</v>
      </c>
      <c r="F3250" s="25">
        <v>1435</v>
      </c>
      <c r="G3250" s="28">
        <f>IF(LEFT(D3250,6)="CLIENT",IF(E3250=0,WORKDAY(A3250-1,1,Dias_Sem_Compensacao!$A$2:$A$500),WORKDAY(A3250,E3250,Dias_Sem_Compensacao!$A$2:$A$500)),"")</f>
        <v>46324</v>
      </c>
      <c r="H3250" s="25">
        <v>0</v>
      </c>
      <c r="I3250" s="28">
        <v>46323</v>
      </c>
      <c r="J3250" t="s">
        <v>3109</v>
      </c>
      <c r="K3250" t="s">
        <v>3110</v>
      </c>
    </row>
    <row r="3251" spans="1:11" hidden="1">
      <c r="A3251" s="28">
        <v>46323</v>
      </c>
      <c r="B3251" t="s">
        <v>186</v>
      </c>
      <c r="C3251" t="s">
        <v>203</v>
      </c>
      <c r="D3251" t="s">
        <v>217</v>
      </c>
      <c r="E3251">
        <f>IF(LEFT(D3251,6)="CLIENT",IFERROR(VLOOKUP(C3251,Config_Carteiras!$A:$B,2,FALSE),1),"")</f>
        <v>1</v>
      </c>
      <c r="F3251" s="25">
        <v>2988</v>
      </c>
      <c r="G3251" s="28">
        <f>IF(LEFT(D3251,6)="CLIENT",IF(E3251=0,WORKDAY(A3251-1,1,Dias_Sem_Compensacao!$A$2:$A$500),WORKDAY(A3251,E3251,Dias_Sem_Compensacao!$A$2:$A$500)),"")</f>
        <v>46324</v>
      </c>
      <c r="H3251" s="25">
        <v>0</v>
      </c>
      <c r="I3251" s="28">
        <v>46323</v>
      </c>
      <c r="J3251" t="s">
        <v>3111</v>
      </c>
      <c r="K3251" t="s">
        <v>3112</v>
      </c>
    </row>
    <row r="3252" spans="1:11" hidden="1">
      <c r="A3252" s="28">
        <v>46323</v>
      </c>
      <c r="B3252" t="s">
        <v>186</v>
      </c>
      <c r="C3252" t="s">
        <v>203</v>
      </c>
      <c r="D3252" t="s">
        <v>217</v>
      </c>
      <c r="E3252">
        <f>IF(LEFT(D3252,6)="CLIENT",IFERROR(VLOOKUP(C3252,Config_Carteiras!$A:$B,2,FALSE),1),"")</f>
        <v>1</v>
      </c>
      <c r="F3252" s="25">
        <v>1037.25</v>
      </c>
      <c r="G3252" s="28">
        <f>IF(LEFT(D3252,6)="CLIENT",IF(E3252=0,WORKDAY(A3252-1,1,Dias_Sem_Compensacao!$A$2:$A$500),WORKDAY(A3252,E3252,Dias_Sem_Compensacao!$A$2:$A$500)),"")</f>
        <v>46324</v>
      </c>
      <c r="H3252" s="25">
        <v>0</v>
      </c>
      <c r="I3252" s="28">
        <v>46323</v>
      </c>
      <c r="J3252" t="s">
        <v>2616</v>
      </c>
      <c r="K3252" t="s">
        <v>2617</v>
      </c>
    </row>
    <row r="3253" spans="1:11" hidden="1">
      <c r="A3253" s="28">
        <v>46323</v>
      </c>
      <c r="B3253" t="s">
        <v>186</v>
      </c>
      <c r="C3253" t="s">
        <v>203</v>
      </c>
      <c r="D3253" t="s">
        <v>217</v>
      </c>
      <c r="E3253">
        <f>IF(LEFT(D3253,6)="CLIENT",IFERROR(VLOOKUP(C3253,Config_Carteiras!$A:$B,2,FALSE),1),"")</f>
        <v>1</v>
      </c>
      <c r="F3253" s="25">
        <v>781.7</v>
      </c>
      <c r="G3253" s="28">
        <f>IF(LEFT(D3253,6)="CLIENT",IF(E3253=0,WORKDAY(A3253-1,1,Dias_Sem_Compensacao!$A$2:$A$500),WORKDAY(A3253,E3253,Dias_Sem_Compensacao!$A$2:$A$500)),"")</f>
        <v>46324</v>
      </c>
      <c r="H3253" s="25">
        <v>0</v>
      </c>
      <c r="I3253" s="28">
        <v>46323</v>
      </c>
      <c r="J3253" t="s">
        <v>2620</v>
      </c>
      <c r="K3253" t="s">
        <v>2621</v>
      </c>
    </row>
    <row r="3254" spans="1:11" hidden="1">
      <c r="A3254" s="28">
        <v>46323</v>
      </c>
      <c r="B3254" t="s">
        <v>186</v>
      </c>
      <c r="C3254" t="s">
        <v>203</v>
      </c>
      <c r="D3254" t="s">
        <v>217</v>
      </c>
      <c r="E3254">
        <f>IF(LEFT(D3254,6)="CLIENT",IFERROR(VLOOKUP(C3254,Config_Carteiras!$A:$B,2,FALSE),1),"")</f>
        <v>1</v>
      </c>
      <c r="F3254" s="25">
        <v>3201.31</v>
      </c>
      <c r="G3254" s="28">
        <f>IF(LEFT(D3254,6)="CLIENT",IF(E3254=0,WORKDAY(A3254-1,1,Dias_Sem_Compensacao!$A$2:$A$500),WORKDAY(A3254,E3254,Dias_Sem_Compensacao!$A$2:$A$500)),"")</f>
        <v>46324</v>
      </c>
      <c r="H3254" s="25">
        <v>0</v>
      </c>
      <c r="I3254" s="28">
        <v>46323</v>
      </c>
      <c r="J3254" t="s">
        <v>2091</v>
      </c>
      <c r="K3254" t="s">
        <v>2092</v>
      </c>
    </row>
    <row r="3255" spans="1:11" hidden="1">
      <c r="A3255" s="28">
        <v>46323</v>
      </c>
      <c r="B3255" t="s">
        <v>186</v>
      </c>
      <c r="C3255" t="s">
        <v>203</v>
      </c>
      <c r="D3255" t="s">
        <v>217</v>
      </c>
      <c r="E3255">
        <f>IF(LEFT(D3255,6)="CLIENT",IFERROR(VLOOKUP(C3255,Config_Carteiras!$A:$B,2,FALSE),1),"")</f>
        <v>1</v>
      </c>
      <c r="F3255" s="25">
        <v>419</v>
      </c>
      <c r="G3255" s="28">
        <f>IF(LEFT(D3255,6)="CLIENT",IF(E3255=0,WORKDAY(A3255-1,1,Dias_Sem_Compensacao!$A$2:$A$500),WORKDAY(A3255,E3255,Dias_Sem_Compensacao!$A$2:$A$500)),"")</f>
        <v>46324</v>
      </c>
      <c r="H3255" s="25">
        <v>0</v>
      </c>
      <c r="I3255" s="28">
        <v>46323</v>
      </c>
      <c r="K3255" t="s">
        <v>2622</v>
      </c>
    </row>
    <row r="3256" spans="1:11" hidden="1">
      <c r="A3256" s="28">
        <v>46323</v>
      </c>
      <c r="B3256" t="s">
        <v>186</v>
      </c>
      <c r="C3256" t="s">
        <v>203</v>
      </c>
      <c r="D3256" t="s">
        <v>217</v>
      </c>
      <c r="E3256">
        <f>IF(LEFT(D3256,6)="CLIENT",IFERROR(VLOOKUP(C3256,Config_Carteiras!$A:$B,2,FALSE),1),"")</f>
        <v>1</v>
      </c>
      <c r="F3256" s="25">
        <v>772.1</v>
      </c>
      <c r="G3256" s="28">
        <f>IF(LEFT(D3256,6)="CLIENT",IF(E3256=0,WORKDAY(A3256-1,1,Dias_Sem_Compensacao!$A$2:$A$500),WORKDAY(A3256,E3256,Dias_Sem_Compensacao!$A$2:$A$500)),"")</f>
        <v>46324</v>
      </c>
      <c r="H3256" s="25">
        <v>0</v>
      </c>
      <c r="I3256" s="28">
        <v>46323</v>
      </c>
      <c r="J3256" t="s">
        <v>1558</v>
      </c>
      <c r="K3256" t="s">
        <v>3114</v>
      </c>
    </row>
    <row r="3257" spans="1:11" hidden="1">
      <c r="A3257" s="28">
        <v>46323</v>
      </c>
      <c r="B3257" t="s">
        <v>186</v>
      </c>
      <c r="C3257" t="s">
        <v>203</v>
      </c>
      <c r="D3257" t="s">
        <v>217</v>
      </c>
      <c r="E3257">
        <f>IF(LEFT(D3257,6)="CLIENT",IFERROR(VLOOKUP(C3257,Config_Carteiras!$A:$B,2,FALSE),1),"")</f>
        <v>1</v>
      </c>
      <c r="F3257" s="25">
        <v>898.22</v>
      </c>
      <c r="G3257" s="28">
        <f>IF(LEFT(D3257,6)="CLIENT",IF(E3257=0,WORKDAY(A3257-1,1,Dias_Sem_Compensacao!$A$2:$A$500),WORKDAY(A3257,E3257,Dias_Sem_Compensacao!$A$2:$A$500)),"")</f>
        <v>46324</v>
      </c>
      <c r="H3257" s="25">
        <v>0</v>
      </c>
      <c r="I3257" s="28">
        <v>46323</v>
      </c>
      <c r="J3257" t="s">
        <v>2627</v>
      </c>
      <c r="K3257" t="s">
        <v>2628</v>
      </c>
    </row>
    <row r="3258" spans="1:11" hidden="1">
      <c r="A3258" s="28">
        <v>46323</v>
      </c>
      <c r="B3258" t="s">
        <v>186</v>
      </c>
      <c r="C3258" t="s">
        <v>203</v>
      </c>
      <c r="D3258" t="s">
        <v>217</v>
      </c>
      <c r="E3258">
        <f>IF(LEFT(D3258,6)="CLIENT",IFERROR(VLOOKUP(C3258,Config_Carteiras!$A:$B,2,FALSE),1),"")</f>
        <v>1</v>
      </c>
      <c r="F3258" s="25">
        <v>734</v>
      </c>
      <c r="G3258" s="28">
        <f>IF(LEFT(D3258,6)="CLIENT",IF(E3258=0,WORKDAY(A3258-1,1,Dias_Sem_Compensacao!$A$2:$A$500),WORKDAY(A3258,E3258,Dias_Sem_Compensacao!$A$2:$A$500)),"")</f>
        <v>46324</v>
      </c>
      <c r="H3258" s="25">
        <v>0</v>
      </c>
      <c r="I3258" s="28">
        <v>46323</v>
      </c>
      <c r="J3258" t="s">
        <v>3115</v>
      </c>
      <c r="K3258" t="s">
        <v>3116</v>
      </c>
    </row>
    <row r="3259" spans="1:11" hidden="1">
      <c r="A3259" s="28">
        <v>46323</v>
      </c>
      <c r="B3259" t="s">
        <v>186</v>
      </c>
      <c r="C3259" t="s">
        <v>203</v>
      </c>
      <c r="D3259" t="s">
        <v>217</v>
      </c>
      <c r="E3259">
        <f>IF(LEFT(D3259,6)="CLIENT",IFERROR(VLOOKUP(C3259,Config_Carteiras!$A:$B,2,FALSE),1),"")</f>
        <v>1</v>
      </c>
      <c r="F3259" s="25">
        <v>1100</v>
      </c>
      <c r="G3259" s="28">
        <f>IF(LEFT(D3259,6)="CLIENT",IF(E3259=0,WORKDAY(A3259-1,1,Dias_Sem_Compensacao!$A$2:$A$500),WORKDAY(A3259,E3259,Dias_Sem_Compensacao!$A$2:$A$500)),"")</f>
        <v>46324</v>
      </c>
      <c r="H3259" s="25">
        <v>0</v>
      </c>
      <c r="I3259" s="28">
        <v>46323</v>
      </c>
      <c r="J3259" t="s">
        <v>2634</v>
      </c>
      <c r="K3259" t="s">
        <v>2635</v>
      </c>
    </row>
    <row r="3260" spans="1:11" hidden="1">
      <c r="A3260" s="28">
        <v>46323</v>
      </c>
      <c r="B3260" t="s">
        <v>186</v>
      </c>
      <c r="C3260" t="s">
        <v>203</v>
      </c>
      <c r="D3260" t="s">
        <v>217</v>
      </c>
      <c r="E3260">
        <f>IF(LEFT(D3260,6)="CLIENT",IFERROR(VLOOKUP(C3260,Config_Carteiras!$A:$B,2,FALSE),1),"")</f>
        <v>1</v>
      </c>
      <c r="F3260" s="25">
        <v>456.39</v>
      </c>
      <c r="G3260" s="28">
        <f>IF(LEFT(D3260,6)="CLIENT",IF(E3260=0,WORKDAY(A3260-1,1,Dias_Sem_Compensacao!$A$2:$A$500),WORKDAY(A3260,E3260,Dias_Sem_Compensacao!$A$2:$A$500)),"")</f>
        <v>46324</v>
      </c>
      <c r="H3260" s="25">
        <v>0</v>
      </c>
      <c r="I3260" s="28">
        <v>46323</v>
      </c>
      <c r="J3260" t="s">
        <v>2104</v>
      </c>
      <c r="K3260" t="s">
        <v>2105</v>
      </c>
    </row>
    <row r="3261" spans="1:11" hidden="1">
      <c r="A3261" s="28">
        <v>46323</v>
      </c>
      <c r="B3261" t="s">
        <v>186</v>
      </c>
      <c r="C3261" t="s">
        <v>203</v>
      </c>
      <c r="D3261" t="s">
        <v>217</v>
      </c>
      <c r="E3261">
        <f>IF(LEFT(D3261,6)="CLIENT",IFERROR(VLOOKUP(C3261,Config_Carteiras!$A:$B,2,FALSE),1),"")</f>
        <v>1</v>
      </c>
      <c r="F3261" s="25">
        <v>1065.6099999999999</v>
      </c>
      <c r="G3261" s="28">
        <f>IF(LEFT(D3261,6)="CLIENT",IF(E3261=0,WORKDAY(A3261-1,1,Dias_Sem_Compensacao!$A$2:$A$500),WORKDAY(A3261,E3261,Dias_Sem_Compensacao!$A$2:$A$500)),"")</f>
        <v>46324</v>
      </c>
      <c r="H3261" s="25">
        <v>0</v>
      </c>
      <c r="I3261" s="28">
        <v>46323</v>
      </c>
      <c r="J3261" t="s">
        <v>2638</v>
      </c>
      <c r="K3261" t="s">
        <v>2639</v>
      </c>
    </row>
    <row r="3262" spans="1:11" hidden="1">
      <c r="A3262" s="28">
        <v>46323</v>
      </c>
      <c r="B3262" t="s">
        <v>186</v>
      </c>
      <c r="C3262" t="s">
        <v>203</v>
      </c>
      <c r="D3262" t="s">
        <v>217</v>
      </c>
      <c r="E3262">
        <f>IF(LEFT(D3262,6)="CLIENT",IFERROR(VLOOKUP(C3262,Config_Carteiras!$A:$B,2,FALSE),1),"")</f>
        <v>1</v>
      </c>
      <c r="F3262" s="25">
        <v>1939</v>
      </c>
      <c r="G3262" s="28">
        <f>IF(LEFT(D3262,6)="CLIENT",IF(E3262=0,WORKDAY(A3262-1,1,Dias_Sem_Compensacao!$A$2:$A$500),WORKDAY(A3262,E3262,Dias_Sem_Compensacao!$A$2:$A$500)),"")</f>
        <v>46324</v>
      </c>
      <c r="H3262" s="25">
        <v>0</v>
      </c>
      <c r="I3262" s="28">
        <v>46323</v>
      </c>
      <c r="J3262" t="s">
        <v>3121</v>
      </c>
      <c r="K3262" t="s">
        <v>3122</v>
      </c>
    </row>
    <row r="3263" spans="1:11" hidden="1">
      <c r="A3263" s="28">
        <v>46323</v>
      </c>
      <c r="B3263" t="s">
        <v>186</v>
      </c>
      <c r="C3263" t="s">
        <v>203</v>
      </c>
      <c r="D3263" t="s">
        <v>217</v>
      </c>
      <c r="E3263">
        <f>IF(LEFT(D3263,6)="CLIENT",IFERROR(VLOOKUP(C3263,Config_Carteiras!$A:$B,2,FALSE),1),"")</f>
        <v>1</v>
      </c>
      <c r="F3263" s="25">
        <v>18240</v>
      </c>
      <c r="G3263" s="28">
        <f>IF(LEFT(D3263,6)="CLIENT",IF(E3263=0,WORKDAY(A3263-1,1,Dias_Sem_Compensacao!$A$2:$A$500),WORKDAY(A3263,E3263,Dias_Sem_Compensacao!$A$2:$A$500)),"")</f>
        <v>46324</v>
      </c>
      <c r="H3263" s="25">
        <v>0</v>
      </c>
      <c r="I3263" s="28">
        <v>46323</v>
      </c>
      <c r="J3263" t="s">
        <v>1392</v>
      </c>
      <c r="K3263" t="s">
        <v>2642</v>
      </c>
    </row>
    <row r="3264" spans="1:11" hidden="1">
      <c r="A3264" s="28">
        <v>46323</v>
      </c>
      <c r="B3264" t="s">
        <v>186</v>
      </c>
      <c r="C3264" t="s">
        <v>203</v>
      </c>
      <c r="D3264" t="s">
        <v>217</v>
      </c>
      <c r="E3264">
        <f>IF(LEFT(D3264,6)="CLIENT",IFERROR(VLOOKUP(C3264,Config_Carteiras!$A:$B,2,FALSE),1),"")</f>
        <v>1</v>
      </c>
      <c r="F3264" s="25">
        <v>18240</v>
      </c>
      <c r="G3264" s="28">
        <f>IF(LEFT(D3264,6)="CLIENT",IF(E3264=0,WORKDAY(A3264-1,1,Dias_Sem_Compensacao!$A$2:$A$500),WORKDAY(A3264,E3264,Dias_Sem_Compensacao!$A$2:$A$500)),"")</f>
        <v>46324</v>
      </c>
      <c r="H3264" s="25">
        <v>0</v>
      </c>
      <c r="I3264" s="28">
        <v>46323</v>
      </c>
      <c r="K3264" t="s">
        <v>3407</v>
      </c>
    </row>
    <row r="3265" spans="1:11" hidden="1">
      <c r="A3265" s="28">
        <v>46323</v>
      </c>
      <c r="B3265" t="s">
        <v>186</v>
      </c>
      <c r="C3265" t="s">
        <v>203</v>
      </c>
      <c r="D3265" t="s">
        <v>217</v>
      </c>
      <c r="E3265">
        <f>IF(LEFT(D3265,6)="CLIENT",IFERROR(VLOOKUP(C3265,Config_Carteiras!$A:$B,2,FALSE),1),"")</f>
        <v>1</v>
      </c>
      <c r="F3265" s="25">
        <v>661</v>
      </c>
      <c r="G3265" s="28">
        <f>IF(LEFT(D3265,6)="CLIENT",IF(E3265=0,WORKDAY(A3265-1,1,Dias_Sem_Compensacao!$A$2:$A$500),WORKDAY(A3265,E3265,Dias_Sem_Compensacao!$A$2:$A$500)),"")</f>
        <v>46324</v>
      </c>
      <c r="H3265" s="25">
        <v>0</v>
      </c>
      <c r="I3265" s="28">
        <v>46323</v>
      </c>
      <c r="J3265" t="s">
        <v>2647</v>
      </c>
      <c r="K3265" t="s">
        <v>2648</v>
      </c>
    </row>
    <row r="3266" spans="1:11" hidden="1">
      <c r="A3266" s="28">
        <v>46323</v>
      </c>
      <c r="B3266" t="s">
        <v>186</v>
      </c>
      <c r="C3266" t="s">
        <v>203</v>
      </c>
      <c r="D3266" t="s">
        <v>217</v>
      </c>
      <c r="E3266">
        <f>IF(LEFT(D3266,6)="CLIENT",IFERROR(VLOOKUP(C3266,Config_Carteiras!$A:$B,2,FALSE),1),"")</f>
        <v>1</v>
      </c>
      <c r="F3266" s="25">
        <v>1191</v>
      </c>
      <c r="G3266" s="28">
        <f>IF(LEFT(D3266,6)="CLIENT",IF(E3266=0,WORKDAY(A3266-1,1,Dias_Sem_Compensacao!$A$2:$A$500),WORKDAY(A3266,E3266,Dias_Sem_Compensacao!$A$2:$A$500)),"")</f>
        <v>46324</v>
      </c>
      <c r="H3266" s="25">
        <v>0</v>
      </c>
      <c r="I3266" s="28">
        <v>46323</v>
      </c>
      <c r="J3266" t="s">
        <v>2649</v>
      </c>
      <c r="K3266" t="s">
        <v>2650</v>
      </c>
    </row>
    <row r="3267" spans="1:11" hidden="1">
      <c r="A3267" s="28">
        <v>46323</v>
      </c>
      <c r="B3267" t="s">
        <v>186</v>
      </c>
      <c r="C3267" t="s">
        <v>203</v>
      </c>
      <c r="D3267" t="s">
        <v>217</v>
      </c>
      <c r="E3267">
        <f>IF(LEFT(D3267,6)="CLIENT",IFERROR(VLOOKUP(C3267,Config_Carteiras!$A:$B,2,FALSE),1),"")</f>
        <v>1</v>
      </c>
      <c r="F3267" s="25">
        <v>922</v>
      </c>
      <c r="G3267" s="28">
        <f>IF(LEFT(D3267,6)="CLIENT",IF(E3267=0,WORKDAY(A3267-1,1,Dias_Sem_Compensacao!$A$2:$A$500),WORKDAY(A3267,E3267,Dias_Sem_Compensacao!$A$2:$A$500)),"")</f>
        <v>46324</v>
      </c>
      <c r="H3267" s="25">
        <v>0</v>
      </c>
      <c r="I3267" s="28">
        <v>46323</v>
      </c>
      <c r="J3267" t="s">
        <v>3127</v>
      </c>
      <c r="K3267" t="s">
        <v>3128</v>
      </c>
    </row>
    <row r="3268" spans="1:11" hidden="1">
      <c r="A3268" s="28">
        <v>46323</v>
      </c>
      <c r="B3268" t="s">
        <v>186</v>
      </c>
      <c r="C3268" t="s">
        <v>203</v>
      </c>
      <c r="D3268" t="s">
        <v>217</v>
      </c>
      <c r="E3268">
        <f>IF(LEFT(D3268,6)="CLIENT",IFERROR(VLOOKUP(C3268,Config_Carteiras!$A:$B,2,FALSE),1),"")</f>
        <v>1</v>
      </c>
      <c r="F3268" s="25">
        <v>922</v>
      </c>
      <c r="G3268" s="28">
        <f>IF(LEFT(D3268,6)="CLIENT",IF(E3268=0,WORKDAY(A3268-1,1,Dias_Sem_Compensacao!$A$2:$A$500),WORKDAY(A3268,E3268,Dias_Sem_Compensacao!$A$2:$A$500)),"")</f>
        <v>46324</v>
      </c>
      <c r="H3268" s="25">
        <v>0</v>
      </c>
      <c r="I3268" s="28">
        <v>46323</v>
      </c>
      <c r="J3268" t="s">
        <v>3129</v>
      </c>
      <c r="K3268" t="s">
        <v>3130</v>
      </c>
    </row>
    <row r="3269" spans="1:11" hidden="1">
      <c r="A3269" s="28">
        <v>46323</v>
      </c>
      <c r="B3269" t="s">
        <v>186</v>
      </c>
      <c r="C3269" t="s">
        <v>203</v>
      </c>
      <c r="D3269" t="s">
        <v>217</v>
      </c>
      <c r="E3269">
        <f>IF(LEFT(D3269,6)="CLIENT",IFERROR(VLOOKUP(C3269,Config_Carteiras!$A:$B,2,FALSE),1),"")</f>
        <v>1</v>
      </c>
      <c r="F3269" s="25">
        <v>1377</v>
      </c>
      <c r="G3269" s="28">
        <f>IF(LEFT(D3269,6)="CLIENT",IF(E3269=0,WORKDAY(A3269-1,1,Dias_Sem_Compensacao!$A$2:$A$500),WORKDAY(A3269,E3269,Dias_Sem_Compensacao!$A$2:$A$500)),"")</f>
        <v>46324</v>
      </c>
      <c r="H3269" s="25">
        <v>0</v>
      </c>
      <c r="I3269" s="28">
        <v>46323</v>
      </c>
      <c r="J3269" t="s">
        <v>2651</v>
      </c>
      <c r="K3269" t="s">
        <v>2652</v>
      </c>
    </row>
    <row r="3270" spans="1:11" hidden="1">
      <c r="A3270" s="28">
        <v>46323</v>
      </c>
      <c r="B3270" t="s">
        <v>186</v>
      </c>
      <c r="C3270" t="s">
        <v>203</v>
      </c>
      <c r="D3270" t="s">
        <v>217</v>
      </c>
      <c r="E3270">
        <f>IF(LEFT(D3270,6)="CLIENT",IFERROR(VLOOKUP(C3270,Config_Carteiras!$A:$B,2,FALSE),1),"")</f>
        <v>1</v>
      </c>
      <c r="F3270" s="25">
        <v>2934.85</v>
      </c>
      <c r="G3270" s="28">
        <f>IF(LEFT(D3270,6)="CLIENT",IF(E3270=0,WORKDAY(A3270-1,1,Dias_Sem_Compensacao!$A$2:$A$500),WORKDAY(A3270,E3270,Dias_Sem_Compensacao!$A$2:$A$500)),"")</f>
        <v>46324</v>
      </c>
      <c r="H3270" s="25">
        <v>0</v>
      </c>
      <c r="I3270" s="28">
        <v>46323</v>
      </c>
      <c r="J3270" t="s">
        <v>3131</v>
      </c>
      <c r="K3270" t="s">
        <v>3132</v>
      </c>
    </row>
    <row r="3271" spans="1:11" hidden="1">
      <c r="A3271" s="28">
        <v>46323</v>
      </c>
      <c r="B3271" t="s">
        <v>186</v>
      </c>
      <c r="C3271" t="s">
        <v>203</v>
      </c>
      <c r="D3271" t="s">
        <v>217</v>
      </c>
      <c r="E3271">
        <f>IF(LEFT(D3271,6)="CLIENT",IFERROR(VLOOKUP(C3271,Config_Carteiras!$A:$B,2,FALSE),1),"")</f>
        <v>1</v>
      </c>
      <c r="F3271" s="25">
        <v>888.95</v>
      </c>
      <c r="G3271" s="28">
        <f>IF(LEFT(D3271,6)="CLIENT",IF(E3271=0,WORKDAY(A3271-1,1,Dias_Sem_Compensacao!$A$2:$A$500),WORKDAY(A3271,E3271,Dias_Sem_Compensacao!$A$2:$A$500)),"")</f>
        <v>46324</v>
      </c>
      <c r="H3271" s="25">
        <v>0</v>
      </c>
      <c r="I3271" s="28">
        <v>46323</v>
      </c>
      <c r="J3271" t="s">
        <v>2120</v>
      </c>
      <c r="K3271" t="s">
        <v>2121</v>
      </c>
    </row>
    <row r="3272" spans="1:11" hidden="1">
      <c r="A3272" s="28">
        <v>46323</v>
      </c>
      <c r="B3272" t="s">
        <v>186</v>
      </c>
      <c r="C3272" t="s">
        <v>203</v>
      </c>
      <c r="D3272" t="s">
        <v>217</v>
      </c>
      <c r="E3272">
        <f>IF(LEFT(D3272,6)="CLIENT",IFERROR(VLOOKUP(C3272,Config_Carteiras!$A:$B,2,FALSE),1),"")</f>
        <v>1</v>
      </c>
      <c r="F3272" s="25">
        <v>334</v>
      </c>
      <c r="G3272" s="28">
        <f>IF(LEFT(D3272,6)="CLIENT",IF(E3272=0,WORKDAY(A3272-1,1,Dias_Sem_Compensacao!$A$2:$A$500),WORKDAY(A3272,E3272,Dias_Sem_Compensacao!$A$2:$A$500)),"")</f>
        <v>46324</v>
      </c>
      <c r="H3272" s="25">
        <v>0</v>
      </c>
      <c r="I3272" s="28">
        <v>46323</v>
      </c>
      <c r="J3272" t="s">
        <v>2655</v>
      </c>
      <c r="K3272" t="s">
        <v>2656</v>
      </c>
    </row>
    <row r="3273" spans="1:11" hidden="1">
      <c r="A3273" s="28">
        <v>46323</v>
      </c>
      <c r="B3273" t="s">
        <v>186</v>
      </c>
      <c r="C3273" t="s">
        <v>203</v>
      </c>
      <c r="D3273" t="s">
        <v>217</v>
      </c>
      <c r="E3273">
        <f>IF(LEFT(D3273,6)="CLIENT",IFERROR(VLOOKUP(C3273,Config_Carteiras!$A:$B,2,FALSE),1),"")</f>
        <v>1</v>
      </c>
      <c r="F3273" s="25">
        <v>2418.2600000000002</v>
      </c>
      <c r="G3273" s="28">
        <f>IF(LEFT(D3273,6)="CLIENT",IF(E3273=0,WORKDAY(A3273-1,1,Dias_Sem_Compensacao!$A$2:$A$500),WORKDAY(A3273,E3273,Dias_Sem_Compensacao!$A$2:$A$500)),"")</f>
        <v>46324</v>
      </c>
      <c r="H3273" s="25">
        <v>0</v>
      </c>
      <c r="I3273" s="28">
        <v>46323</v>
      </c>
      <c r="J3273" t="s">
        <v>2125</v>
      </c>
      <c r="K3273" t="s">
        <v>2126</v>
      </c>
    </row>
    <row r="3274" spans="1:11" hidden="1">
      <c r="A3274" s="28">
        <v>46323</v>
      </c>
      <c r="B3274" t="s">
        <v>186</v>
      </c>
      <c r="C3274" t="s">
        <v>203</v>
      </c>
      <c r="D3274" t="s">
        <v>217</v>
      </c>
      <c r="E3274">
        <f>IF(LEFT(D3274,6)="CLIENT",IFERROR(VLOOKUP(C3274,Config_Carteiras!$A:$B,2,FALSE),1),"")</f>
        <v>1</v>
      </c>
      <c r="F3274" s="25">
        <v>595</v>
      </c>
      <c r="G3274" s="28">
        <f>IF(LEFT(D3274,6)="CLIENT",IF(E3274=0,WORKDAY(A3274-1,1,Dias_Sem_Compensacao!$A$2:$A$500),WORKDAY(A3274,E3274,Dias_Sem_Compensacao!$A$2:$A$500)),"")</f>
        <v>46324</v>
      </c>
      <c r="H3274" s="25">
        <v>0</v>
      </c>
      <c r="I3274" s="28">
        <v>46323</v>
      </c>
      <c r="J3274" t="s">
        <v>2663</v>
      </c>
      <c r="K3274" t="s">
        <v>2664</v>
      </c>
    </row>
    <row r="3275" spans="1:11" hidden="1">
      <c r="A3275" s="28">
        <v>46323</v>
      </c>
      <c r="B3275" t="s">
        <v>186</v>
      </c>
      <c r="C3275" t="s">
        <v>203</v>
      </c>
      <c r="D3275" t="s">
        <v>217</v>
      </c>
      <c r="E3275">
        <f>IF(LEFT(D3275,6)="CLIENT",IFERROR(VLOOKUP(C3275,Config_Carteiras!$A:$B,2,FALSE),1),"")</f>
        <v>1</v>
      </c>
      <c r="F3275" s="25">
        <v>1206.43</v>
      </c>
      <c r="G3275" s="28">
        <f>IF(LEFT(D3275,6)="CLIENT",IF(E3275=0,WORKDAY(A3275-1,1,Dias_Sem_Compensacao!$A$2:$A$500),WORKDAY(A3275,E3275,Dias_Sem_Compensacao!$A$2:$A$500)),"")</f>
        <v>46324</v>
      </c>
      <c r="H3275" s="25">
        <v>0</v>
      </c>
      <c r="I3275" s="28">
        <v>46323</v>
      </c>
      <c r="J3275" t="s">
        <v>2665</v>
      </c>
      <c r="K3275" t="s">
        <v>2666</v>
      </c>
    </row>
    <row r="3276" spans="1:11" hidden="1">
      <c r="A3276" s="28">
        <v>46323</v>
      </c>
      <c r="B3276" t="s">
        <v>186</v>
      </c>
      <c r="C3276" t="s">
        <v>203</v>
      </c>
      <c r="D3276" t="s">
        <v>217</v>
      </c>
      <c r="E3276">
        <f>IF(LEFT(D3276,6)="CLIENT",IFERROR(VLOOKUP(C3276,Config_Carteiras!$A:$B,2,FALSE),1),"")</f>
        <v>1</v>
      </c>
      <c r="F3276" s="25">
        <v>377.72</v>
      </c>
      <c r="G3276" s="28">
        <f>IF(LEFT(D3276,6)="CLIENT",IF(E3276=0,WORKDAY(A3276-1,1,Dias_Sem_Compensacao!$A$2:$A$500),WORKDAY(A3276,E3276,Dias_Sem_Compensacao!$A$2:$A$500)),"")</f>
        <v>46324</v>
      </c>
      <c r="H3276" s="25">
        <v>0</v>
      </c>
      <c r="I3276" s="28">
        <v>46323</v>
      </c>
      <c r="J3276" t="s">
        <v>2669</v>
      </c>
      <c r="K3276" t="s">
        <v>2670</v>
      </c>
    </row>
    <row r="3277" spans="1:11" hidden="1">
      <c r="A3277" s="28">
        <v>46323</v>
      </c>
      <c r="B3277" t="s">
        <v>186</v>
      </c>
      <c r="C3277" t="s">
        <v>203</v>
      </c>
      <c r="D3277" t="s">
        <v>217</v>
      </c>
      <c r="E3277">
        <f>IF(LEFT(D3277,6)="CLIENT",IFERROR(VLOOKUP(C3277,Config_Carteiras!$A:$B,2,FALSE),1),"")</f>
        <v>1</v>
      </c>
      <c r="F3277" s="25">
        <v>2410</v>
      </c>
      <c r="G3277" s="28">
        <f>IF(LEFT(D3277,6)="CLIENT",IF(E3277=0,WORKDAY(A3277-1,1,Dias_Sem_Compensacao!$A$2:$A$500),WORKDAY(A3277,E3277,Dias_Sem_Compensacao!$A$2:$A$500)),"")</f>
        <v>46324</v>
      </c>
      <c r="H3277" s="25">
        <v>0</v>
      </c>
      <c r="I3277" s="28">
        <v>46323</v>
      </c>
      <c r="J3277" t="s">
        <v>3142</v>
      </c>
      <c r="K3277" t="s">
        <v>3143</v>
      </c>
    </row>
    <row r="3278" spans="1:11" hidden="1">
      <c r="A3278" s="28">
        <v>46323</v>
      </c>
      <c r="B3278" t="s">
        <v>186</v>
      </c>
      <c r="C3278" t="s">
        <v>203</v>
      </c>
      <c r="D3278" t="s">
        <v>217</v>
      </c>
      <c r="E3278">
        <f>IF(LEFT(D3278,6)="CLIENT",IFERROR(VLOOKUP(C3278,Config_Carteiras!$A:$B,2,FALSE),1),"")</f>
        <v>1</v>
      </c>
      <c r="F3278" s="25">
        <v>1740</v>
      </c>
      <c r="G3278" s="28">
        <f>IF(LEFT(D3278,6)="CLIENT",IF(E3278=0,WORKDAY(A3278-1,1,Dias_Sem_Compensacao!$A$2:$A$500),WORKDAY(A3278,E3278,Dias_Sem_Compensacao!$A$2:$A$500)),"")</f>
        <v>46324</v>
      </c>
      <c r="H3278" s="25">
        <v>0</v>
      </c>
      <c r="I3278" s="28">
        <v>46323</v>
      </c>
      <c r="J3278" t="s">
        <v>371</v>
      </c>
      <c r="K3278" t="s">
        <v>2671</v>
      </c>
    </row>
    <row r="3279" spans="1:11" hidden="1">
      <c r="A3279" s="28">
        <v>46324</v>
      </c>
      <c r="B3279" t="s">
        <v>186</v>
      </c>
      <c r="C3279" t="s">
        <v>203</v>
      </c>
      <c r="D3279" t="s">
        <v>217</v>
      </c>
      <c r="E3279">
        <f>IF(LEFT(D3279,6)="CLIENT",IFERROR(VLOOKUP(C3279,Config_Carteiras!$A:$B,2,FALSE),1),"")</f>
        <v>1</v>
      </c>
      <c r="F3279" s="25">
        <v>968.31</v>
      </c>
      <c r="G3279" s="28">
        <f>IF(LEFT(D3279,6)="CLIENT",IF(E3279=0,WORKDAY(A3279-1,1,Dias_Sem_Compensacao!$A$2:$A$500),WORKDAY(A3279,E3279,Dias_Sem_Compensacao!$A$2:$A$500)),"")</f>
        <v>46325</v>
      </c>
      <c r="H3279" s="25">
        <v>0</v>
      </c>
      <c r="I3279" s="28">
        <v>46324</v>
      </c>
      <c r="J3279" t="s">
        <v>2672</v>
      </c>
      <c r="K3279" t="s">
        <v>2673</v>
      </c>
    </row>
    <row r="3280" spans="1:11" hidden="1">
      <c r="A3280" s="28">
        <v>46324</v>
      </c>
      <c r="B3280" t="s">
        <v>186</v>
      </c>
      <c r="C3280" t="s">
        <v>203</v>
      </c>
      <c r="D3280" t="s">
        <v>217</v>
      </c>
      <c r="E3280">
        <f>IF(LEFT(D3280,6)="CLIENT",IFERROR(VLOOKUP(C3280,Config_Carteiras!$A:$B,2,FALSE),1),"")</f>
        <v>1</v>
      </c>
      <c r="F3280" s="25">
        <v>1000</v>
      </c>
      <c r="G3280" s="28">
        <f>IF(LEFT(D3280,6)="CLIENT",IF(E3280=0,WORKDAY(A3280-1,1,Dias_Sem_Compensacao!$A$2:$A$500),WORKDAY(A3280,E3280,Dias_Sem_Compensacao!$A$2:$A$500)),"")</f>
        <v>46325</v>
      </c>
      <c r="H3280" s="25">
        <v>0</v>
      </c>
      <c r="I3280" s="28">
        <v>46324</v>
      </c>
      <c r="J3280" t="s">
        <v>3408</v>
      </c>
      <c r="K3280" t="s">
        <v>3409</v>
      </c>
    </row>
    <row r="3281" spans="1:11" hidden="1">
      <c r="A3281" s="28">
        <v>46324</v>
      </c>
      <c r="B3281" t="s">
        <v>186</v>
      </c>
      <c r="C3281" t="s">
        <v>203</v>
      </c>
      <c r="D3281" t="s">
        <v>217</v>
      </c>
      <c r="E3281">
        <f>IF(LEFT(D3281,6)="CLIENT",IFERROR(VLOOKUP(C3281,Config_Carteiras!$A:$B,2,FALSE),1),"")</f>
        <v>1</v>
      </c>
      <c r="F3281" s="25">
        <v>3078</v>
      </c>
      <c r="G3281" s="28">
        <f>IF(LEFT(D3281,6)="CLIENT",IF(E3281=0,WORKDAY(A3281-1,1,Dias_Sem_Compensacao!$A$2:$A$500),WORKDAY(A3281,E3281,Dias_Sem_Compensacao!$A$2:$A$500)),"")</f>
        <v>46325</v>
      </c>
      <c r="H3281" s="25">
        <v>0</v>
      </c>
      <c r="I3281" s="28">
        <v>46324</v>
      </c>
      <c r="J3281" t="s">
        <v>3144</v>
      </c>
      <c r="K3281" t="s">
        <v>3145</v>
      </c>
    </row>
    <row r="3282" spans="1:11" hidden="1">
      <c r="A3282" s="28">
        <v>46324</v>
      </c>
      <c r="B3282" t="s">
        <v>186</v>
      </c>
      <c r="C3282" t="s">
        <v>203</v>
      </c>
      <c r="D3282" t="s">
        <v>217</v>
      </c>
      <c r="E3282">
        <f>IF(LEFT(D3282,6)="CLIENT",IFERROR(VLOOKUP(C3282,Config_Carteiras!$A:$B,2,FALSE),1),"")</f>
        <v>1</v>
      </c>
      <c r="F3282" s="25">
        <v>552</v>
      </c>
      <c r="G3282" s="28">
        <f>IF(LEFT(D3282,6)="CLIENT",IF(E3282=0,WORKDAY(A3282-1,1,Dias_Sem_Compensacao!$A$2:$A$500),WORKDAY(A3282,E3282,Dias_Sem_Compensacao!$A$2:$A$500)),"")</f>
        <v>46325</v>
      </c>
      <c r="H3282" s="25">
        <v>0</v>
      </c>
      <c r="I3282" s="28">
        <v>46324</v>
      </c>
      <c r="J3282" t="s">
        <v>3146</v>
      </c>
      <c r="K3282" t="s">
        <v>3147</v>
      </c>
    </row>
    <row r="3283" spans="1:11" hidden="1">
      <c r="A3283" s="28">
        <v>46324</v>
      </c>
      <c r="B3283" t="s">
        <v>186</v>
      </c>
      <c r="C3283" t="s">
        <v>203</v>
      </c>
      <c r="D3283" t="s">
        <v>217</v>
      </c>
      <c r="E3283">
        <f>IF(LEFT(D3283,6)="CLIENT",IFERROR(VLOOKUP(C3283,Config_Carteiras!$A:$B,2,FALSE),1),"")</f>
        <v>1</v>
      </c>
      <c r="F3283" s="25">
        <v>14592</v>
      </c>
      <c r="G3283" s="28">
        <f>IF(LEFT(D3283,6)="CLIENT",IF(E3283=0,WORKDAY(A3283-1,1,Dias_Sem_Compensacao!$A$2:$A$500),WORKDAY(A3283,E3283,Dias_Sem_Compensacao!$A$2:$A$500)),"")</f>
        <v>46325</v>
      </c>
      <c r="H3283" s="25">
        <v>0</v>
      </c>
      <c r="I3283" s="28">
        <v>46324</v>
      </c>
      <c r="J3283" t="s">
        <v>2135</v>
      </c>
      <c r="K3283" t="s">
        <v>2136</v>
      </c>
    </row>
    <row r="3284" spans="1:11" hidden="1">
      <c r="A3284" s="28">
        <v>46324</v>
      </c>
      <c r="B3284" t="s">
        <v>186</v>
      </c>
      <c r="C3284" t="s">
        <v>203</v>
      </c>
      <c r="D3284" t="s">
        <v>217</v>
      </c>
      <c r="E3284">
        <f>IF(LEFT(D3284,6)="CLIENT",IFERROR(VLOOKUP(C3284,Config_Carteiras!$A:$B,2,FALSE),1),"")</f>
        <v>1</v>
      </c>
      <c r="F3284" s="25">
        <v>510</v>
      </c>
      <c r="G3284" s="28">
        <f>IF(LEFT(D3284,6)="CLIENT",IF(E3284=0,WORKDAY(A3284-1,1,Dias_Sem_Compensacao!$A$2:$A$500),WORKDAY(A3284,E3284,Dias_Sem_Compensacao!$A$2:$A$500)),"")</f>
        <v>46325</v>
      </c>
      <c r="H3284" s="25">
        <v>0</v>
      </c>
      <c r="I3284" s="28">
        <v>46324</v>
      </c>
      <c r="J3284" t="s">
        <v>2139</v>
      </c>
      <c r="K3284" t="s">
        <v>2140</v>
      </c>
    </row>
    <row r="3285" spans="1:11" hidden="1">
      <c r="A3285" s="28">
        <v>46324</v>
      </c>
      <c r="B3285" t="s">
        <v>186</v>
      </c>
      <c r="C3285" t="s">
        <v>203</v>
      </c>
      <c r="D3285" t="s">
        <v>217</v>
      </c>
      <c r="E3285">
        <f>IF(LEFT(D3285,6)="CLIENT",IFERROR(VLOOKUP(C3285,Config_Carteiras!$A:$B,2,FALSE),1),"")</f>
        <v>1</v>
      </c>
      <c r="F3285" s="25">
        <v>2082</v>
      </c>
      <c r="G3285" s="28">
        <f>IF(LEFT(D3285,6)="CLIENT",IF(E3285=0,WORKDAY(A3285-1,1,Dias_Sem_Compensacao!$A$2:$A$500),WORKDAY(A3285,E3285,Dias_Sem_Compensacao!$A$2:$A$500)),"")</f>
        <v>46325</v>
      </c>
      <c r="H3285" s="25">
        <v>0</v>
      </c>
      <c r="I3285" s="28">
        <v>46324</v>
      </c>
      <c r="J3285" t="s">
        <v>3150</v>
      </c>
      <c r="K3285" t="s">
        <v>3151</v>
      </c>
    </row>
    <row r="3286" spans="1:11" hidden="1">
      <c r="A3286" s="28">
        <v>46324</v>
      </c>
      <c r="B3286" t="s">
        <v>186</v>
      </c>
      <c r="C3286" t="s">
        <v>203</v>
      </c>
      <c r="D3286" t="s">
        <v>217</v>
      </c>
      <c r="E3286">
        <f>IF(LEFT(D3286,6)="CLIENT",IFERROR(VLOOKUP(C3286,Config_Carteiras!$A:$B,2,FALSE),1),"")</f>
        <v>1</v>
      </c>
      <c r="F3286" s="25">
        <v>790.8</v>
      </c>
      <c r="G3286" s="28">
        <f>IF(LEFT(D3286,6)="CLIENT",IF(E3286=0,WORKDAY(A3286-1,1,Dias_Sem_Compensacao!$A$2:$A$500),WORKDAY(A3286,E3286,Dias_Sem_Compensacao!$A$2:$A$500)),"")</f>
        <v>46325</v>
      </c>
      <c r="H3286" s="25">
        <v>0</v>
      </c>
      <c r="I3286" s="28">
        <v>46324</v>
      </c>
      <c r="J3286" t="s">
        <v>2678</v>
      </c>
      <c r="K3286" t="s">
        <v>2679</v>
      </c>
    </row>
    <row r="3287" spans="1:11" hidden="1">
      <c r="A3287" s="28">
        <v>46324</v>
      </c>
      <c r="B3287" t="s">
        <v>186</v>
      </c>
      <c r="C3287" t="s">
        <v>203</v>
      </c>
      <c r="D3287" t="s">
        <v>217</v>
      </c>
      <c r="E3287">
        <f>IF(LEFT(D3287,6)="CLIENT",IFERROR(VLOOKUP(C3287,Config_Carteiras!$A:$B,2,FALSE),1),"")</f>
        <v>1</v>
      </c>
      <c r="F3287" s="25">
        <v>1370.66</v>
      </c>
      <c r="G3287" s="28">
        <f>IF(LEFT(D3287,6)="CLIENT",IF(E3287=0,WORKDAY(A3287-1,1,Dias_Sem_Compensacao!$A$2:$A$500),WORKDAY(A3287,E3287,Dias_Sem_Compensacao!$A$2:$A$500)),"")</f>
        <v>46325</v>
      </c>
      <c r="H3287" s="25">
        <v>0</v>
      </c>
      <c r="I3287" s="28">
        <v>46324</v>
      </c>
      <c r="J3287" t="s">
        <v>2680</v>
      </c>
      <c r="K3287" t="s">
        <v>2681</v>
      </c>
    </row>
    <row r="3288" spans="1:11" hidden="1">
      <c r="A3288" s="28">
        <v>46324</v>
      </c>
      <c r="B3288" t="s">
        <v>186</v>
      </c>
      <c r="C3288" t="s">
        <v>203</v>
      </c>
      <c r="D3288" t="s">
        <v>217</v>
      </c>
      <c r="E3288">
        <f>IF(LEFT(D3288,6)="CLIENT",IFERROR(VLOOKUP(C3288,Config_Carteiras!$A:$B,2,FALSE),1),"")</f>
        <v>1</v>
      </c>
      <c r="F3288" s="25">
        <v>934</v>
      </c>
      <c r="G3288" s="28">
        <f>IF(LEFT(D3288,6)="CLIENT",IF(E3288=0,WORKDAY(A3288-1,1,Dias_Sem_Compensacao!$A$2:$A$500),WORKDAY(A3288,E3288,Dias_Sem_Compensacao!$A$2:$A$500)),"")</f>
        <v>46325</v>
      </c>
      <c r="H3288" s="25">
        <v>0</v>
      </c>
      <c r="I3288" s="28">
        <v>46324</v>
      </c>
      <c r="J3288" t="s">
        <v>3154</v>
      </c>
      <c r="K3288" t="s">
        <v>3155</v>
      </c>
    </row>
    <row r="3289" spans="1:11" hidden="1">
      <c r="A3289" s="28">
        <v>46324</v>
      </c>
      <c r="B3289" t="s">
        <v>186</v>
      </c>
      <c r="C3289" t="s">
        <v>203</v>
      </c>
      <c r="D3289" t="s">
        <v>217</v>
      </c>
      <c r="E3289">
        <f>IF(LEFT(D3289,6)="CLIENT",IFERROR(VLOOKUP(C3289,Config_Carteiras!$A:$B,2,FALSE),1),"")</f>
        <v>1</v>
      </c>
      <c r="F3289" s="25">
        <v>641.26</v>
      </c>
      <c r="G3289" s="28">
        <f>IF(LEFT(D3289,6)="CLIENT",IF(E3289=0,WORKDAY(A3289-1,1,Dias_Sem_Compensacao!$A$2:$A$500),WORKDAY(A3289,E3289,Dias_Sem_Compensacao!$A$2:$A$500)),"")</f>
        <v>46325</v>
      </c>
      <c r="H3289" s="25">
        <v>0</v>
      </c>
      <c r="I3289" s="28">
        <v>46324</v>
      </c>
      <c r="J3289" t="s">
        <v>2684</v>
      </c>
      <c r="K3289" t="s">
        <v>2685</v>
      </c>
    </row>
    <row r="3290" spans="1:11" hidden="1">
      <c r="A3290" s="28">
        <v>46324</v>
      </c>
      <c r="B3290" t="s">
        <v>186</v>
      </c>
      <c r="C3290" t="s">
        <v>203</v>
      </c>
      <c r="D3290" t="s">
        <v>217</v>
      </c>
      <c r="E3290">
        <f>IF(LEFT(D3290,6)="CLIENT",IFERROR(VLOOKUP(C3290,Config_Carteiras!$A:$B,2,FALSE),1),"")</f>
        <v>1</v>
      </c>
      <c r="F3290" s="25">
        <v>4725</v>
      </c>
      <c r="G3290" s="28">
        <f>IF(LEFT(D3290,6)="CLIENT",IF(E3290=0,WORKDAY(A3290-1,1,Dias_Sem_Compensacao!$A$2:$A$500),WORKDAY(A3290,E3290,Dias_Sem_Compensacao!$A$2:$A$500)),"")</f>
        <v>46325</v>
      </c>
      <c r="H3290" s="25">
        <v>0</v>
      </c>
      <c r="I3290" s="28">
        <v>46324</v>
      </c>
      <c r="J3290" t="s">
        <v>2147</v>
      </c>
      <c r="K3290" t="s">
        <v>2148</v>
      </c>
    </row>
    <row r="3291" spans="1:11" hidden="1">
      <c r="A3291" s="28">
        <v>46324</v>
      </c>
      <c r="B3291" t="s">
        <v>186</v>
      </c>
      <c r="C3291" t="s">
        <v>203</v>
      </c>
      <c r="D3291" t="s">
        <v>217</v>
      </c>
      <c r="E3291">
        <f>IF(LEFT(D3291,6)="CLIENT",IFERROR(VLOOKUP(C3291,Config_Carteiras!$A:$B,2,FALSE),1),"")</f>
        <v>1</v>
      </c>
      <c r="F3291" s="25">
        <v>777</v>
      </c>
      <c r="G3291" s="28">
        <f>IF(LEFT(D3291,6)="CLIENT",IF(E3291=0,WORKDAY(A3291-1,1,Dias_Sem_Compensacao!$A$2:$A$500),WORKDAY(A3291,E3291,Dias_Sem_Compensacao!$A$2:$A$500)),"")</f>
        <v>46325</v>
      </c>
      <c r="H3291" s="25">
        <v>0</v>
      </c>
      <c r="I3291" s="28">
        <v>46324</v>
      </c>
      <c r="J3291" t="s">
        <v>2687</v>
      </c>
      <c r="K3291" t="s">
        <v>2688</v>
      </c>
    </row>
    <row r="3292" spans="1:11" hidden="1">
      <c r="A3292" s="28">
        <v>46324</v>
      </c>
      <c r="B3292" t="s">
        <v>186</v>
      </c>
      <c r="C3292" t="s">
        <v>203</v>
      </c>
      <c r="D3292" t="s">
        <v>217</v>
      </c>
      <c r="E3292">
        <f>IF(LEFT(D3292,6)="CLIENT",IFERROR(VLOOKUP(C3292,Config_Carteiras!$A:$B,2,FALSE),1),"")</f>
        <v>1</v>
      </c>
      <c r="F3292" s="25">
        <v>1574</v>
      </c>
      <c r="G3292" s="28">
        <f>IF(LEFT(D3292,6)="CLIENT",IF(E3292=0,WORKDAY(A3292-1,1,Dias_Sem_Compensacao!$A$2:$A$500),WORKDAY(A3292,E3292,Dias_Sem_Compensacao!$A$2:$A$500)),"")</f>
        <v>46325</v>
      </c>
      <c r="H3292" s="25">
        <v>0</v>
      </c>
      <c r="I3292" s="28">
        <v>46324</v>
      </c>
      <c r="J3292" t="s">
        <v>3162</v>
      </c>
      <c r="K3292" t="s">
        <v>3163</v>
      </c>
    </row>
    <row r="3293" spans="1:11" hidden="1">
      <c r="A3293" s="28">
        <v>46324</v>
      </c>
      <c r="B3293" t="s">
        <v>186</v>
      </c>
      <c r="C3293" t="s">
        <v>203</v>
      </c>
      <c r="D3293" t="s">
        <v>217</v>
      </c>
      <c r="E3293">
        <f>IF(LEFT(D3293,6)="CLIENT",IFERROR(VLOOKUP(C3293,Config_Carteiras!$A:$B,2,FALSE),1),"")</f>
        <v>1</v>
      </c>
      <c r="F3293" s="25">
        <v>1117.18</v>
      </c>
      <c r="G3293" s="28">
        <f>IF(LEFT(D3293,6)="CLIENT",IF(E3293=0,WORKDAY(A3293-1,1,Dias_Sem_Compensacao!$A$2:$A$500),WORKDAY(A3293,E3293,Dias_Sem_Compensacao!$A$2:$A$500)),"")</f>
        <v>46325</v>
      </c>
      <c r="H3293" s="25">
        <v>0</v>
      </c>
      <c r="I3293" s="28">
        <v>46324</v>
      </c>
      <c r="J3293" t="s">
        <v>1476</v>
      </c>
      <c r="K3293" t="s">
        <v>1477</v>
      </c>
    </row>
    <row r="3294" spans="1:11" hidden="1">
      <c r="A3294" s="28">
        <v>46324</v>
      </c>
      <c r="B3294" t="s">
        <v>186</v>
      </c>
      <c r="C3294" t="s">
        <v>203</v>
      </c>
      <c r="D3294" t="s">
        <v>217</v>
      </c>
      <c r="E3294">
        <f>IF(LEFT(D3294,6)="CLIENT",IFERROR(VLOOKUP(C3294,Config_Carteiras!$A:$B,2,FALSE),1),"")</f>
        <v>1</v>
      </c>
      <c r="F3294" s="25">
        <v>1379.34</v>
      </c>
      <c r="G3294" s="28">
        <f>IF(LEFT(D3294,6)="CLIENT",IF(E3294=0,WORKDAY(A3294-1,1,Dias_Sem_Compensacao!$A$2:$A$500),WORKDAY(A3294,E3294,Dias_Sem_Compensacao!$A$2:$A$500)),"")</f>
        <v>46325</v>
      </c>
      <c r="H3294" s="25">
        <v>0</v>
      </c>
      <c r="I3294" s="28">
        <v>46324</v>
      </c>
      <c r="J3294" t="s">
        <v>2697</v>
      </c>
      <c r="K3294" t="s">
        <v>2698</v>
      </c>
    </row>
    <row r="3295" spans="1:11" hidden="1">
      <c r="A3295" s="28">
        <v>46324</v>
      </c>
      <c r="B3295" t="s">
        <v>186</v>
      </c>
      <c r="C3295" t="s">
        <v>203</v>
      </c>
      <c r="D3295" t="s">
        <v>217</v>
      </c>
      <c r="E3295">
        <f>IF(LEFT(D3295,6)="CLIENT",IFERROR(VLOOKUP(C3295,Config_Carteiras!$A:$B,2,FALSE),1),"")</f>
        <v>1</v>
      </c>
      <c r="F3295" s="25">
        <v>408.65</v>
      </c>
      <c r="G3295" s="28">
        <f>IF(LEFT(D3295,6)="CLIENT",IF(E3295=0,WORKDAY(A3295-1,1,Dias_Sem_Compensacao!$A$2:$A$500),WORKDAY(A3295,E3295,Dias_Sem_Compensacao!$A$2:$A$500)),"")</f>
        <v>46325</v>
      </c>
      <c r="H3295" s="25">
        <v>0</v>
      </c>
      <c r="I3295" s="28">
        <v>46324</v>
      </c>
      <c r="J3295" t="s">
        <v>2701</v>
      </c>
      <c r="K3295" t="s">
        <v>2702</v>
      </c>
    </row>
    <row r="3296" spans="1:11" hidden="1">
      <c r="A3296" s="28">
        <v>46324</v>
      </c>
      <c r="B3296" t="s">
        <v>186</v>
      </c>
      <c r="C3296" t="s">
        <v>203</v>
      </c>
      <c r="D3296" t="s">
        <v>217</v>
      </c>
      <c r="E3296">
        <f>IF(LEFT(D3296,6)="CLIENT",IFERROR(VLOOKUP(C3296,Config_Carteiras!$A:$B,2,FALSE),1),"")</f>
        <v>1</v>
      </c>
      <c r="F3296" s="25">
        <v>764</v>
      </c>
      <c r="G3296" s="28">
        <f>IF(LEFT(D3296,6)="CLIENT",IF(E3296=0,WORKDAY(A3296-1,1,Dias_Sem_Compensacao!$A$2:$A$500),WORKDAY(A3296,E3296,Dias_Sem_Compensacao!$A$2:$A$500)),"")</f>
        <v>46325</v>
      </c>
      <c r="H3296" s="25">
        <v>0</v>
      </c>
      <c r="I3296" s="28">
        <v>46324</v>
      </c>
      <c r="J3296" t="s">
        <v>1503</v>
      </c>
      <c r="K3296" t="s">
        <v>2170</v>
      </c>
    </row>
    <row r="3297" spans="1:11" hidden="1">
      <c r="A3297" s="28">
        <v>46324</v>
      </c>
      <c r="B3297" t="s">
        <v>186</v>
      </c>
      <c r="C3297" t="s">
        <v>203</v>
      </c>
      <c r="D3297" t="s">
        <v>217</v>
      </c>
      <c r="E3297">
        <f>IF(LEFT(D3297,6)="CLIENT",IFERROR(VLOOKUP(C3297,Config_Carteiras!$A:$B,2,FALSE),1),"")</f>
        <v>1</v>
      </c>
      <c r="F3297" s="25">
        <v>2860</v>
      </c>
      <c r="G3297" s="28">
        <f>IF(LEFT(D3297,6)="CLIENT",IF(E3297=0,WORKDAY(A3297-1,1,Dias_Sem_Compensacao!$A$2:$A$500),WORKDAY(A3297,E3297,Dias_Sem_Compensacao!$A$2:$A$500)),"")</f>
        <v>46325</v>
      </c>
      <c r="H3297" s="25">
        <v>0</v>
      </c>
      <c r="I3297" s="28">
        <v>46324</v>
      </c>
      <c r="J3297" t="s">
        <v>3410</v>
      </c>
      <c r="K3297" t="s">
        <v>3411</v>
      </c>
    </row>
    <row r="3298" spans="1:11" hidden="1">
      <c r="A3298" s="28">
        <v>46324</v>
      </c>
      <c r="B3298" t="s">
        <v>186</v>
      </c>
      <c r="C3298" t="s">
        <v>203</v>
      </c>
      <c r="D3298" t="s">
        <v>217</v>
      </c>
      <c r="E3298">
        <f>IF(LEFT(D3298,6)="CLIENT",IFERROR(VLOOKUP(C3298,Config_Carteiras!$A:$B,2,FALSE),1),"")</f>
        <v>1</v>
      </c>
      <c r="F3298" s="25">
        <v>590</v>
      </c>
      <c r="G3298" s="28">
        <f>IF(LEFT(D3298,6)="CLIENT",IF(E3298=0,WORKDAY(A3298-1,1,Dias_Sem_Compensacao!$A$2:$A$500),WORKDAY(A3298,E3298,Dias_Sem_Compensacao!$A$2:$A$500)),"")</f>
        <v>46325</v>
      </c>
      <c r="H3298" s="25">
        <v>0</v>
      </c>
      <c r="I3298" s="28">
        <v>46324</v>
      </c>
      <c r="J3298" t="s">
        <v>3412</v>
      </c>
      <c r="K3298" t="s">
        <v>3413</v>
      </c>
    </row>
    <row r="3299" spans="1:11" hidden="1">
      <c r="A3299" s="28">
        <v>46324</v>
      </c>
      <c r="B3299" t="s">
        <v>186</v>
      </c>
      <c r="C3299" t="s">
        <v>203</v>
      </c>
      <c r="D3299" t="s">
        <v>217</v>
      </c>
      <c r="E3299">
        <f>IF(LEFT(D3299,6)="CLIENT",IFERROR(VLOOKUP(C3299,Config_Carteiras!$A:$B,2,FALSE),1),"")</f>
        <v>1</v>
      </c>
      <c r="F3299" s="25">
        <v>697.9</v>
      </c>
      <c r="G3299" s="28">
        <f>IF(LEFT(D3299,6)="CLIENT",IF(E3299=0,WORKDAY(A3299-1,1,Dias_Sem_Compensacao!$A$2:$A$500),WORKDAY(A3299,E3299,Dias_Sem_Compensacao!$A$2:$A$500)),"")</f>
        <v>46325</v>
      </c>
      <c r="H3299" s="25">
        <v>0</v>
      </c>
      <c r="I3299" s="28">
        <v>46324</v>
      </c>
      <c r="J3299" t="s">
        <v>2179</v>
      </c>
      <c r="K3299" t="s">
        <v>2180</v>
      </c>
    </row>
    <row r="3300" spans="1:11" hidden="1">
      <c r="A3300" s="28">
        <v>46324</v>
      </c>
      <c r="B3300" t="s">
        <v>186</v>
      </c>
      <c r="C3300" t="s">
        <v>203</v>
      </c>
      <c r="D3300" t="s">
        <v>217</v>
      </c>
      <c r="E3300">
        <f>IF(LEFT(D3300,6)="CLIENT",IFERROR(VLOOKUP(C3300,Config_Carteiras!$A:$B,2,FALSE),1),"")</f>
        <v>1</v>
      </c>
      <c r="F3300" s="25">
        <v>1058.57</v>
      </c>
      <c r="G3300" s="28">
        <f>IF(LEFT(D3300,6)="CLIENT",IF(E3300=0,WORKDAY(A3300-1,1,Dias_Sem_Compensacao!$A$2:$A$500),WORKDAY(A3300,E3300,Dias_Sem_Compensacao!$A$2:$A$500)),"")</f>
        <v>46325</v>
      </c>
      <c r="H3300" s="25">
        <v>0</v>
      </c>
      <c r="I3300" s="28">
        <v>46324</v>
      </c>
      <c r="J3300" t="s">
        <v>3170</v>
      </c>
      <c r="K3300" t="s">
        <v>3171</v>
      </c>
    </row>
    <row r="3301" spans="1:11" hidden="1">
      <c r="A3301" s="28">
        <v>46324</v>
      </c>
      <c r="B3301" t="s">
        <v>186</v>
      </c>
      <c r="C3301" t="s">
        <v>203</v>
      </c>
      <c r="D3301" t="s">
        <v>217</v>
      </c>
      <c r="E3301">
        <f>IF(LEFT(D3301,6)="CLIENT",IFERROR(VLOOKUP(C3301,Config_Carteiras!$A:$B,2,FALSE),1),"")</f>
        <v>1</v>
      </c>
      <c r="F3301" s="25">
        <v>816</v>
      </c>
      <c r="G3301" s="28">
        <f>IF(LEFT(D3301,6)="CLIENT",IF(E3301=0,WORKDAY(A3301-1,1,Dias_Sem_Compensacao!$A$2:$A$500),WORKDAY(A3301,E3301,Dias_Sem_Compensacao!$A$2:$A$500)),"")</f>
        <v>46325</v>
      </c>
      <c r="H3301" s="25">
        <v>0</v>
      </c>
      <c r="I3301" s="28">
        <v>46324</v>
      </c>
      <c r="J3301" t="s">
        <v>3172</v>
      </c>
      <c r="K3301" t="s">
        <v>3173</v>
      </c>
    </row>
    <row r="3302" spans="1:11" hidden="1">
      <c r="A3302" s="28">
        <v>46324</v>
      </c>
      <c r="B3302" t="s">
        <v>186</v>
      </c>
      <c r="C3302" t="s">
        <v>203</v>
      </c>
      <c r="D3302" t="s">
        <v>217</v>
      </c>
      <c r="E3302">
        <f>IF(LEFT(D3302,6)="CLIENT",IFERROR(VLOOKUP(C3302,Config_Carteiras!$A:$B,2,FALSE),1),"")</f>
        <v>1</v>
      </c>
      <c r="F3302" s="25">
        <v>602</v>
      </c>
      <c r="G3302" s="28">
        <f>IF(LEFT(D3302,6)="CLIENT",IF(E3302=0,WORKDAY(A3302-1,1,Dias_Sem_Compensacao!$A$2:$A$500),WORKDAY(A3302,E3302,Dias_Sem_Compensacao!$A$2:$A$500)),"")</f>
        <v>46325</v>
      </c>
      <c r="H3302" s="25">
        <v>0</v>
      </c>
      <c r="I3302" s="28">
        <v>46324</v>
      </c>
      <c r="J3302" t="s">
        <v>3176</v>
      </c>
      <c r="K3302" t="s">
        <v>3177</v>
      </c>
    </row>
    <row r="3303" spans="1:11" hidden="1">
      <c r="A3303" s="28">
        <v>46324</v>
      </c>
      <c r="B3303" t="s">
        <v>186</v>
      </c>
      <c r="C3303" t="s">
        <v>203</v>
      </c>
      <c r="D3303" t="s">
        <v>217</v>
      </c>
      <c r="E3303">
        <f>IF(LEFT(D3303,6)="CLIENT",IFERROR(VLOOKUP(C3303,Config_Carteiras!$A:$B,2,FALSE),1),"")</f>
        <v>1</v>
      </c>
      <c r="F3303" s="25">
        <v>1173</v>
      </c>
      <c r="G3303" s="28">
        <f>IF(LEFT(D3303,6)="CLIENT",IF(E3303=0,WORKDAY(A3303-1,1,Dias_Sem_Compensacao!$A$2:$A$500),WORKDAY(A3303,E3303,Dias_Sem_Compensacao!$A$2:$A$500)),"")</f>
        <v>46325</v>
      </c>
      <c r="H3303" s="25">
        <v>0</v>
      </c>
      <c r="I3303" s="28">
        <v>46324</v>
      </c>
      <c r="J3303" t="s">
        <v>3414</v>
      </c>
      <c r="K3303" t="s">
        <v>3415</v>
      </c>
    </row>
    <row r="3304" spans="1:11" hidden="1">
      <c r="A3304" s="28">
        <v>46324</v>
      </c>
      <c r="B3304" t="s">
        <v>186</v>
      </c>
      <c r="C3304" t="s">
        <v>203</v>
      </c>
      <c r="D3304" t="s">
        <v>217</v>
      </c>
      <c r="E3304">
        <f>IF(LEFT(D3304,6)="CLIENT",IFERROR(VLOOKUP(C3304,Config_Carteiras!$A:$B,2,FALSE),1),"")</f>
        <v>1</v>
      </c>
      <c r="F3304" s="25">
        <v>517</v>
      </c>
      <c r="G3304" s="28">
        <f>IF(LEFT(D3304,6)="CLIENT",IF(E3304=0,WORKDAY(A3304-1,1,Dias_Sem_Compensacao!$A$2:$A$500),WORKDAY(A3304,E3304,Dias_Sem_Compensacao!$A$2:$A$500)),"")</f>
        <v>46325</v>
      </c>
      <c r="H3304" s="25">
        <v>0</v>
      </c>
      <c r="I3304" s="28">
        <v>46324</v>
      </c>
      <c r="J3304" t="s">
        <v>2186</v>
      </c>
      <c r="K3304" t="s">
        <v>2187</v>
      </c>
    </row>
    <row r="3305" spans="1:11" hidden="1">
      <c r="A3305" s="28">
        <v>46324</v>
      </c>
      <c r="B3305" t="s">
        <v>186</v>
      </c>
      <c r="C3305" t="s">
        <v>203</v>
      </c>
      <c r="D3305" t="s">
        <v>217</v>
      </c>
      <c r="E3305">
        <f>IF(LEFT(D3305,6)="CLIENT",IFERROR(VLOOKUP(C3305,Config_Carteiras!$A:$B,2,FALSE),1),"")</f>
        <v>1</v>
      </c>
      <c r="F3305" s="25">
        <v>600.02</v>
      </c>
      <c r="G3305" s="28">
        <f>IF(LEFT(D3305,6)="CLIENT",IF(E3305=0,WORKDAY(A3305-1,1,Dias_Sem_Compensacao!$A$2:$A$500),WORKDAY(A3305,E3305,Dias_Sem_Compensacao!$A$2:$A$500)),"")</f>
        <v>46325</v>
      </c>
      <c r="H3305" s="25">
        <v>0</v>
      </c>
      <c r="I3305" s="28">
        <v>46324</v>
      </c>
      <c r="J3305" t="s">
        <v>2711</v>
      </c>
      <c r="K3305" t="s">
        <v>2712</v>
      </c>
    </row>
    <row r="3306" spans="1:11" hidden="1">
      <c r="A3306" s="28">
        <v>46324</v>
      </c>
      <c r="B3306" t="s">
        <v>186</v>
      </c>
      <c r="C3306" t="s">
        <v>203</v>
      </c>
      <c r="D3306" t="s">
        <v>217</v>
      </c>
      <c r="E3306">
        <f>IF(LEFT(D3306,6)="CLIENT",IFERROR(VLOOKUP(C3306,Config_Carteiras!$A:$B,2,FALSE),1),"")</f>
        <v>1</v>
      </c>
      <c r="F3306" s="25">
        <v>2146</v>
      </c>
      <c r="G3306" s="28">
        <f>IF(LEFT(D3306,6)="CLIENT",IF(E3306=0,WORKDAY(A3306-1,1,Dias_Sem_Compensacao!$A$2:$A$500),WORKDAY(A3306,E3306,Dias_Sem_Compensacao!$A$2:$A$500)),"")</f>
        <v>46325</v>
      </c>
      <c r="H3306" s="25">
        <v>0</v>
      </c>
      <c r="I3306" s="28">
        <v>46324</v>
      </c>
      <c r="J3306" t="s">
        <v>3178</v>
      </c>
      <c r="K3306" t="s">
        <v>3179</v>
      </c>
    </row>
    <row r="3307" spans="1:11" hidden="1">
      <c r="A3307" s="28">
        <v>46324</v>
      </c>
      <c r="B3307" t="s">
        <v>186</v>
      </c>
      <c r="C3307" t="s">
        <v>203</v>
      </c>
      <c r="D3307" t="s">
        <v>217</v>
      </c>
      <c r="E3307">
        <f>IF(LEFT(D3307,6)="CLIENT",IFERROR(VLOOKUP(C3307,Config_Carteiras!$A:$B,2,FALSE),1),"")</f>
        <v>1</v>
      </c>
      <c r="F3307" s="25">
        <v>357</v>
      </c>
      <c r="G3307" s="28">
        <f>IF(LEFT(D3307,6)="CLIENT",IF(E3307=0,WORKDAY(A3307-1,1,Dias_Sem_Compensacao!$A$2:$A$500),WORKDAY(A3307,E3307,Dias_Sem_Compensacao!$A$2:$A$500)),"")</f>
        <v>46325</v>
      </c>
      <c r="H3307" s="25">
        <v>0</v>
      </c>
      <c r="I3307" s="28">
        <v>46324</v>
      </c>
      <c r="J3307" t="s">
        <v>2713</v>
      </c>
      <c r="K3307" t="s">
        <v>2714</v>
      </c>
    </row>
    <row r="3308" spans="1:11" hidden="1">
      <c r="A3308" s="28">
        <v>46324</v>
      </c>
      <c r="B3308" t="s">
        <v>186</v>
      </c>
      <c r="C3308" t="s">
        <v>203</v>
      </c>
      <c r="D3308" t="s">
        <v>217</v>
      </c>
      <c r="E3308">
        <f>IF(LEFT(D3308,6)="CLIENT",IFERROR(VLOOKUP(C3308,Config_Carteiras!$A:$B,2,FALSE),1),"")</f>
        <v>1</v>
      </c>
      <c r="F3308" s="25">
        <v>1579</v>
      </c>
      <c r="G3308" s="28">
        <f>IF(LEFT(D3308,6)="CLIENT",IF(E3308=0,WORKDAY(A3308-1,1,Dias_Sem_Compensacao!$A$2:$A$500),WORKDAY(A3308,E3308,Dias_Sem_Compensacao!$A$2:$A$500)),"")</f>
        <v>46325</v>
      </c>
      <c r="H3308" s="25">
        <v>0</v>
      </c>
      <c r="I3308" s="28">
        <v>46324</v>
      </c>
      <c r="J3308" t="s">
        <v>3416</v>
      </c>
      <c r="K3308" t="s">
        <v>3417</v>
      </c>
    </row>
    <row r="3309" spans="1:11" hidden="1">
      <c r="A3309" s="28">
        <v>46324</v>
      </c>
      <c r="B3309" t="s">
        <v>186</v>
      </c>
      <c r="C3309" t="s">
        <v>203</v>
      </c>
      <c r="D3309" t="s">
        <v>217</v>
      </c>
      <c r="E3309">
        <f>IF(LEFT(D3309,6)="CLIENT",IFERROR(VLOOKUP(C3309,Config_Carteiras!$A:$B,2,FALSE),1),"")</f>
        <v>1</v>
      </c>
      <c r="F3309" s="25">
        <v>2218.62</v>
      </c>
      <c r="G3309" s="28">
        <f>IF(LEFT(D3309,6)="CLIENT",IF(E3309=0,WORKDAY(A3309-1,1,Dias_Sem_Compensacao!$A$2:$A$500),WORKDAY(A3309,E3309,Dias_Sem_Compensacao!$A$2:$A$500)),"")</f>
        <v>46325</v>
      </c>
      <c r="H3309" s="25">
        <v>0</v>
      </c>
      <c r="I3309" s="28">
        <v>46324</v>
      </c>
      <c r="J3309" t="s">
        <v>2717</v>
      </c>
      <c r="K3309" t="s">
        <v>2718</v>
      </c>
    </row>
    <row r="3310" spans="1:11" hidden="1">
      <c r="A3310" s="28">
        <v>46324</v>
      </c>
      <c r="B3310" t="s">
        <v>186</v>
      </c>
      <c r="C3310" t="s">
        <v>203</v>
      </c>
      <c r="D3310" t="s">
        <v>217</v>
      </c>
      <c r="E3310">
        <f>IF(LEFT(D3310,6)="CLIENT",IFERROR(VLOOKUP(C3310,Config_Carteiras!$A:$B,2,FALSE),1),"")</f>
        <v>1</v>
      </c>
      <c r="F3310" s="25">
        <v>4887.3100000000004</v>
      </c>
      <c r="G3310" s="28">
        <f>IF(LEFT(D3310,6)="CLIENT",IF(E3310=0,WORKDAY(A3310-1,1,Dias_Sem_Compensacao!$A$2:$A$500),WORKDAY(A3310,E3310,Dias_Sem_Compensacao!$A$2:$A$500)),"")</f>
        <v>46325</v>
      </c>
      <c r="H3310" s="25">
        <v>0</v>
      </c>
      <c r="I3310" s="28">
        <v>46324</v>
      </c>
      <c r="K3310" t="s">
        <v>2719</v>
      </c>
    </row>
    <row r="3311" spans="1:11" hidden="1">
      <c r="A3311" s="28">
        <v>46324</v>
      </c>
      <c r="B3311" t="s">
        <v>186</v>
      </c>
      <c r="C3311" t="s">
        <v>203</v>
      </c>
      <c r="D3311" t="s">
        <v>217</v>
      </c>
      <c r="E3311">
        <f>IF(LEFT(D3311,6)="CLIENT",IFERROR(VLOOKUP(C3311,Config_Carteiras!$A:$B,2,FALSE),1),"")</f>
        <v>1</v>
      </c>
      <c r="F3311" s="25">
        <v>5347.37</v>
      </c>
      <c r="G3311" s="28">
        <f>IF(LEFT(D3311,6)="CLIENT",IF(E3311=0,WORKDAY(A3311-1,1,Dias_Sem_Compensacao!$A$2:$A$500),WORKDAY(A3311,E3311,Dias_Sem_Compensacao!$A$2:$A$500)),"")</f>
        <v>46325</v>
      </c>
      <c r="H3311" s="25">
        <v>0</v>
      </c>
      <c r="I3311" s="28">
        <v>46324</v>
      </c>
      <c r="K3311" t="s">
        <v>3180</v>
      </c>
    </row>
    <row r="3312" spans="1:11" hidden="1">
      <c r="A3312" s="28">
        <v>46324</v>
      </c>
      <c r="B3312" t="s">
        <v>186</v>
      </c>
      <c r="C3312" t="s">
        <v>203</v>
      </c>
      <c r="D3312" t="s">
        <v>217</v>
      </c>
      <c r="E3312">
        <f>IF(LEFT(D3312,6)="CLIENT",IFERROR(VLOOKUP(C3312,Config_Carteiras!$A:$B,2,FALSE),1),"")</f>
        <v>1</v>
      </c>
      <c r="F3312" s="25">
        <v>1318.46</v>
      </c>
      <c r="G3312" s="28">
        <f>IF(LEFT(D3312,6)="CLIENT",IF(E3312=0,WORKDAY(A3312-1,1,Dias_Sem_Compensacao!$A$2:$A$500),WORKDAY(A3312,E3312,Dias_Sem_Compensacao!$A$2:$A$500)),"")</f>
        <v>46325</v>
      </c>
      <c r="H3312" s="25">
        <v>0</v>
      </c>
      <c r="I3312" s="28">
        <v>46324</v>
      </c>
      <c r="J3312" t="s">
        <v>2721</v>
      </c>
      <c r="K3312" t="s">
        <v>2722</v>
      </c>
    </row>
    <row r="3313" spans="1:11" hidden="1">
      <c r="A3313" s="28">
        <v>46324</v>
      </c>
      <c r="B3313" t="s">
        <v>186</v>
      </c>
      <c r="C3313" t="s">
        <v>203</v>
      </c>
      <c r="D3313" t="s">
        <v>217</v>
      </c>
      <c r="E3313">
        <f>IF(LEFT(D3313,6)="CLIENT",IFERROR(VLOOKUP(C3313,Config_Carteiras!$A:$B,2,FALSE),1),"")</f>
        <v>1</v>
      </c>
      <c r="F3313" s="25">
        <v>15925</v>
      </c>
      <c r="G3313" s="28">
        <f>IF(LEFT(D3313,6)="CLIENT",IF(E3313=0,WORKDAY(A3313-1,1,Dias_Sem_Compensacao!$A$2:$A$500),WORKDAY(A3313,E3313,Dias_Sem_Compensacao!$A$2:$A$500)),"")</f>
        <v>46325</v>
      </c>
      <c r="H3313" s="25">
        <v>0</v>
      </c>
      <c r="I3313" s="28">
        <v>46324</v>
      </c>
      <c r="J3313" t="s">
        <v>1201</v>
      </c>
      <c r="K3313" t="s">
        <v>2200</v>
      </c>
    </row>
    <row r="3314" spans="1:11" hidden="1">
      <c r="A3314" s="28">
        <v>46324</v>
      </c>
      <c r="B3314" t="s">
        <v>186</v>
      </c>
      <c r="C3314" t="s">
        <v>203</v>
      </c>
      <c r="D3314" t="s">
        <v>217</v>
      </c>
      <c r="E3314">
        <f>IF(LEFT(D3314,6)="CLIENT",IFERROR(VLOOKUP(C3314,Config_Carteiras!$A:$B,2,FALSE),1),"")</f>
        <v>1</v>
      </c>
      <c r="F3314" s="25">
        <v>1394.98</v>
      </c>
      <c r="G3314" s="28">
        <f>IF(LEFT(D3314,6)="CLIENT",IF(E3314=0,WORKDAY(A3314-1,1,Dias_Sem_Compensacao!$A$2:$A$500),WORKDAY(A3314,E3314,Dias_Sem_Compensacao!$A$2:$A$500)),"")</f>
        <v>46325</v>
      </c>
      <c r="H3314" s="25">
        <v>0</v>
      </c>
      <c r="I3314" s="28">
        <v>46324</v>
      </c>
      <c r="J3314" t="s">
        <v>2282</v>
      </c>
      <c r="K3314" t="s">
        <v>2727</v>
      </c>
    </row>
    <row r="3315" spans="1:11" hidden="1">
      <c r="A3315" s="28">
        <v>46324</v>
      </c>
      <c r="B3315" t="s">
        <v>186</v>
      </c>
      <c r="C3315" t="s">
        <v>203</v>
      </c>
      <c r="D3315" t="s">
        <v>217</v>
      </c>
      <c r="E3315">
        <f>IF(LEFT(D3315,6)="CLIENT",IFERROR(VLOOKUP(C3315,Config_Carteiras!$A:$B,2,FALSE),1),"")</f>
        <v>1</v>
      </c>
      <c r="F3315" s="25">
        <v>837.29</v>
      </c>
      <c r="G3315" s="28">
        <f>IF(LEFT(D3315,6)="CLIENT",IF(E3315=0,WORKDAY(A3315-1,1,Dias_Sem_Compensacao!$A$2:$A$500),WORKDAY(A3315,E3315,Dias_Sem_Compensacao!$A$2:$A$500)),"")</f>
        <v>46325</v>
      </c>
      <c r="H3315" s="25">
        <v>0</v>
      </c>
      <c r="I3315" s="28">
        <v>46324</v>
      </c>
      <c r="J3315" t="s">
        <v>2730</v>
      </c>
      <c r="K3315" t="s">
        <v>2731</v>
      </c>
    </row>
    <row r="3316" spans="1:11" hidden="1">
      <c r="A3316" s="28">
        <v>46324</v>
      </c>
      <c r="B3316" t="s">
        <v>186</v>
      </c>
      <c r="C3316" t="s">
        <v>203</v>
      </c>
      <c r="D3316" t="s">
        <v>217</v>
      </c>
      <c r="E3316">
        <f>IF(LEFT(D3316,6)="CLIENT",IFERROR(VLOOKUP(C3316,Config_Carteiras!$A:$B,2,FALSE),1),"")</f>
        <v>1</v>
      </c>
      <c r="F3316" s="25">
        <v>1210.32</v>
      </c>
      <c r="G3316" s="28">
        <f>IF(LEFT(D3316,6)="CLIENT",IF(E3316=0,WORKDAY(A3316-1,1,Dias_Sem_Compensacao!$A$2:$A$500),WORKDAY(A3316,E3316,Dias_Sem_Compensacao!$A$2:$A$500)),"")</f>
        <v>46325</v>
      </c>
      <c r="H3316" s="25">
        <v>0</v>
      </c>
      <c r="I3316" s="28">
        <v>46324</v>
      </c>
      <c r="J3316" t="s">
        <v>2732</v>
      </c>
      <c r="K3316" t="s">
        <v>2733</v>
      </c>
    </row>
    <row r="3317" spans="1:11" hidden="1">
      <c r="A3317" s="28">
        <v>46324</v>
      </c>
      <c r="B3317" t="s">
        <v>186</v>
      </c>
      <c r="C3317" t="s">
        <v>203</v>
      </c>
      <c r="D3317" t="s">
        <v>217</v>
      </c>
      <c r="E3317">
        <f>IF(LEFT(D3317,6)="CLIENT",IFERROR(VLOOKUP(C3317,Config_Carteiras!$A:$B,2,FALSE),1),"")</f>
        <v>1</v>
      </c>
      <c r="F3317" s="25">
        <v>409.42</v>
      </c>
      <c r="G3317" s="28">
        <f>IF(LEFT(D3317,6)="CLIENT",IF(E3317=0,WORKDAY(A3317-1,1,Dias_Sem_Compensacao!$A$2:$A$500),WORKDAY(A3317,E3317,Dias_Sem_Compensacao!$A$2:$A$500)),"")</f>
        <v>46325</v>
      </c>
      <c r="H3317" s="25">
        <v>0</v>
      </c>
      <c r="I3317" s="28">
        <v>46324</v>
      </c>
      <c r="J3317" t="s">
        <v>2735</v>
      </c>
      <c r="K3317" t="s">
        <v>2736</v>
      </c>
    </row>
    <row r="3318" spans="1:11" hidden="1">
      <c r="A3318" s="28">
        <v>46324</v>
      </c>
      <c r="B3318" t="s">
        <v>186</v>
      </c>
      <c r="C3318" t="s">
        <v>203</v>
      </c>
      <c r="D3318" t="s">
        <v>217</v>
      </c>
      <c r="E3318">
        <f>IF(LEFT(D3318,6)="CLIENT",IFERROR(VLOOKUP(C3318,Config_Carteiras!$A:$B,2,FALSE),1),"")</f>
        <v>1</v>
      </c>
      <c r="F3318" s="25">
        <v>1117</v>
      </c>
      <c r="G3318" s="28">
        <f>IF(LEFT(D3318,6)="CLIENT",IF(E3318=0,WORKDAY(A3318-1,1,Dias_Sem_Compensacao!$A$2:$A$500),WORKDAY(A3318,E3318,Dias_Sem_Compensacao!$A$2:$A$500)),"")</f>
        <v>46325</v>
      </c>
      <c r="H3318" s="25">
        <v>0</v>
      </c>
      <c r="I3318" s="28">
        <v>46324</v>
      </c>
      <c r="J3318" t="s">
        <v>3181</v>
      </c>
      <c r="K3318" t="s">
        <v>3182</v>
      </c>
    </row>
    <row r="3319" spans="1:11" hidden="1">
      <c r="A3319" s="28">
        <v>46324</v>
      </c>
      <c r="B3319" t="s">
        <v>186</v>
      </c>
      <c r="C3319" t="s">
        <v>203</v>
      </c>
      <c r="D3319" t="s">
        <v>217</v>
      </c>
      <c r="E3319">
        <f>IF(LEFT(D3319,6)="CLIENT",IFERROR(VLOOKUP(C3319,Config_Carteiras!$A:$B,2,FALSE),1),"")</f>
        <v>1</v>
      </c>
      <c r="F3319" s="25">
        <v>566.66</v>
      </c>
      <c r="G3319" s="28">
        <f>IF(LEFT(D3319,6)="CLIENT",IF(E3319=0,WORKDAY(A3319-1,1,Dias_Sem_Compensacao!$A$2:$A$500),WORKDAY(A3319,E3319,Dias_Sem_Compensacao!$A$2:$A$500)),"")</f>
        <v>46325</v>
      </c>
      <c r="H3319" s="25">
        <v>0</v>
      </c>
      <c r="I3319" s="28">
        <v>46324</v>
      </c>
      <c r="J3319" t="s">
        <v>2737</v>
      </c>
      <c r="K3319" t="s">
        <v>2738</v>
      </c>
    </row>
    <row r="3320" spans="1:11" hidden="1">
      <c r="A3320" s="28">
        <v>46324</v>
      </c>
      <c r="B3320" t="s">
        <v>186</v>
      </c>
      <c r="C3320" t="s">
        <v>203</v>
      </c>
      <c r="D3320" t="s">
        <v>217</v>
      </c>
      <c r="E3320">
        <f>IF(LEFT(D3320,6)="CLIENT",IFERROR(VLOOKUP(C3320,Config_Carteiras!$A:$B,2,FALSE),1),"")</f>
        <v>1</v>
      </c>
      <c r="F3320" s="25">
        <v>2251.15</v>
      </c>
      <c r="G3320" s="28">
        <f>IF(LEFT(D3320,6)="CLIENT",IF(E3320=0,WORKDAY(A3320-1,1,Dias_Sem_Compensacao!$A$2:$A$500),WORKDAY(A3320,E3320,Dias_Sem_Compensacao!$A$2:$A$500)),"")</f>
        <v>46325</v>
      </c>
      <c r="H3320" s="25">
        <v>0</v>
      </c>
      <c r="I3320" s="28">
        <v>46324</v>
      </c>
      <c r="J3320" t="s">
        <v>2739</v>
      </c>
      <c r="K3320" t="s">
        <v>2740</v>
      </c>
    </row>
    <row r="3321" spans="1:11" hidden="1">
      <c r="A3321" s="28">
        <v>46324</v>
      </c>
      <c r="B3321" t="s">
        <v>186</v>
      </c>
      <c r="C3321" t="s">
        <v>203</v>
      </c>
      <c r="D3321" t="s">
        <v>217</v>
      </c>
      <c r="E3321">
        <f>IF(LEFT(D3321,6)="CLIENT",IFERROR(VLOOKUP(C3321,Config_Carteiras!$A:$B,2,FALSE),1),"")</f>
        <v>1</v>
      </c>
      <c r="F3321" s="25">
        <v>3840</v>
      </c>
      <c r="G3321" s="28">
        <f>IF(LEFT(D3321,6)="CLIENT",IF(E3321=0,WORKDAY(A3321-1,1,Dias_Sem_Compensacao!$A$2:$A$500),WORKDAY(A3321,E3321,Dias_Sem_Compensacao!$A$2:$A$500)),"")</f>
        <v>46325</v>
      </c>
      <c r="H3321" s="25">
        <v>0</v>
      </c>
      <c r="I3321" s="28">
        <v>46324</v>
      </c>
      <c r="J3321" t="s">
        <v>3418</v>
      </c>
      <c r="K3321" t="s">
        <v>3419</v>
      </c>
    </row>
    <row r="3322" spans="1:11" hidden="1">
      <c r="A3322" s="28">
        <v>46324</v>
      </c>
      <c r="B3322" t="s">
        <v>186</v>
      </c>
      <c r="C3322" t="s">
        <v>203</v>
      </c>
      <c r="D3322" t="s">
        <v>217</v>
      </c>
      <c r="E3322">
        <f>IF(LEFT(D3322,6)="CLIENT",IFERROR(VLOOKUP(C3322,Config_Carteiras!$A:$B,2,FALSE),1),"")</f>
        <v>1</v>
      </c>
      <c r="F3322" s="25">
        <v>2575</v>
      </c>
      <c r="G3322" s="28">
        <f>IF(LEFT(D3322,6)="CLIENT",IF(E3322=0,WORKDAY(A3322-1,1,Dias_Sem_Compensacao!$A$2:$A$500),WORKDAY(A3322,E3322,Dias_Sem_Compensacao!$A$2:$A$500)),"")</f>
        <v>46325</v>
      </c>
      <c r="H3322" s="25">
        <v>0</v>
      </c>
      <c r="I3322" s="28">
        <v>46324</v>
      </c>
      <c r="J3322" t="s">
        <v>2743</v>
      </c>
      <c r="K3322" t="s">
        <v>2744</v>
      </c>
    </row>
    <row r="3323" spans="1:11" hidden="1">
      <c r="A3323" s="28">
        <v>46324</v>
      </c>
      <c r="B3323" t="s">
        <v>186</v>
      </c>
      <c r="C3323" t="s">
        <v>203</v>
      </c>
      <c r="D3323" t="s">
        <v>217</v>
      </c>
      <c r="E3323">
        <f>IF(LEFT(D3323,6)="CLIENT",IFERROR(VLOOKUP(C3323,Config_Carteiras!$A:$B,2,FALSE),1),"")</f>
        <v>1</v>
      </c>
      <c r="F3323" s="25">
        <v>774</v>
      </c>
      <c r="G3323" s="28">
        <f>IF(LEFT(D3323,6)="CLIENT",IF(E3323=0,WORKDAY(A3323-1,1,Dias_Sem_Compensacao!$A$2:$A$500),WORKDAY(A3323,E3323,Dias_Sem_Compensacao!$A$2:$A$500)),"")</f>
        <v>46325</v>
      </c>
      <c r="H3323" s="25">
        <v>0</v>
      </c>
      <c r="I3323" s="28">
        <v>46324</v>
      </c>
      <c r="J3323" t="s">
        <v>3185</v>
      </c>
      <c r="K3323" t="s">
        <v>3186</v>
      </c>
    </row>
    <row r="3324" spans="1:11" hidden="1">
      <c r="A3324" s="28">
        <v>46324</v>
      </c>
      <c r="B3324" t="s">
        <v>186</v>
      </c>
      <c r="C3324" t="s">
        <v>203</v>
      </c>
      <c r="D3324" t="s">
        <v>217</v>
      </c>
      <c r="E3324">
        <f>IF(LEFT(D3324,6)="CLIENT",IFERROR(VLOOKUP(C3324,Config_Carteiras!$A:$B,2,FALSE),1),"")</f>
        <v>1</v>
      </c>
      <c r="F3324" s="25">
        <v>1228.55</v>
      </c>
      <c r="G3324" s="28">
        <f>IF(LEFT(D3324,6)="CLIENT",IF(E3324=0,WORKDAY(A3324-1,1,Dias_Sem_Compensacao!$A$2:$A$500),WORKDAY(A3324,E3324,Dias_Sem_Compensacao!$A$2:$A$500)),"")</f>
        <v>46325</v>
      </c>
      <c r="H3324" s="25">
        <v>0</v>
      </c>
      <c r="I3324" s="28">
        <v>46324</v>
      </c>
      <c r="J3324" t="s">
        <v>2745</v>
      </c>
      <c r="K3324" t="s">
        <v>2746</v>
      </c>
    </row>
    <row r="3325" spans="1:11" hidden="1">
      <c r="A3325" s="28">
        <v>46324</v>
      </c>
      <c r="B3325" t="s">
        <v>186</v>
      </c>
      <c r="C3325" t="s">
        <v>203</v>
      </c>
      <c r="D3325" t="s">
        <v>217</v>
      </c>
      <c r="E3325">
        <f>IF(LEFT(D3325,6)="CLIENT",IFERROR(VLOOKUP(C3325,Config_Carteiras!$A:$B,2,FALSE),1),"")</f>
        <v>1</v>
      </c>
      <c r="F3325" s="25">
        <v>5561.2</v>
      </c>
      <c r="G3325" s="28">
        <f>IF(LEFT(D3325,6)="CLIENT",IF(E3325=0,WORKDAY(A3325-1,1,Dias_Sem_Compensacao!$A$2:$A$500),WORKDAY(A3325,E3325,Dias_Sem_Compensacao!$A$2:$A$500)),"")</f>
        <v>46325</v>
      </c>
      <c r="H3325" s="25">
        <v>0</v>
      </c>
      <c r="I3325" s="28">
        <v>46324</v>
      </c>
      <c r="J3325" t="s">
        <v>2749</v>
      </c>
      <c r="K3325" t="s">
        <v>2750</v>
      </c>
    </row>
    <row r="3326" spans="1:11" hidden="1">
      <c r="A3326" s="28">
        <v>46324</v>
      </c>
      <c r="B3326" t="s">
        <v>186</v>
      </c>
      <c r="C3326" t="s">
        <v>203</v>
      </c>
      <c r="D3326" t="s">
        <v>217</v>
      </c>
      <c r="E3326">
        <f>IF(LEFT(D3326,6)="CLIENT",IFERROR(VLOOKUP(C3326,Config_Carteiras!$A:$B,2,FALSE),1),"")</f>
        <v>1</v>
      </c>
      <c r="F3326" s="25">
        <v>976</v>
      </c>
      <c r="G3326" s="28">
        <f>IF(LEFT(D3326,6)="CLIENT",IF(E3326=0,WORKDAY(A3326-1,1,Dias_Sem_Compensacao!$A$2:$A$500),WORKDAY(A3326,E3326,Dias_Sem_Compensacao!$A$2:$A$500)),"")</f>
        <v>46325</v>
      </c>
      <c r="H3326" s="25">
        <v>0</v>
      </c>
      <c r="I3326" s="28">
        <v>46324</v>
      </c>
      <c r="J3326" t="s">
        <v>3191</v>
      </c>
      <c r="K3326" t="s">
        <v>3192</v>
      </c>
    </row>
    <row r="3327" spans="1:11" hidden="1">
      <c r="A3327" s="28">
        <v>46324</v>
      </c>
      <c r="B3327" t="s">
        <v>186</v>
      </c>
      <c r="C3327" t="s">
        <v>203</v>
      </c>
      <c r="D3327" t="s">
        <v>217</v>
      </c>
      <c r="E3327">
        <f>IF(LEFT(D3327,6)="CLIENT",IFERROR(VLOOKUP(C3327,Config_Carteiras!$A:$B,2,FALSE),1),"")</f>
        <v>1</v>
      </c>
      <c r="F3327" s="25">
        <v>1159.6400000000001</v>
      </c>
      <c r="G3327" s="28">
        <f>IF(LEFT(D3327,6)="CLIENT",IF(E3327=0,WORKDAY(A3327-1,1,Dias_Sem_Compensacao!$A$2:$A$500),WORKDAY(A3327,E3327,Dias_Sem_Compensacao!$A$2:$A$500)),"")</f>
        <v>46325</v>
      </c>
      <c r="H3327" s="25">
        <v>0</v>
      </c>
      <c r="I3327" s="28">
        <v>46324</v>
      </c>
      <c r="J3327" t="s">
        <v>2753</v>
      </c>
      <c r="K3327" t="s">
        <v>2754</v>
      </c>
    </row>
    <row r="3328" spans="1:11" hidden="1">
      <c r="A3328" s="28">
        <v>46324</v>
      </c>
      <c r="B3328" t="s">
        <v>186</v>
      </c>
      <c r="C3328" t="s">
        <v>203</v>
      </c>
      <c r="D3328" t="s">
        <v>217</v>
      </c>
      <c r="E3328">
        <f>IF(LEFT(D3328,6)="CLIENT",IFERROR(VLOOKUP(C3328,Config_Carteiras!$A:$B,2,FALSE),1),"")</f>
        <v>1</v>
      </c>
      <c r="F3328" s="25">
        <v>4085</v>
      </c>
      <c r="G3328" s="28">
        <f>IF(LEFT(D3328,6)="CLIENT",IF(E3328=0,WORKDAY(A3328-1,1,Dias_Sem_Compensacao!$A$2:$A$500),WORKDAY(A3328,E3328,Dias_Sem_Compensacao!$A$2:$A$500)),"")</f>
        <v>46325</v>
      </c>
      <c r="H3328" s="25">
        <v>0</v>
      </c>
      <c r="I3328" s="28">
        <v>46324</v>
      </c>
      <c r="J3328" t="s">
        <v>1229</v>
      </c>
      <c r="K3328" t="s">
        <v>3420</v>
      </c>
    </row>
    <row r="3329" spans="1:11" hidden="1">
      <c r="A3329" s="28">
        <v>46324</v>
      </c>
      <c r="B3329" t="s">
        <v>186</v>
      </c>
      <c r="C3329" t="s">
        <v>203</v>
      </c>
      <c r="D3329" t="s">
        <v>217</v>
      </c>
      <c r="E3329">
        <f>IF(LEFT(D3329,6)="CLIENT",IFERROR(VLOOKUP(C3329,Config_Carteiras!$A:$B,2,FALSE),1),"")</f>
        <v>1</v>
      </c>
      <c r="F3329" s="25">
        <v>564.20000000000005</v>
      </c>
      <c r="G3329" s="28">
        <f>IF(LEFT(D3329,6)="CLIENT",IF(E3329=0,WORKDAY(A3329-1,1,Dias_Sem_Compensacao!$A$2:$A$500),WORKDAY(A3329,E3329,Dias_Sem_Compensacao!$A$2:$A$500)),"")</f>
        <v>46325</v>
      </c>
      <c r="H3329" s="25">
        <v>0</v>
      </c>
      <c r="I3329" s="28">
        <v>46324</v>
      </c>
      <c r="J3329" t="s">
        <v>2757</v>
      </c>
      <c r="K3329" t="s">
        <v>2758</v>
      </c>
    </row>
    <row r="3330" spans="1:11" hidden="1">
      <c r="A3330" s="28">
        <v>46324</v>
      </c>
      <c r="B3330" t="s">
        <v>186</v>
      </c>
      <c r="C3330" t="s">
        <v>203</v>
      </c>
      <c r="D3330" t="s">
        <v>217</v>
      </c>
      <c r="E3330">
        <f>IF(LEFT(D3330,6)="CLIENT",IFERROR(VLOOKUP(C3330,Config_Carteiras!$A:$B,2,FALSE),1),"")</f>
        <v>1</v>
      </c>
      <c r="F3330" s="25">
        <v>814.92</v>
      </c>
      <c r="G3330" s="28">
        <f>IF(LEFT(D3330,6)="CLIENT",IF(E3330=0,WORKDAY(A3330-1,1,Dias_Sem_Compensacao!$A$2:$A$500),WORKDAY(A3330,E3330,Dias_Sem_Compensacao!$A$2:$A$500)),"")</f>
        <v>46325</v>
      </c>
      <c r="H3330" s="25">
        <v>0</v>
      </c>
      <c r="I3330" s="28">
        <v>46324</v>
      </c>
      <c r="J3330" t="s">
        <v>1578</v>
      </c>
      <c r="K3330" t="s">
        <v>1579</v>
      </c>
    </row>
    <row r="3331" spans="1:11" hidden="1">
      <c r="A3331" s="28">
        <v>46324</v>
      </c>
      <c r="B3331" t="s">
        <v>186</v>
      </c>
      <c r="C3331" t="s">
        <v>203</v>
      </c>
      <c r="D3331" t="s">
        <v>217</v>
      </c>
      <c r="E3331">
        <f>IF(LEFT(D3331,6)="CLIENT",IFERROR(VLOOKUP(C3331,Config_Carteiras!$A:$B,2,FALSE),1),"")</f>
        <v>1</v>
      </c>
      <c r="F3331" s="25">
        <v>1126</v>
      </c>
      <c r="G3331" s="28">
        <f>IF(LEFT(D3331,6)="CLIENT",IF(E3331=0,WORKDAY(A3331-1,1,Dias_Sem_Compensacao!$A$2:$A$500),WORKDAY(A3331,E3331,Dias_Sem_Compensacao!$A$2:$A$500)),"")</f>
        <v>46325</v>
      </c>
      <c r="H3331" s="25">
        <v>0</v>
      </c>
      <c r="I3331" s="28">
        <v>46324</v>
      </c>
      <c r="J3331" t="s">
        <v>3198</v>
      </c>
      <c r="K3331" t="s">
        <v>3199</v>
      </c>
    </row>
    <row r="3332" spans="1:11" hidden="1">
      <c r="A3332" s="28">
        <v>46324</v>
      </c>
      <c r="B3332" t="s">
        <v>186</v>
      </c>
      <c r="C3332" t="s">
        <v>203</v>
      </c>
      <c r="D3332" t="s">
        <v>217</v>
      </c>
      <c r="E3332">
        <f>IF(LEFT(D3332,6)="CLIENT",IFERROR(VLOOKUP(C3332,Config_Carteiras!$A:$B,2,FALSE),1),"")</f>
        <v>1</v>
      </c>
      <c r="F3332" s="25">
        <v>704.14</v>
      </c>
      <c r="G3332" s="28">
        <f>IF(LEFT(D3332,6)="CLIENT",IF(E3332=0,WORKDAY(A3332-1,1,Dias_Sem_Compensacao!$A$2:$A$500),WORKDAY(A3332,E3332,Dias_Sem_Compensacao!$A$2:$A$500)),"")</f>
        <v>46325</v>
      </c>
      <c r="H3332" s="25">
        <v>0</v>
      </c>
      <c r="I3332" s="28">
        <v>46324</v>
      </c>
      <c r="J3332" t="s">
        <v>2761</v>
      </c>
      <c r="K3332" t="s">
        <v>2762</v>
      </c>
    </row>
    <row r="3333" spans="1:11" hidden="1">
      <c r="A3333" s="28">
        <v>46324</v>
      </c>
      <c r="B3333" t="s">
        <v>186</v>
      </c>
      <c r="C3333" t="s">
        <v>203</v>
      </c>
      <c r="D3333" t="s">
        <v>217</v>
      </c>
      <c r="E3333">
        <f>IF(LEFT(D3333,6)="CLIENT",IFERROR(VLOOKUP(C3333,Config_Carteiras!$A:$B,2,FALSE),1),"")</f>
        <v>1</v>
      </c>
      <c r="F3333" s="25">
        <v>383.55</v>
      </c>
      <c r="G3333" s="28">
        <f>IF(LEFT(D3333,6)="CLIENT",IF(E3333=0,WORKDAY(A3333-1,1,Dias_Sem_Compensacao!$A$2:$A$500),WORKDAY(A3333,E3333,Dias_Sem_Compensacao!$A$2:$A$500)),"")</f>
        <v>46325</v>
      </c>
      <c r="H3333" s="25">
        <v>0</v>
      </c>
      <c r="I3333" s="28">
        <v>46324</v>
      </c>
      <c r="J3333" t="s">
        <v>3202</v>
      </c>
      <c r="K3333" t="s">
        <v>3203</v>
      </c>
    </row>
    <row r="3334" spans="1:11" hidden="1">
      <c r="A3334" s="28">
        <v>46324</v>
      </c>
      <c r="B3334" t="s">
        <v>186</v>
      </c>
      <c r="C3334" t="s">
        <v>203</v>
      </c>
      <c r="D3334" t="s">
        <v>217</v>
      </c>
      <c r="E3334">
        <f>IF(LEFT(D3334,6)="CLIENT",IFERROR(VLOOKUP(C3334,Config_Carteiras!$A:$B,2,FALSE),1),"")</f>
        <v>1</v>
      </c>
      <c r="F3334" s="25">
        <v>3109.51</v>
      </c>
      <c r="G3334" s="28">
        <f>IF(LEFT(D3334,6)="CLIENT",IF(E3334=0,WORKDAY(A3334-1,1,Dias_Sem_Compensacao!$A$2:$A$500),WORKDAY(A3334,E3334,Dias_Sem_Compensacao!$A$2:$A$500)),"")</f>
        <v>46325</v>
      </c>
      <c r="H3334" s="25">
        <v>0</v>
      </c>
      <c r="I3334" s="28">
        <v>46324</v>
      </c>
      <c r="J3334" t="s">
        <v>1584</v>
      </c>
      <c r="K3334" t="s">
        <v>1585</v>
      </c>
    </row>
    <row r="3335" spans="1:11" hidden="1">
      <c r="A3335" s="28">
        <v>46324</v>
      </c>
      <c r="B3335" t="s">
        <v>186</v>
      </c>
      <c r="C3335" t="s">
        <v>203</v>
      </c>
      <c r="D3335" t="s">
        <v>217</v>
      </c>
      <c r="E3335">
        <f>IF(LEFT(D3335,6)="CLIENT",IFERROR(VLOOKUP(C3335,Config_Carteiras!$A:$B,2,FALSE),1),"")</f>
        <v>1</v>
      </c>
      <c r="F3335" s="25">
        <v>998</v>
      </c>
      <c r="G3335" s="28">
        <f>IF(LEFT(D3335,6)="CLIENT",IF(E3335=0,WORKDAY(A3335-1,1,Dias_Sem_Compensacao!$A$2:$A$500),WORKDAY(A3335,E3335,Dias_Sem_Compensacao!$A$2:$A$500)),"")</f>
        <v>46325</v>
      </c>
      <c r="H3335" s="25">
        <v>0</v>
      </c>
      <c r="I3335" s="28">
        <v>46324</v>
      </c>
      <c r="J3335" t="s">
        <v>3421</v>
      </c>
      <c r="K3335" t="s">
        <v>3422</v>
      </c>
    </row>
    <row r="3336" spans="1:11" hidden="1">
      <c r="A3336" s="28">
        <v>46324</v>
      </c>
      <c r="B3336" t="s">
        <v>186</v>
      </c>
      <c r="C3336" t="s">
        <v>203</v>
      </c>
      <c r="D3336" t="s">
        <v>217</v>
      </c>
      <c r="E3336">
        <f>IF(LEFT(D3336,6)="CLIENT",IFERROR(VLOOKUP(C3336,Config_Carteiras!$A:$B,2,FALSE),1),"")</f>
        <v>1</v>
      </c>
      <c r="F3336" s="25">
        <v>520</v>
      </c>
      <c r="G3336" s="28">
        <f>IF(LEFT(D3336,6)="CLIENT",IF(E3336=0,WORKDAY(A3336-1,1,Dias_Sem_Compensacao!$A$2:$A$500),WORKDAY(A3336,E3336,Dias_Sem_Compensacao!$A$2:$A$500)),"")</f>
        <v>46325</v>
      </c>
      <c r="H3336" s="25">
        <v>0</v>
      </c>
      <c r="I3336" s="28">
        <v>46324</v>
      </c>
      <c r="K3336" t="s">
        <v>3423</v>
      </c>
    </row>
    <row r="3337" spans="1:11" hidden="1">
      <c r="A3337" s="28">
        <v>46324</v>
      </c>
      <c r="B3337" t="s">
        <v>186</v>
      </c>
      <c r="C3337" t="s">
        <v>203</v>
      </c>
      <c r="D3337" t="s">
        <v>217</v>
      </c>
      <c r="E3337">
        <f>IF(LEFT(D3337,6)="CLIENT",IFERROR(VLOOKUP(C3337,Config_Carteiras!$A:$B,2,FALSE),1),"")</f>
        <v>1</v>
      </c>
      <c r="F3337" s="25">
        <v>2858.86</v>
      </c>
      <c r="G3337" s="28">
        <f>IF(LEFT(D3337,6)="CLIENT",IF(E3337=0,WORKDAY(A3337-1,1,Dias_Sem_Compensacao!$A$2:$A$500),WORKDAY(A3337,E3337,Dias_Sem_Compensacao!$A$2:$A$500)),"")</f>
        <v>46325</v>
      </c>
      <c r="H3337" s="25">
        <v>0</v>
      </c>
      <c r="I3337" s="28">
        <v>46324</v>
      </c>
      <c r="J3337" t="s">
        <v>2220</v>
      </c>
      <c r="K3337" t="s">
        <v>2221</v>
      </c>
    </row>
    <row r="3338" spans="1:11" hidden="1">
      <c r="A3338" s="28">
        <v>46324</v>
      </c>
      <c r="B3338" t="s">
        <v>186</v>
      </c>
      <c r="C3338" t="s">
        <v>203</v>
      </c>
      <c r="D3338" t="s">
        <v>217</v>
      </c>
      <c r="E3338">
        <f>IF(LEFT(D3338,6)="CLIENT",IFERROR(VLOOKUP(C3338,Config_Carteiras!$A:$B,2,FALSE),1),"")</f>
        <v>1</v>
      </c>
      <c r="F3338" s="25">
        <v>766.33</v>
      </c>
      <c r="G3338" s="28">
        <f>IF(LEFT(D3338,6)="CLIENT",IF(E3338=0,WORKDAY(A3338-1,1,Dias_Sem_Compensacao!$A$2:$A$500),WORKDAY(A3338,E3338,Dias_Sem_Compensacao!$A$2:$A$500)),"")</f>
        <v>46325</v>
      </c>
      <c r="H3338" s="25">
        <v>0</v>
      </c>
      <c r="I3338" s="28">
        <v>46324</v>
      </c>
      <c r="J3338" t="s">
        <v>2767</v>
      </c>
      <c r="K3338" t="s">
        <v>2768</v>
      </c>
    </row>
    <row r="3339" spans="1:11" hidden="1">
      <c r="A3339" s="28">
        <v>46324</v>
      </c>
      <c r="B3339" t="s">
        <v>186</v>
      </c>
      <c r="C3339" t="s">
        <v>203</v>
      </c>
      <c r="D3339" t="s">
        <v>217</v>
      </c>
      <c r="E3339">
        <f>IF(LEFT(D3339,6)="CLIENT",IFERROR(VLOOKUP(C3339,Config_Carteiras!$A:$B,2,FALSE),1),"")</f>
        <v>1</v>
      </c>
      <c r="F3339" s="25">
        <v>3370</v>
      </c>
      <c r="G3339" s="28">
        <f>IF(LEFT(D3339,6)="CLIENT",IF(E3339=0,WORKDAY(A3339-1,1,Dias_Sem_Compensacao!$A$2:$A$500),WORKDAY(A3339,E3339,Dias_Sem_Compensacao!$A$2:$A$500)),"")</f>
        <v>46325</v>
      </c>
      <c r="H3339" s="25">
        <v>0</v>
      </c>
      <c r="I3339" s="28">
        <v>46324</v>
      </c>
      <c r="J3339" t="s">
        <v>3424</v>
      </c>
      <c r="K3339" t="s">
        <v>3425</v>
      </c>
    </row>
    <row r="3340" spans="1:11" hidden="1">
      <c r="A3340" s="28">
        <v>46324</v>
      </c>
      <c r="B3340" t="s">
        <v>186</v>
      </c>
      <c r="C3340" t="s">
        <v>203</v>
      </c>
      <c r="D3340" t="s">
        <v>217</v>
      </c>
      <c r="E3340">
        <f>IF(LEFT(D3340,6)="CLIENT",IFERROR(VLOOKUP(C3340,Config_Carteiras!$A:$B,2,FALSE),1),"")</f>
        <v>1</v>
      </c>
      <c r="F3340" s="25">
        <v>1004</v>
      </c>
      <c r="G3340" s="28">
        <f>IF(LEFT(D3340,6)="CLIENT",IF(E3340=0,WORKDAY(A3340-1,1,Dias_Sem_Compensacao!$A$2:$A$500),WORKDAY(A3340,E3340,Dias_Sem_Compensacao!$A$2:$A$500)),"")</f>
        <v>46325</v>
      </c>
      <c r="H3340" s="25">
        <v>0</v>
      </c>
      <c r="I3340" s="28">
        <v>46324</v>
      </c>
      <c r="J3340" t="s">
        <v>3208</v>
      </c>
      <c r="K3340" t="s">
        <v>3209</v>
      </c>
    </row>
    <row r="3341" spans="1:11" hidden="1">
      <c r="A3341" s="28">
        <v>46324</v>
      </c>
      <c r="B3341" t="s">
        <v>186</v>
      </c>
      <c r="C3341" t="s">
        <v>203</v>
      </c>
      <c r="D3341" t="s">
        <v>217</v>
      </c>
      <c r="E3341">
        <f>IF(LEFT(D3341,6)="CLIENT",IFERROR(VLOOKUP(C3341,Config_Carteiras!$A:$B,2,FALSE),1),"")</f>
        <v>1</v>
      </c>
      <c r="F3341" s="25">
        <v>864</v>
      </c>
      <c r="G3341" s="28">
        <f>IF(LEFT(D3341,6)="CLIENT",IF(E3341=0,WORKDAY(A3341-1,1,Dias_Sem_Compensacao!$A$2:$A$500),WORKDAY(A3341,E3341,Dias_Sem_Compensacao!$A$2:$A$500)),"")</f>
        <v>46325</v>
      </c>
      <c r="H3341" s="25">
        <v>0</v>
      </c>
      <c r="I3341" s="28">
        <v>46324</v>
      </c>
      <c r="J3341" t="s">
        <v>3426</v>
      </c>
      <c r="K3341" t="s">
        <v>3427</v>
      </c>
    </row>
    <row r="3342" spans="1:11" hidden="1">
      <c r="A3342" s="28">
        <v>46324</v>
      </c>
      <c r="B3342" t="s">
        <v>186</v>
      </c>
      <c r="C3342" t="s">
        <v>203</v>
      </c>
      <c r="D3342" t="s">
        <v>217</v>
      </c>
      <c r="E3342">
        <f>IF(LEFT(D3342,6)="CLIENT",IFERROR(VLOOKUP(C3342,Config_Carteiras!$A:$B,2,FALSE),1),"")</f>
        <v>1</v>
      </c>
      <c r="F3342" s="25">
        <v>666</v>
      </c>
      <c r="G3342" s="28">
        <f>IF(LEFT(D3342,6)="CLIENT",IF(E3342=0,WORKDAY(A3342-1,1,Dias_Sem_Compensacao!$A$2:$A$500),WORKDAY(A3342,E3342,Dias_Sem_Compensacao!$A$2:$A$500)),"")</f>
        <v>46325</v>
      </c>
      <c r="H3342" s="25">
        <v>0</v>
      </c>
      <c r="I3342" s="28">
        <v>46324</v>
      </c>
      <c r="J3342" t="s">
        <v>2777</v>
      </c>
      <c r="K3342" t="s">
        <v>2778</v>
      </c>
    </row>
    <row r="3343" spans="1:11" hidden="1">
      <c r="A3343" s="28">
        <v>46324</v>
      </c>
      <c r="B3343" t="s">
        <v>186</v>
      </c>
      <c r="C3343" t="s">
        <v>203</v>
      </c>
      <c r="D3343" t="s">
        <v>217</v>
      </c>
      <c r="E3343">
        <f>IF(LEFT(D3343,6)="CLIENT",IFERROR(VLOOKUP(C3343,Config_Carteiras!$A:$B,2,FALSE),1),"")</f>
        <v>1</v>
      </c>
      <c r="F3343" s="25">
        <v>1040</v>
      </c>
      <c r="G3343" s="28">
        <f>IF(LEFT(D3343,6)="CLIENT",IF(E3343=0,WORKDAY(A3343-1,1,Dias_Sem_Compensacao!$A$2:$A$500),WORKDAY(A3343,E3343,Dias_Sem_Compensacao!$A$2:$A$500)),"")</f>
        <v>46325</v>
      </c>
      <c r="H3343" s="25">
        <v>0</v>
      </c>
      <c r="I3343" s="28">
        <v>46324</v>
      </c>
      <c r="J3343" t="s">
        <v>2779</v>
      </c>
      <c r="K3343" t="s">
        <v>2780</v>
      </c>
    </row>
    <row r="3344" spans="1:11" hidden="1">
      <c r="A3344" s="28">
        <v>46324</v>
      </c>
      <c r="B3344" t="s">
        <v>186</v>
      </c>
      <c r="C3344" t="s">
        <v>203</v>
      </c>
      <c r="D3344" t="s">
        <v>217</v>
      </c>
      <c r="E3344">
        <f>IF(LEFT(D3344,6)="CLIENT",IFERROR(VLOOKUP(C3344,Config_Carteiras!$A:$B,2,FALSE),1),"")</f>
        <v>1</v>
      </c>
      <c r="F3344" s="25">
        <v>410.74</v>
      </c>
      <c r="G3344" s="28">
        <f>IF(LEFT(D3344,6)="CLIENT",IF(E3344=0,WORKDAY(A3344-1,1,Dias_Sem_Compensacao!$A$2:$A$500),WORKDAY(A3344,E3344,Dias_Sem_Compensacao!$A$2:$A$500)),"")</f>
        <v>46325</v>
      </c>
      <c r="H3344" s="25">
        <v>0</v>
      </c>
      <c r="I3344" s="28">
        <v>46324</v>
      </c>
      <c r="J3344" t="s">
        <v>1072</v>
      </c>
      <c r="K3344" t="s">
        <v>2781</v>
      </c>
    </row>
    <row r="3345" spans="1:11" hidden="1">
      <c r="A3345" s="28">
        <v>46324</v>
      </c>
      <c r="B3345" t="s">
        <v>186</v>
      </c>
      <c r="C3345" t="s">
        <v>203</v>
      </c>
      <c r="D3345" t="s">
        <v>217</v>
      </c>
      <c r="E3345">
        <f>IF(LEFT(D3345,6)="CLIENT",IFERROR(VLOOKUP(C3345,Config_Carteiras!$A:$B,2,FALSE),1),"")</f>
        <v>1</v>
      </c>
      <c r="F3345" s="25">
        <v>379.59</v>
      </c>
      <c r="G3345" s="28">
        <f>IF(LEFT(D3345,6)="CLIENT",IF(E3345=0,WORKDAY(A3345-1,1,Dias_Sem_Compensacao!$A$2:$A$500),WORKDAY(A3345,E3345,Dias_Sem_Compensacao!$A$2:$A$500)),"")</f>
        <v>46325</v>
      </c>
      <c r="H3345" s="25">
        <v>0</v>
      </c>
      <c r="I3345" s="28">
        <v>46324</v>
      </c>
      <c r="J3345" t="s">
        <v>2236</v>
      </c>
      <c r="K3345" t="s">
        <v>2237</v>
      </c>
    </row>
    <row r="3346" spans="1:11" hidden="1">
      <c r="A3346" s="28">
        <v>46324</v>
      </c>
      <c r="B3346" t="s">
        <v>186</v>
      </c>
      <c r="C3346" t="s">
        <v>203</v>
      </c>
      <c r="D3346" t="s">
        <v>217</v>
      </c>
      <c r="E3346">
        <f>IF(LEFT(D3346,6)="CLIENT",IFERROR(VLOOKUP(C3346,Config_Carteiras!$A:$B,2,FALSE),1),"")</f>
        <v>1</v>
      </c>
      <c r="F3346" s="25">
        <v>713.22</v>
      </c>
      <c r="G3346" s="28">
        <f>IF(LEFT(D3346,6)="CLIENT",IF(E3346=0,WORKDAY(A3346-1,1,Dias_Sem_Compensacao!$A$2:$A$500),WORKDAY(A3346,E3346,Dias_Sem_Compensacao!$A$2:$A$500)),"")</f>
        <v>46325</v>
      </c>
      <c r="H3346" s="25">
        <v>0</v>
      </c>
      <c r="I3346" s="28">
        <v>46324</v>
      </c>
      <c r="J3346" t="s">
        <v>1622</v>
      </c>
      <c r="K3346" t="s">
        <v>1623</v>
      </c>
    </row>
    <row r="3347" spans="1:11" hidden="1">
      <c r="A3347" s="28">
        <v>46324</v>
      </c>
      <c r="B3347" t="s">
        <v>186</v>
      </c>
      <c r="C3347" t="s">
        <v>203</v>
      </c>
      <c r="D3347" t="s">
        <v>217</v>
      </c>
      <c r="E3347">
        <f>IF(LEFT(D3347,6)="CLIENT",IFERROR(VLOOKUP(C3347,Config_Carteiras!$A:$B,2,FALSE),1),"")</f>
        <v>1</v>
      </c>
      <c r="F3347" s="25">
        <v>6612.15</v>
      </c>
      <c r="G3347" s="28">
        <f>IF(LEFT(D3347,6)="CLIENT",IF(E3347=0,WORKDAY(A3347-1,1,Dias_Sem_Compensacao!$A$2:$A$500),WORKDAY(A3347,E3347,Dias_Sem_Compensacao!$A$2:$A$500)),"")</f>
        <v>46325</v>
      </c>
      <c r="H3347" s="25">
        <v>0</v>
      </c>
      <c r="I3347" s="28">
        <v>46324</v>
      </c>
      <c r="J3347" t="s">
        <v>169</v>
      </c>
      <c r="K3347" t="s">
        <v>2784</v>
      </c>
    </row>
    <row r="3348" spans="1:11" hidden="1">
      <c r="A3348" s="28">
        <v>46324</v>
      </c>
      <c r="B3348" t="s">
        <v>186</v>
      </c>
      <c r="C3348" t="s">
        <v>203</v>
      </c>
      <c r="D3348" t="s">
        <v>217</v>
      </c>
      <c r="E3348">
        <f>IF(LEFT(D3348,6)="CLIENT",IFERROR(VLOOKUP(C3348,Config_Carteiras!$A:$B,2,FALSE),1),"")</f>
        <v>1</v>
      </c>
      <c r="F3348" s="25">
        <v>1801.46</v>
      </c>
      <c r="G3348" s="28">
        <f>IF(LEFT(D3348,6)="CLIENT",IF(E3348=0,WORKDAY(A3348-1,1,Dias_Sem_Compensacao!$A$2:$A$500),WORKDAY(A3348,E3348,Dias_Sem_Compensacao!$A$2:$A$500)),"")</f>
        <v>46325</v>
      </c>
      <c r="H3348" s="25">
        <v>0</v>
      </c>
      <c r="I3348" s="28">
        <v>46324</v>
      </c>
      <c r="J3348" t="s">
        <v>2785</v>
      </c>
      <c r="K3348" t="s">
        <v>2786</v>
      </c>
    </row>
    <row r="3349" spans="1:11" hidden="1">
      <c r="A3349" s="28">
        <v>46324</v>
      </c>
      <c r="B3349" t="s">
        <v>186</v>
      </c>
      <c r="C3349" t="s">
        <v>203</v>
      </c>
      <c r="D3349" t="s">
        <v>217</v>
      </c>
      <c r="E3349">
        <f>IF(LEFT(D3349,6)="CLIENT",IFERROR(VLOOKUP(C3349,Config_Carteiras!$A:$B,2,FALSE),1),"")</f>
        <v>1</v>
      </c>
      <c r="F3349" s="25">
        <v>829.78</v>
      </c>
      <c r="G3349" s="28">
        <f>IF(LEFT(D3349,6)="CLIENT",IF(E3349=0,WORKDAY(A3349-1,1,Dias_Sem_Compensacao!$A$2:$A$500),WORKDAY(A3349,E3349,Dias_Sem_Compensacao!$A$2:$A$500)),"")</f>
        <v>46325</v>
      </c>
      <c r="H3349" s="25">
        <v>0</v>
      </c>
      <c r="I3349" s="28">
        <v>46324</v>
      </c>
      <c r="J3349" t="s">
        <v>2787</v>
      </c>
      <c r="K3349" t="s">
        <v>2788</v>
      </c>
    </row>
    <row r="3350" spans="1:11" hidden="1">
      <c r="A3350" s="28">
        <v>46324</v>
      </c>
      <c r="B3350" t="s">
        <v>186</v>
      </c>
      <c r="C3350" t="s">
        <v>203</v>
      </c>
      <c r="D3350" t="s">
        <v>217</v>
      </c>
      <c r="E3350">
        <f>IF(LEFT(D3350,6)="CLIENT",IFERROR(VLOOKUP(C3350,Config_Carteiras!$A:$B,2,FALSE),1),"")</f>
        <v>1</v>
      </c>
      <c r="F3350" s="25">
        <v>477.61</v>
      </c>
      <c r="G3350" s="28">
        <f>IF(LEFT(D3350,6)="CLIENT",IF(E3350=0,WORKDAY(A3350-1,1,Dias_Sem_Compensacao!$A$2:$A$500),WORKDAY(A3350,E3350,Dias_Sem_Compensacao!$A$2:$A$500)),"")</f>
        <v>46325</v>
      </c>
      <c r="H3350" s="25">
        <v>0</v>
      </c>
      <c r="I3350" s="28">
        <v>46324</v>
      </c>
      <c r="J3350" t="s">
        <v>1289</v>
      </c>
      <c r="K3350" t="s">
        <v>2252</v>
      </c>
    </row>
    <row r="3351" spans="1:11" hidden="1">
      <c r="A3351" s="28">
        <v>46325</v>
      </c>
      <c r="B3351" t="s">
        <v>186</v>
      </c>
      <c r="C3351" t="s">
        <v>203</v>
      </c>
      <c r="D3351" t="s">
        <v>217</v>
      </c>
      <c r="E3351">
        <f>IF(LEFT(D3351,6)="CLIENT",IFERROR(VLOOKUP(C3351,Config_Carteiras!$A:$B,2,FALSE),1),"")</f>
        <v>1</v>
      </c>
      <c r="F3351" s="25">
        <v>1142</v>
      </c>
      <c r="G3351" s="28">
        <f>IF(LEFT(D3351,6)="CLIENT",IF(E3351=0,WORKDAY(A3351-1,1,Dias_Sem_Compensacao!$A$2:$A$500),WORKDAY(A3351,E3351,Dias_Sem_Compensacao!$A$2:$A$500)),"")</f>
        <v>46328</v>
      </c>
      <c r="H3351" s="25">
        <v>0</v>
      </c>
      <c r="I3351" s="28">
        <v>46325</v>
      </c>
      <c r="J3351" t="s">
        <v>3213</v>
      </c>
      <c r="K3351" t="s">
        <v>3214</v>
      </c>
    </row>
    <row r="3352" spans="1:11" hidden="1">
      <c r="A3352" s="28">
        <v>46325</v>
      </c>
      <c r="B3352" t="s">
        <v>186</v>
      </c>
      <c r="C3352" t="s">
        <v>203</v>
      </c>
      <c r="D3352" t="s">
        <v>217</v>
      </c>
      <c r="E3352">
        <f>IF(LEFT(D3352,6)="CLIENT",IFERROR(VLOOKUP(C3352,Config_Carteiras!$A:$B,2,FALSE),1),"")</f>
        <v>1</v>
      </c>
      <c r="F3352" s="25">
        <v>770.16</v>
      </c>
      <c r="G3352" s="28">
        <f>IF(LEFT(D3352,6)="CLIENT",IF(E3352=0,WORKDAY(A3352-1,1,Dias_Sem_Compensacao!$A$2:$A$500),WORKDAY(A3352,E3352,Dias_Sem_Compensacao!$A$2:$A$500)),"")</f>
        <v>46328</v>
      </c>
      <c r="H3352" s="25">
        <v>0</v>
      </c>
      <c r="I3352" s="28">
        <v>46325</v>
      </c>
      <c r="J3352" t="s">
        <v>2795</v>
      </c>
      <c r="K3352" t="s">
        <v>2796</v>
      </c>
    </row>
    <row r="3353" spans="1:11" hidden="1">
      <c r="A3353" s="28">
        <v>46325</v>
      </c>
      <c r="B3353" t="s">
        <v>186</v>
      </c>
      <c r="C3353" t="s">
        <v>203</v>
      </c>
      <c r="D3353" t="s">
        <v>217</v>
      </c>
      <c r="E3353">
        <f>IF(LEFT(D3353,6)="CLIENT",IFERROR(VLOOKUP(C3353,Config_Carteiras!$A:$B,2,FALSE),1),"")</f>
        <v>1</v>
      </c>
      <c r="F3353" s="25">
        <v>547.79</v>
      </c>
      <c r="G3353" s="28">
        <f>IF(LEFT(D3353,6)="CLIENT",IF(E3353=0,WORKDAY(A3353-1,1,Dias_Sem_Compensacao!$A$2:$A$500),WORKDAY(A3353,E3353,Dias_Sem_Compensacao!$A$2:$A$500)),"")</f>
        <v>46328</v>
      </c>
      <c r="H3353" s="25">
        <v>0</v>
      </c>
      <c r="I3353" s="28">
        <v>46325</v>
      </c>
      <c r="J3353" t="s">
        <v>3215</v>
      </c>
      <c r="K3353" t="s">
        <v>3216</v>
      </c>
    </row>
    <row r="3354" spans="1:11" hidden="1">
      <c r="A3354" s="28">
        <v>46325</v>
      </c>
      <c r="B3354" t="s">
        <v>186</v>
      </c>
      <c r="C3354" t="s">
        <v>203</v>
      </c>
      <c r="D3354" t="s">
        <v>217</v>
      </c>
      <c r="E3354">
        <f>IF(LEFT(D3354,6)="CLIENT",IFERROR(VLOOKUP(C3354,Config_Carteiras!$A:$B,2,FALSE),1),"")</f>
        <v>1</v>
      </c>
      <c r="F3354" s="25">
        <v>1279</v>
      </c>
      <c r="G3354" s="28">
        <f>IF(LEFT(D3354,6)="CLIENT",IF(E3354=0,WORKDAY(A3354-1,1,Dias_Sem_Compensacao!$A$2:$A$500),WORKDAY(A3354,E3354,Dias_Sem_Compensacao!$A$2:$A$500)),"")</f>
        <v>46328</v>
      </c>
      <c r="H3354" s="25">
        <v>0</v>
      </c>
      <c r="I3354" s="28">
        <v>46325</v>
      </c>
      <c r="J3354" t="s">
        <v>3217</v>
      </c>
      <c r="K3354" t="s">
        <v>3218</v>
      </c>
    </row>
    <row r="3355" spans="1:11" hidden="1">
      <c r="A3355" s="28">
        <v>46325</v>
      </c>
      <c r="B3355" t="s">
        <v>186</v>
      </c>
      <c r="C3355" t="s">
        <v>203</v>
      </c>
      <c r="D3355" t="s">
        <v>217</v>
      </c>
      <c r="E3355">
        <f>IF(LEFT(D3355,6)="CLIENT",IFERROR(VLOOKUP(C3355,Config_Carteiras!$A:$B,2,FALSE),1),"")</f>
        <v>1</v>
      </c>
      <c r="F3355" s="25">
        <v>1471.93</v>
      </c>
      <c r="G3355" s="28">
        <f>IF(LEFT(D3355,6)="CLIENT",IF(E3355=0,WORKDAY(A3355-1,1,Dias_Sem_Compensacao!$A$2:$A$500),WORKDAY(A3355,E3355,Dias_Sem_Compensacao!$A$2:$A$500)),"")</f>
        <v>46328</v>
      </c>
      <c r="H3355" s="25">
        <v>0</v>
      </c>
      <c r="I3355" s="28">
        <v>46325</v>
      </c>
      <c r="J3355" t="s">
        <v>2798</v>
      </c>
      <c r="K3355" t="s">
        <v>2799</v>
      </c>
    </row>
    <row r="3356" spans="1:11" hidden="1">
      <c r="A3356" s="28">
        <v>46325</v>
      </c>
      <c r="B3356" t="s">
        <v>186</v>
      </c>
      <c r="C3356" t="s">
        <v>203</v>
      </c>
      <c r="D3356" t="s">
        <v>217</v>
      </c>
      <c r="E3356">
        <f>IF(LEFT(D3356,6)="CLIENT",IFERROR(VLOOKUP(C3356,Config_Carteiras!$A:$B,2,FALSE),1),"")</f>
        <v>1</v>
      </c>
      <c r="F3356" s="25">
        <v>2858</v>
      </c>
      <c r="G3356" s="28">
        <f>IF(LEFT(D3356,6)="CLIENT",IF(E3356=0,WORKDAY(A3356-1,1,Dias_Sem_Compensacao!$A$2:$A$500),WORKDAY(A3356,E3356,Dias_Sem_Compensacao!$A$2:$A$500)),"")</f>
        <v>46328</v>
      </c>
      <c r="H3356" s="25">
        <v>0</v>
      </c>
      <c r="I3356" s="28">
        <v>46325</v>
      </c>
      <c r="J3356" t="s">
        <v>3219</v>
      </c>
      <c r="K3356" t="s">
        <v>3220</v>
      </c>
    </row>
    <row r="3357" spans="1:11" hidden="1">
      <c r="A3357" s="28">
        <v>46325</v>
      </c>
      <c r="B3357" t="s">
        <v>186</v>
      </c>
      <c r="C3357" t="s">
        <v>203</v>
      </c>
      <c r="D3357" t="s">
        <v>217</v>
      </c>
      <c r="E3357">
        <f>IF(LEFT(D3357,6)="CLIENT",IFERROR(VLOOKUP(C3357,Config_Carteiras!$A:$B,2,FALSE),1),"")</f>
        <v>1</v>
      </c>
      <c r="F3357" s="25">
        <v>1739.46</v>
      </c>
      <c r="G3357" s="28">
        <f>IF(LEFT(D3357,6)="CLIENT",IF(E3357=0,WORKDAY(A3357-1,1,Dias_Sem_Compensacao!$A$2:$A$500),WORKDAY(A3357,E3357,Dias_Sem_Compensacao!$A$2:$A$500)),"")</f>
        <v>46328</v>
      </c>
      <c r="H3357" s="25">
        <v>0</v>
      </c>
      <c r="I3357" s="28">
        <v>46325</v>
      </c>
      <c r="J3357" t="s">
        <v>1796</v>
      </c>
      <c r="K3357" t="s">
        <v>2805</v>
      </c>
    </row>
    <row r="3358" spans="1:11" hidden="1">
      <c r="A3358" s="28">
        <v>46325</v>
      </c>
      <c r="B3358" t="s">
        <v>186</v>
      </c>
      <c r="C3358" t="s">
        <v>203</v>
      </c>
      <c r="D3358" t="s">
        <v>217</v>
      </c>
      <c r="E3358">
        <f>IF(LEFT(D3358,6)="CLIENT",IFERROR(VLOOKUP(C3358,Config_Carteiras!$A:$B,2,FALSE),1),"")</f>
        <v>1</v>
      </c>
      <c r="F3358" s="25">
        <v>25828</v>
      </c>
      <c r="G3358" s="28">
        <f>IF(LEFT(D3358,6)="CLIENT",IF(E3358=0,WORKDAY(A3358-1,1,Dias_Sem_Compensacao!$A$2:$A$500),WORKDAY(A3358,E3358,Dias_Sem_Compensacao!$A$2:$A$500)),"")</f>
        <v>46328</v>
      </c>
      <c r="H3358" s="25">
        <v>0</v>
      </c>
      <c r="I3358" s="28">
        <v>46325</v>
      </c>
      <c r="J3358" t="s">
        <v>1138</v>
      </c>
      <c r="K3358" t="s">
        <v>3225</v>
      </c>
    </row>
    <row r="3359" spans="1:11" hidden="1">
      <c r="A3359" s="28">
        <v>46325</v>
      </c>
      <c r="B3359" t="s">
        <v>186</v>
      </c>
      <c r="C3359" t="s">
        <v>203</v>
      </c>
      <c r="D3359" t="s">
        <v>217</v>
      </c>
      <c r="E3359">
        <f>IF(LEFT(D3359,6)="CLIENT",IFERROR(VLOOKUP(C3359,Config_Carteiras!$A:$B,2,FALSE),1),"")</f>
        <v>1</v>
      </c>
      <c r="F3359" s="25">
        <v>2901.55</v>
      </c>
      <c r="G3359" s="28">
        <f>IF(LEFT(D3359,6)="CLIENT",IF(E3359=0,WORKDAY(A3359-1,1,Dias_Sem_Compensacao!$A$2:$A$500),WORKDAY(A3359,E3359,Dias_Sem_Compensacao!$A$2:$A$500)),"")</f>
        <v>46328</v>
      </c>
      <c r="H3359" s="25">
        <v>0</v>
      </c>
      <c r="I3359" s="28">
        <v>46325</v>
      </c>
      <c r="J3359" t="s">
        <v>2808</v>
      </c>
      <c r="K3359" t="s">
        <v>2809</v>
      </c>
    </row>
    <row r="3360" spans="1:11" hidden="1">
      <c r="A3360" s="28">
        <v>46325</v>
      </c>
      <c r="B3360" t="s">
        <v>186</v>
      </c>
      <c r="C3360" t="s">
        <v>203</v>
      </c>
      <c r="D3360" t="s">
        <v>217</v>
      </c>
      <c r="E3360">
        <f>IF(LEFT(D3360,6)="CLIENT",IFERROR(VLOOKUP(C3360,Config_Carteiras!$A:$B,2,FALSE),1),"")</f>
        <v>1</v>
      </c>
      <c r="F3360" s="25">
        <v>524</v>
      </c>
      <c r="G3360" s="28">
        <f>IF(LEFT(D3360,6)="CLIENT",IF(E3360=0,WORKDAY(A3360-1,1,Dias_Sem_Compensacao!$A$2:$A$500),WORKDAY(A3360,E3360,Dias_Sem_Compensacao!$A$2:$A$500)),"")</f>
        <v>46328</v>
      </c>
      <c r="H3360" s="25">
        <v>0</v>
      </c>
      <c r="I3360" s="28">
        <v>46325</v>
      </c>
      <c r="J3360" t="s">
        <v>2810</v>
      </c>
      <c r="K3360" t="s">
        <v>2811</v>
      </c>
    </row>
    <row r="3361" spans="1:11" hidden="1">
      <c r="A3361" s="28">
        <v>46325</v>
      </c>
      <c r="B3361" t="s">
        <v>186</v>
      </c>
      <c r="C3361" t="s">
        <v>203</v>
      </c>
      <c r="D3361" t="s">
        <v>217</v>
      </c>
      <c r="E3361">
        <f>IF(LEFT(D3361,6)="CLIENT",IFERROR(VLOOKUP(C3361,Config_Carteiras!$A:$B,2,FALSE),1),"")</f>
        <v>1</v>
      </c>
      <c r="F3361" s="25">
        <v>729</v>
      </c>
      <c r="G3361" s="28">
        <f>IF(LEFT(D3361,6)="CLIENT",IF(E3361=0,WORKDAY(A3361-1,1,Dias_Sem_Compensacao!$A$2:$A$500),WORKDAY(A3361,E3361,Dias_Sem_Compensacao!$A$2:$A$500)),"")</f>
        <v>46328</v>
      </c>
      <c r="H3361" s="25">
        <v>0</v>
      </c>
      <c r="I3361" s="28">
        <v>46325</v>
      </c>
      <c r="J3361" t="s">
        <v>3226</v>
      </c>
      <c r="K3361" t="s">
        <v>3227</v>
      </c>
    </row>
    <row r="3362" spans="1:11" hidden="1">
      <c r="A3362" s="28">
        <v>46325</v>
      </c>
      <c r="B3362" t="s">
        <v>186</v>
      </c>
      <c r="C3362" t="s">
        <v>203</v>
      </c>
      <c r="D3362" t="s">
        <v>217</v>
      </c>
      <c r="E3362">
        <f>IF(LEFT(D3362,6)="CLIENT",IFERROR(VLOOKUP(C3362,Config_Carteiras!$A:$B,2,FALSE),1),"")</f>
        <v>1</v>
      </c>
      <c r="F3362" s="25">
        <v>1382</v>
      </c>
      <c r="G3362" s="28">
        <f>IF(LEFT(D3362,6)="CLIENT",IF(E3362=0,WORKDAY(A3362-1,1,Dias_Sem_Compensacao!$A$2:$A$500),WORKDAY(A3362,E3362,Dias_Sem_Compensacao!$A$2:$A$500)),"")</f>
        <v>46328</v>
      </c>
      <c r="H3362" s="25">
        <v>0</v>
      </c>
      <c r="I3362" s="28">
        <v>46325</v>
      </c>
      <c r="J3362" t="s">
        <v>3428</v>
      </c>
      <c r="K3362" t="s">
        <v>3429</v>
      </c>
    </row>
    <row r="3363" spans="1:11" hidden="1">
      <c r="A3363" s="28">
        <v>46325</v>
      </c>
      <c r="B3363" t="s">
        <v>186</v>
      </c>
      <c r="C3363" t="s">
        <v>203</v>
      </c>
      <c r="D3363" t="s">
        <v>217</v>
      </c>
      <c r="E3363">
        <f>IF(LEFT(D3363,6)="CLIENT",IFERROR(VLOOKUP(C3363,Config_Carteiras!$A:$B,2,FALSE),1),"")</f>
        <v>1</v>
      </c>
      <c r="F3363" s="25">
        <v>419.13</v>
      </c>
      <c r="G3363" s="28">
        <f>IF(LEFT(D3363,6)="CLIENT",IF(E3363=0,WORKDAY(A3363-1,1,Dias_Sem_Compensacao!$A$2:$A$500),WORKDAY(A3363,E3363,Dias_Sem_Compensacao!$A$2:$A$500)),"")</f>
        <v>46328</v>
      </c>
      <c r="H3363" s="25">
        <v>0</v>
      </c>
      <c r="I3363" s="28">
        <v>46325</v>
      </c>
      <c r="J3363" t="s">
        <v>2814</v>
      </c>
      <c r="K3363" t="s">
        <v>2815</v>
      </c>
    </row>
    <row r="3364" spans="1:11" hidden="1">
      <c r="A3364" s="28">
        <v>46325</v>
      </c>
      <c r="B3364" t="s">
        <v>186</v>
      </c>
      <c r="C3364" t="s">
        <v>203</v>
      </c>
      <c r="D3364" t="s">
        <v>217</v>
      </c>
      <c r="E3364">
        <f>IF(LEFT(D3364,6)="CLIENT",IFERROR(VLOOKUP(C3364,Config_Carteiras!$A:$B,2,FALSE),1),"")</f>
        <v>1</v>
      </c>
      <c r="F3364" s="25">
        <v>4397.2700000000004</v>
      </c>
      <c r="G3364" s="28">
        <f>IF(LEFT(D3364,6)="CLIENT",IF(E3364=0,WORKDAY(A3364-1,1,Dias_Sem_Compensacao!$A$2:$A$500),WORKDAY(A3364,E3364,Dias_Sem_Compensacao!$A$2:$A$500)),"")</f>
        <v>46328</v>
      </c>
      <c r="H3364" s="25">
        <v>0</v>
      </c>
      <c r="I3364" s="28">
        <v>46325</v>
      </c>
      <c r="J3364" t="s">
        <v>3430</v>
      </c>
      <c r="K3364" t="s">
        <v>3431</v>
      </c>
    </row>
    <row r="3365" spans="1:11" hidden="1">
      <c r="A3365" s="28">
        <v>46325</v>
      </c>
      <c r="B3365" t="s">
        <v>186</v>
      </c>
      <c r="C3365" t="s">
        <v>203</v>
      </c>
      <c r="D3365" t="s">
        <v>217</v>
      </c>
      <c r="E3365">
        <f>IF(LEFT(D3365,6)="CLIENT",IFERROR(VLOOKUP(C3365,Config_Carteiras!$A:$B,2,FALSE),1),"")</f>
        <v>1</v>
      </c>
      <c r="F3365" s="25">
        <v>830</v>
      </c>
      <c r="G3365" s="28">
        <f>IF(LEFT(D3365,6)="CLIENT",IF(E3365=0,WORKDAY(A3365-1,1,Dias_Sem_Compensacao!$A$2:$A$500),WORKDAY(A3365,E3365,Dias_Sem_Compensacao!$A$2:$A$500)),"")</f>
        <v>46328</v>
      </c>
      <c r="H3365" s="25">
        <v>0</v>
      </c>
      <c r="I3365" s="28">
        <v>46325</v>
      </c>
      <c r="J3365" t="s">
        <v>2822</v>
      </c>
      <c r="K3365" t="s">
        <v>2823</v>
      </c>
    </row>
    <row r="3366" spans="1:11" hidden="1">
      <c r="A3366" s="28">
        <v>46325</v>
      </c>
      <c r="B3366" t="s">
        <v>186</v>
      </c>
      <c r="C3366" t="s">
        <v>203</v>
      </c>
      <c r="D3366" t="s">
        <v>217</v>
      </c>
      <c r="E3366">
        <f>IF(LEFT(D3366,6)="CLIENT",IFERROR(VLOOKUP(C3366,Config_Carteiras!$A:$B,2,FALSE),1),"")</f>
        <v>1</v>
      </c>
      <c r="F3366" s="25">
        <v>866</v>
      </c>
      <c r="G3366" s="28">
        <f>IF(LEFT(D3366,6)="CLIENT",IF(E3366=0,WORKDAY(A3366-1,1,Dias_Sem_Compensacao!$A$2:$A$500),WORKDAY(A3366,E3366,Dias_Sem_Compensacao!$A$2:$A$500)),"")</f>
        <v>46328</v>
      </c>
      <c r="H3366" s="25">
        <v>0</v>
      </c>
      <c r="I3366" s="28">
        <v>46325</v>
      </c>
      <c r="J3366" t="s">
        <v>1485</v>
      </c>
      <c r="K3366" t="s">
        <v>3234</v>
      </c>
    </row>
    <row r="3367" spans="1:11" hidden="1">
      <c r="A3367" s="28">
        <v>46325</v>
      </c>
      <c r="B3367" t="s">
        <v>186</v>
      </c>
      <c r="C3367" t="s">
        <v>203</v>
      </c>
      <c r="D3367" t="s">
        <v>217</v>
      </c>
      <c r="E3367">
        <f>IF(LEFT(D3367,6)="CLIENT",IFERROR(VLOOKUP(C3367,Config_Carteiras!$A:$B,2,FALSE),1),"")</f>
        <v>1</v>
      </c>
      <c r="F3367" s="25">
        <v>738.94</v>
      </c>
      <c r="G3367" s="28">
        <f>IF(LEFT(D3367,6)="CLIENT",IF(E3367=0,WORKDAY(A3367-1,1,Dias_Sem_Compensacao!$A$2:$A$500),WORKDAY(A3367,E3367,Dias_Sem_Compensacao!$A$2:$A$500)),"")</f>
        <v>46328</v>
      </c>
      <c r="H3367" s="25">
        <v>0</v>
      </c>
      <c r="I3367" s="28">
        <v>46325</v>
      </c>
      <c r="J3367" t="s">
        <v>2829</v>
      </c>
      <c r="K3367" t="s">
        <v>2830</v>
      </c>
    </row>
    <row r="3368" spans="1:11" hidden="1">
      <c r="A3368" s="28">
        <v>46325</v>
      </c>
      <c r="B3368" t="s">
        <v>186</v>
      </c>
      <c r="C3368" t="s">
        <v>203</v>
      </c>
      <c r="D3368" t="s">
        <v>217</v>
      </c>
      <c r="E3368">
        <f>IF(LEFT(D3368,6)="CLIENT",IFERROR(VLOOKUP(C3368,Config_Carteiras!$A:$B,2,FALSE),1),"")</f>
        <v>1</v>
      </c>
      <c r="F3368" s="25">
        <v>1300</v>
      </c>
      <c r="G3368" s="28">
        <f>IF(LEFT(D3368,6)="CLIENT",IF(E3368=0,WORKDAY(A3368-1,1,Dias_Sem_Compensacao!$A$2:$A$500),WORKDAY(A3368,E3368,Dias_Sem_Compensacao!$A$2:$A$500)),"")</f>
        <v>46328</v>
      </c>
      <c r="H3368" s="25">
        <v>0</v>
      </c>
      <c r="I3368" s="28">
        <v>46325</v>
      </c>
      <c r="J3368" t="s">
        <v>1822</v>
      </c>
      <c r="K3368" t="s">
        <v>2831</v>
      </c>
    </row>
    <row r="3369" spans="1:11" hidden="1">
      <c r="A3369" s="28">
        <v>46325</v>
      </c>
      <c r="B3369" t="s">
        <v>186</v>
      </c>
      <c r="C3369" t="s">
        <v>203</v>
      </c>
      <c r="D3369" t="s">
        <v>217</v>
      </c>
      <c r="E3369">
        <f>IF(LEFT(D3369,6)="CLIENT",IFERROR(VLOOKUP(C3369,Config_Carteiras!$A:$B,2,FALSE),1),"")</f>
        <v>1</v>
      </c>
      <c r="F3369" s="25">
        <v>721</v>
      </c>
      <c r="G3369" s="28">
        <f>IF(LEFT(D3369,6)="CLIENT",IF(E3369=0,WORKDAY(A3369-1,1,Dias_Sem_Compensacao!$A$2:$A$500),WORKDAY(A3369,E3369,Dias_Sem_Compensacao!$A$2:$A$500)),"")</f>
        <v>46328</v>
      </c>
      <c r="H3369" s="25">
        <v>0</v>
      </c>
      <c r="I3369" s="28">
        <v>46325</v>
      </c>
      <c r="J3369" t="s">
        <v>3237</v>
      </c>
      <c r="K3369" t="s">
        <v>3238</v>
      </c>
    </row>
    <row r="3370" spans="1:11" hidden="1">
      <c r="A3370" s="28">
        <v>46325</v>
      </c>
      <c r="B3370" t="s">
        <v>186</v>
      </c>
      <c r="C3370" t="s">
        <v>203</v>
      </c>
      <c r="D3370" t="s">
        <v>217</v>
      </c>
      <c r="E3370">
        <f>IF(LEFT(D3370,6)="CLIENT",IFERROR(VLOOKUP(C3370,Config_Carteiras!$A:$B,2,FALSE),1),"")</f>
        <v>1</v>
      </c>
      <c r="F3370" s="25">
        <v>2667</v>
      </c>
      <c r="G3370" s="28">
        <f>IF(LEFT(D3370,6)="CLIENT",IF(E3370=0,WORKDAY(A3370-1,1,Dias_Sem_Compensacao!$A$2:$A$500),WORKDAY(A3370,E3370,Dias_Sem_Compensacao!$A$2:$A$500)),"")</f>
        <v>46328</v>
      </c>
      <c r="H3370" s="25">
        <v>0</v>
      </c>
      <c r="I3370" s="28">
        <v>46325</v>
      </c>
      <c r="J3370" t="s">
        <v>3239</v>
      </c>
      <c r="K3370" t="s">
        <v>3240</v>
      </c>
    </row>
    <row r="3371" spans="1:11" hidden="1">
      <c r="A3371" s="28">
        <v>46325</v>
      </c>
      <c r="B3371" t="s">
        <v>186</v>
      </c>
      <c r="C3371" t="s">
        <v>203</v>
      </c>
      <c r="D3371" t="s">
        <v>217</v>
      </c>
      <c r="E3371">
        <f>IF(LEFT(D3371,6)="CLIENT",IFERROR(VLOOKUP(C3371,Config_Carteiras!$A:$B,2,FALSE),1),"")</f>
        <v>1</v>
      </c>
      <c r="F3371" s="25">
        <v>338</v>
      </c>
      <c r="G3371" s="28">
        <f>IF(LEFT(D3371,6)="CLIENT",IF(E3371=0,WORKDAY(A3371-1,1,Dias_Sem_Compensacao!$A$2:$A$500),WORKDAY(A3371,E3371,Dias_Sem_Compensacao!$A$2:$A$500)),"")</f>
        <v>46328</v>
      </c>
      <c r="H3371" s="25">
        <v>0</v>
      </c>
      <c r="I3371" s="28">
        <v>46325</v>
      </c>
      <c r="J3371" t="s">
        <v>2274</v>
      </c>
      <c r="K3371" t="s">
        <v>2275</v>
      </c>
    </row>
    <row r="3372" spans="1:11" hidden="1">
      <c r="A3372" s="28">
        <v>46325</v>
      </c>
      <c r="B3372" t="s">
        <v>186</v>
      </c>
      <c r="C3372" t="s">
        <v>203</v>
      </c>
      <c r="D3372" t="s">
        <v>217</v>
      </c>
      <c r="E3372">
        <f>IF(LEFT(D3372,6)="CLIENT",IFERROR(VLOOKUP(C3372,Config_Carteiras!$A:$B,2,FALSE),1),"")</f>
        <v>1</v>
      </c>
      <c r="F3372" s="25">
        <v>643</v>
      </c>
      <c r="G3372" s="28">
        <f>IF(LEFT(D3372,6)="CLIENT",IF(E3372=0,WORKDAY(A3372-1,1,Dias_Sem_Compensacao!$A$2:$A$500),WORKDAY(A3372,E3372,Dias_Sem_Compensacao!$A$2:$A$500)),"")</f>
        <v>46328</v>
      </c>
      <c r="H3372" s="25">
        <v>0</v>
      </c>
      <c r="I3372" s="28">
        <v>46325</v>
      </c>
      <c r="J3372" t="s">
        <v>1184</v>
      </c>
      <c r="K3372" t="s">
        <v>2276</v>
      </c>
    </row>
    <row r="3373" spans="1:11" hidden="1">
      <c r="A3373" s="28">
        <v>46325</v>
      </c>
      <c r="B3373" t="s">
        <v>186</v>
      </c>
      <c r="C3373" t="s">
        <v>203</v>
      </c>
      <c r="D3373" t="s">
        <v>217</v>
      </c>
      <c r="E3373">
        <f>IF(LEFT(D3373,6)="CLIENT",IFERROR(VLOOKUP(C3373,Config_Carteiras!$A:$B,2,FALSE),1),"")</f>
        <v>1</v>
      </c>
      <c r="F3373" s="25">
        <v>1025</v>
      </c>
      <c r="G3373" s="28">
        <f>IF(LEFT(D3373,6)="CLIENT",IF(E3373=0,WORKDAY(A3373-1,1,Dias_Sem_Compensacao!$A$2:$A$500),WORKDAY(A3373,E3373,Dias_Sem_Compensacao!$A$2:$A$500)),"")</f>
        <v>46328</v>
      </c>
      <c r="H3373" s="25">
        <v>0</v>
      </c>
      <c r="I3373" s="28">
        <v>46325</v>
      </c>
      <c r="J3373" t="s">
        <v>3241</v>
      </c>
      <c r="K3373" t="s">
        <v>3242</v>
      </c>
    </row>
    <row r="3374" spans="1:11" hidden="1">
      <c r="A3374" s="28">
        <v>46325</v>
      </c>
      <c r="B3374" t="s">
        <v>186</v>
      </c>
      <c r="C3374" t="s">
        <v>203</v>
      </c>
      <c r="D3374" t="s">
        <v>217</v>
      </c>
      <c r="E3374">
        <f>IF(LEFT(D3374,6)="CLIENT",IFERROR(VLOOKUP(C3374,Config_Carteiras!$A:$B,2,FALSE),1),"")</f>
        <v>1</v>
      </c>
      <c r="F3374" s="25">
        <v>1052</v>
      </c>
      <c r="G3374" s="28">
        <f>IF(LEFT(D3374,6)="CLIENT",IF(E3374=0,WORKDAY(A3374-1,1,Dias_Sem_Compensacao!$A$2:$A$500),WORKDAY(A3374,E3374,Dias_Sem_Compensacao!$A$2:$A$500)),"")</f>
        <v>46328</v>
      </c>
      <c r="H3374" s="25">
        <v>0</v>
      </c>
      <c r="I3374" s="28">
        <v>46325</v>
      </c>
      <c r="J3374" t="s">
        <v>3243</v>
      </c>
      <c r="K3374" t="s">
        <v>3244</v>
      </c>
    </row>
    <row r="3375" spans="1:11" hidden="1">
      <c r="A3375" s="28">
        <v>46325</v>
      </c>
      <c r="B3375" t="s">
        <v>186</v>
      </c>
      <c r="C3375" t="s">
        <v>203</v>
      </c>
      <c r="D3375" t="s">
        <v>217</v>
      </c>
      <c r="E3375">
        <f>IF(LEFT(D3375,6)="CLIENT",IFERROR(VLOOKUP(C3375,Config_Carteiras!$A:$B,2,FALSE),1),"")</f>
        <v>1</v>
      </c>
      <c r="F3375" s="25">
        <v>6412</v>
      </c>
      <c r="G3375" s="28">
        <f>IF(LEFT(D3375,6)="CLIENT",IF(E3375=0,WORKDAY(A3375-1,1,Dias_Sem_Compensacao!$A$2:$A$500),WORKDAY(A3375,E3375,Dias_Sem_Compensacao!$A$2:$A$500)),"")</f>
        <v>46328</v>
      </c>
      <c r="H3375" s="25">
        <v>0</v>
      </c>
      <c r="I3375" s="28">
        <v>46325</v>
      </c>
      <c r="J3375" t="s">
        <v>3245</v>
      </c>
      <c r="K3375" t="s">
        <v>3246</v>
      </c>
    </row>
    <row r="3376" spans="1:11" hidden="1">
      <c r="A3376" s="28">
        <v>46325</v>
      </c>
      <c r="B3376" t="s">
        <v>186</v>
      </c>
      <c r="C3376" t="s">
        <v>203</v>
      </c>
      <c r="D3376" t="s">
        <v>217</v>
      </c>
      <c r="E3376">
        <f>IF(LEFT(D3376,6)="CLIENT",IFERROR(VLOOKUP(C3376,Config_Carteiras!$A:$B,2,FALSE),1),"")</f>
        <v>1</v>
      </c>
      <c r="F3376" s="25">
        <v>1104.33</v>
      </c>
      <c r="G3376" s="28">
        <f>IF(LEFT(D3376,6)="CLIENT",IF(E3376=0,WORKDAY(A3376-1,1,Dias_Sem_Compensacao!$A$2:$A$500),WORKDAY(A3376,E3376,Dias_Sem_Compensacao!$A$2:$A$500)),"")</f>
        <v>46328</v>
      </c>
      <c r="H3376" s="25">
        <v>0</v>
      </c>
      <c r="I3376" s="28">
        <v>46325</v>
      </c>
      <c r="J3376" t="s">
        <v>2832</v>
      </c>
      <c r="K3376" t="s">
        <v>2833</v>
      </c>
    </row>
    <row r="3377" spans="1:11" hidden="1">
      <c r="A3377" s="28">
        <v>46325</v>
      </c>
      <c r="B3377" t="s">
        <v>186</v>
      </c>
      <c r="C3377" t="s">
        <v>203</v>
      </c>
      <c r="D3377" t="s">
        <v>217</v>
      </c>
      <c r="E3377">
        <f>IF(LEFT(D3377,6)="CLIENT",IFERROR(VLOOKUP(C3377,Config_Carteiras!$A:$B,2,FALSE),1),"")</f>
        <v>1</v>
      </c>
      <c r="F3377" s="25">
        <v>1257</v>
      </c>
      <c r="G3377" s="28">
        <f>IF(LEFT(D3377,6)="CLIENT",IF(E3377=0,WORKDAY(A3377-1,1,Dias_Sem_Compensacao!$A$2:$A$500),WORKDAY(A3377,E3377,Dias_Sem_Compensacao!$A$2:$A$500)),"")</f>
        <v>46328</v>
      </c>
      <c r="H3377" s="25">
        <v>0</v>
      </c>
      <c r="I3377" s="28">
        <v>46325</v>
      </c>
      <c r="J3377" t="s">
        <v>2834</v>
      </c>
      <c r="K3377" t="s">
        <v>2835</v>
      </c>
    </row>
    <row r="3378" spans="1:11" hidden="1">
      <c r="A3378" s="28">
        <v>46325</v>
      </c>
      <c r="B3378" t="s">
        <v>186</v>
      </c>
      <c r="C3378" t="s">
        <v>203</v>
      </c>
      <c r="D3378" t="s">
        <v>217</v>
      </c>
      <c r="E3378">
        <f>IF(LEFT(D3378,6)="CLIENT",IFERROR(VLOOKUP(C3378,Config_Carteiras!$A:$B,2,FALSE),1),"")</f>
        <v>1</v>
      </c>
      <c r="F3378" s="25">
        <v>1079.55</v>
      </c>
      <c r="G3378" s="28">
        <f>IF(LEFT(D3378,6)="CLIENT",IF(E3378=0,WORKDAY(A3378-1,1,Dias_Sem_Compensacao!$A$2:$A$500),WORKDAY(A3378,E3378,Dias_Sem_Compensacao!$A$2:$A$500)),"")</f>
        <v>46328</v>
      </c>
      <c r="H3378" s="25">
        <v>0</v>
      </c>
      <c r="I3378" s="28">
        <v>46325</v>
      </c>
      <c r="J3378" t="s">
        <v>2837</v>
      </c>
      <c r="K3378" t="s">
        <v>2838</v>
      </c>
    </row>
    <row r="3379" spans="1:11" hidden="1">
      <c r="A3379" s="28">
        <v>46325</v>
      </c>
      <c r="B3379" t="s">
        <v>186</v>
      </c>
      <c r="C3379" t="s">
        <v>203</v>
      </c>
      <c r="D3379" t="s">
        <v>217</v>
      </c>
      <c r="E3379">
        <f>IF(LEFT(D3379,6)="CLIENT",IFERROR(VLOOKUP(C3379,Config_Carteiras!$A:$B,2,FALSE),1),"")</f>
        <v>1</v>
      </c>
      <c r="F3379" s="25">
        <v>6558</v>
      </c>
      <c r="G3379" s="28">
        <f>IF(LEFT(D3379,6)="CLIENT",IF(E3379=0,WORKDAY(A3379-1,1,Dias_Sem_Compensacao!$A$2:$A$500),WORKDAY(A3379,E3379,Dias_Sem_Compensacao!$A$2:$A$500)),"")</f>
        <v>46328</v>
      </c>
      <c r="H3379" s="25">
        <v>0</v>
      </c>
      <c r="I3379" s="28">
        <v>46325</v>
      </c>
      <c r="J3379" t="s">
        <v>2721</v>
      </c>
      <c r="K3379" t="s">
        <v>3249</v>
      </c>
    </row>
    <row r="3380" spans="1:11" hidden="1">
      <c r="A3380" s="28">
        <v>46325</v>
      </c>
      <c r="B3380" t="s">
        <v>186</v>
      </c>
      <c r="C3380" t="s">
        <v>203</v>
      </c>
      <c r="D3380" t="s">
        <v>217</v>
      </c>
      <c r="E3380">
        <f>IF(LEFT(D3380,6)="CLIENT",IFERROR(VLOOKUP(C3380,Config_Carteiras!$A:$B,2,FALSE),1),"")</f>
        <v>1</v>
      </c>
      <c r="F3380" s="25">
        <v>4181.72</v>
      </c>
      <c r="G3380" s="28">
        <f>IF(LEFT(D3380,6)="CLIENT",IF(E3380=0,WORKDAY(A3380-1,1,Dias_Sem_Compensacao!$A$2:$A$500),WORKDAY(A3380,E3380,Dias_Sem_Compensacao!$A$2:$A$500)),"")</f>
        <v>46328</v>
      </c>
      <c r="H3380" s="25">
        <v>0</v>
      </c>
      <c r="I3380" s="28">
        <v>46325</v>
      </c>
      <c r="J3380" t="s">
        <v>2839</v>
      </c>
      <c r="K3380" t="s">
        <v>2840</v>
      </c>
    </row>
    <row r="3381" spans="1:11" hidden="1">
      <c r="A3381" s="28">
        <v>46325</v>
      </c>
      <c r="B3381" t="s">
        <v>186</v>
      </c>
      <c r="C3381" t="s">
        <v>203</v>
      </c>
      <c r="D3381" t="s">
        <v>217</v>
      </c>
      <c r="E3381">
        <f>IF(LEFT(D3381,6)="CLIENT",IFERROR(VLOOKUP(C3381,Config_Carteiras!$A:$B,2,FALSE),1),"")</f>
        <v>1</v>
      </c>
      <c r="F3381" s="25">
        <v>1029</v>
      </c>
      <c r="G3381" s="28">
        <f>IF(LEFT(D3381,6)="CLIENT",IF(E3381=0,WORKDAY(A3381-1,1,Dias_Sem_Compensacao!$A$2:$A$500),WORKDAY(A3381,E3381,Dias_Sem_Compensacao!$A$2:$A$500)),"")</f>
        <v>46328</v>
      </c>
      <c r="H3381" s="25">
        <v>0</v>
      </c>
      <c r="I3381" s="28">
        <v>46325</v>
      </c>
      <c r="J3381" t="s">
        <v>3252</v>
      </c>
      <c r="K3381" t="s">
        <v>3253</v>
      </c>
    </row>
    <row r="3382" spans="1:11" hidden="1">
      <c r="A3382" s="28">
        <v>46325</v>
      </c>
      <c r="B3382" t="s">
        <v>186</v>
      </c>
      <c r="C3382" t="s">
        <v>203</v>
      </c>
      <c r="D3382" t="s">
        <v>217</v>
      </c>
      <c r="E3382">
        <f>IF(LEFT(D3382,6)="CLIENT",IFERROR(VLOOKUP(C3382,Config_Carteiras!$A:$B,2,FALSE),1),"")</f>
        <v>1</v>
      </c>
      <c r="F3382" s="25">
        <v>879</v>
      </c>
      <c r="G3382" s="28">
        <f>IF(LEFT(D3382,6)="CLIENT",IF(E3382=0,WORKDAY(A3382-1,1,Dias_Sem_Compensacao!$A$2:$A$500),WORKDAY(A3382,E3382,Dias_Sem_Compensacao!$A$2:$A$500)),"")</f>
        <v>46328</v>
      </c>
      <c r="H3382" s="25">
        <v>0</v>
      </c>
      <c r="I3382" s="28">
        <v>46325</v>
      </c>
      <c r="J3382" t="s">
        <v>3254</v>
      </c>
      <c r="K3382" t="s">
        <v>3255</v>
      </c>
    </row>
    <row r="3383" spans="1:11" hidden="1">
      <c r="A3383" s="28">
        <v>46325</v>
      </c>
      <c r="B3383" t="s">
        <v>186</v>
      </c>
      <c r="C3383" t="s">
        <v>203</v>
      </c>
      <c r="D3383" t="s">
        <v>217</v>
      </c>
      <c r="E3383">
        <f>IF(LEFT(D3383,6)="CLIENT",IFERROR(VLOOKUP(C3383,Config_Carteiras!$A:$B,2,FALSE),1),"")</f>
        <v>1</v>
      </c>
      <c r="F3383" s="25">
        <v>1347</v>
      </c>
      <c r="G3383" s="28">
        <f>IF(LEFT(D3383,6)="CLIENT",IF(E3383=0,WORKDAY(A3383-1,1,Dias_Sem_Compensacao!$A$2:$A$500),WORKDAY(A3383,E3383,Dias_Sem_Compensacao!$A$2:$A$500)),"")</f>
        <v>46328</v>
      </c>
      <c r="H3383" s="25">
        <v>0</v>
      </c>
      <c r="I3383" s="28">
        <v>46325</v>
      </c>
      <c r="J3383" t="s">
        <v>2286</v>
      </c>
      <c r="K3383" t="s">
        <v>2287</v>
      </c>
    </row>
    <row r="3384" spans="1:11" hidden="1">
      <c r="A3384" s="28">
        <v>46325</v>
      </c>
      <c r="B3384" t="s">
        <v>186</v>
      </c>
      <c r="C3384" t="s">
        <v>203</v>
      </c>
      <c r="D3384" t="s">
        <v>217</v>
      </c>
      <c r="E3384">
        <f>IF(LEFT(D3384,6)="CLIENT",IFERROR(VLOOKUP(C3384,Config_Carteiras!$A:$B,2,FALSE),1),"")</f>
        <v>1</v>
      </c>
      <c r="F3384" s="25">
        <v>345.54</v>
      </c>
      <c r="G3384" s="28">
        <f>IF(LEFT(D3384,6)="CLIENT",IF(E3384=0,WORKDAY(A3384-1,1,Dias_Sem_Compensacao!$A$2:$A$500),WORKDAY(A3384,E3384,Dias_Sem_Compensacao!$A$2:$A$500)),"")</f>
        <v>46328</v>
      </c>
      <c r="H3384" s="25">
        <v>0</v>
      </c>
      <c r="I3384" s="28">
        <v>46325</v>
      </c>
      <c r="J3384" t="s">
        <v>2845</v>
      </c>
      <c r="K3384" t="s">
        <v>2846</v>
      </c>
    </row>
    <row r="3385" spans="1:11" hidden="1">
      <c r="A3385" s="28">
        <v>46325</v>
      </c>
      <c r="B3385" t="s">
        <v>186</v>
      </c>
      <c r="C3385" t="s">
        <v>203</v>
      </c>
      <c r="D3385" t="s">
        <v>217</v>
      </c>
      <c r="E3385">
        <f>IF(LEFT(D3385,6)="CLIENT",IFERROR(VLOOKUP(C3385,Config_Carteiras!$A:$B,2,FALSE),1),"")</f>
        <v>1</v>
      </c>
      <c r="F3385" s="25">
        <v>54604.800000000003</v>
      </c>
      <c r="G3385" s="28">
        <f>IF(LEFT(D3385,6)="CLIENT",IF(E3385=0,WORKDAY(A3385-1,1,Dias_Sem_Compensacao!$A$2:$A$500),WORKDAY(A3385,E3385,Dias_Sem_Compensacao!$A$2:$A$500)),"")</f>
        <v>46328</v>
      </c>
      <c r="H3385" s="25">
        <v>0</v>
      </c>
      <c r="I3385" s="28">
        <v>46325</v>
      </c>
      <c r="J3385" t="s">
        <v>134</v>
      </c>
      <c r="K3385" t="s">
        <v>3432</v>
      </c>
    </row>
    <row r="3386" spans="1:11" hidden="1">
      <c r="A3386" s="28">
        <v>46325</v>
      </c>
      <c r="B3386" t="s">
        <v>186</v>
      </c>
      <c r="C3386" t="s">
        <v>203</v>
      </c>
      <c r="D3386" t="s">
        <v>217</v>
      </c>
      <c r="E3386">
        <f>IF(LEFT(D3386,6)="CLIENT",IFERROR(VLOOKUP(C3386,Config_Carteiras!$A:$B,2,FALSE),1),"")</f>
        <v>1</v>
      </c>
      <c r="F3386" s="25">
        <v>829</v>
      </c>
      <c r="G3386" s="28">
        <f>IF(LEFT(D3386,6)="CLIENT",IF(E3386=0,WORKDAY(A3386-1,1,Dias_Sem_Compensacao!$A$2:$A$500),WORKDAY(A3386,E3386,Dias_Sem_Compensacao!$A$2:$A$500)),"")</f>
        <v>46328</v>
      </c>
      <c r="H3386" s="25">
        <v>0</v>
      </c>
      <c r="I3386" s="28">
        <v>46325</v>
      </c>
      <c r="J3386" t="s">
        <v>2847</v>
      </c>
      <c r="K3386" t="s">
        <v>2848</v>
      </c>
    </row>
    <row r="3387" spans="1:11" hidden="1">
      <c r="A3387" s="28">
        <v>46325</v>
      </c>
      <c r="B3387" t="s">
        <v>186</v>
      </c>
      <c r="C3387" t="s">
        <v>203</v>
      </c>
      <c r="D3387" t="s">
        <v>217</v>
      </c>
      <c r="E3387">
        <f>IF(LEFT(D3387,6)="CLIENT",IFERROR(VLOOKUP(C3387,Config_Carteiras!$A:$B,2,FALSE),1),"")</f>
        <v>1</v>
      </c>
      <c r="F3387" s="25">
        <v>10465</v>
      </c>
      <c r="G3387" s="28">
        <f>IF(LEFT(D3387,6)="CLIENT",IF(E3387=0,WORKDAY(A3387-1,1,Dias_Sem_Compensacao!$A$2:$A$500),WORKDAY(A3387,E3387,Dias_Sem_Compensacao!$A$2:$A$500)),"")</f>
        <v>46328</v>
      </c>
      <c r="H3387" s="25">
        <v>0</v>
      </c>
      <c r="I3387" s="28">
        <v>46325</v>
      </c>
      <c r="J3387" t="s">
        <v>3433</v>
      </c>
      <c r="K3387" t="s">
        <v>3434</v>
      </c>
    </row>
    <row r="3388" spans="1:11" hidden="1">
      <c r="A3388" s="28">
        <v>46325</v>
      </c>
      <c r="B3388" t="s">
        <v>186</v>
      </c>
      <c r="C3388" t="s">
        <v>203</v>
      </c>
      <c r="D3388" t="s">
        <v>217</v>
      </c>
      <c r="E3388">
        <f>IF(LEFT(D3388,6)="CLIENT",IFERROR(VLOOKUP(C3388,Config_Carteiras!$A:$B,2,FALSE),1),"")</f>
        <v>1</v>
      </c>
      <c r="F3388" s="25">
        <v>3905</v>
      </c>
      <c r="G3388" s="28">
        <f>IF(LEFT(D3388,6)="CLIENT",IF(E3388=0,WORKDAY(A3388-1,1,Dias_Sem_Compensacao!$A$2:$A$500),WORKDAY(A3388,E3388,Dias_Sem_Compensacao!$A$2:$A$500)),"")</f>
        <v>46328</v>
      </c>
      <c r="H3388" s="25">
        <v>0</v>
      </c>
      <c r="I3388" s="28">
        <v>46325</v>
      </c>
      <c r="J3388" t="s">
        <v>2295</v>
      </c>
      <c r="K3388" t="s">
        <v>2296</v>
      </c>
    </row>
    <row r="3389" spans="1:11" hidden="1">
      <c r="A3389" s="28">
        <v>46325</v>
      </c>
      <c r="B3389" t="s">
        <v>186</v>
      </c>
      <c r="C3389" t="s">
        <v>203</v>
      </c>
      <c r="D3389" t="s">
        <v>217</v>
      </c>
      <c r="E3389">
        <f>IF(LEFT(D3389,6)="CLIENT",IFERROR(VLOOKUP(C3389,Config_Carteiras!$A:$B,2,FALSE),1),"")</f>
        <v>1</v>
      </c>
      <c r="F3389" s="25">
        <v>649.11</v>
      </c>
      <c r="G3389" s="28">
        <f>IF(LEFT(D3389,6)="CLIENT",IF(E3389=0,WORKDAY(A3389-1,1,Dias_Sem_Compensacao!$A$2:$A$500),WORKDAY(A3389,E3389,Dias_Sem_Compensacao!$A$2:$A$500)),"")</f>
        <v>46328</v>
      </c>
      <c r="H3389" s="25">
        <v>0</v>
      </c>
      <c r="I3389" s="28">
        <v>46325</v>
      </c>
      <c r="J3389" t="s">
        <v>3262</v>
      </c>
      <c r="K3389" t="s">
        <v>3263</v>
      </c>
    </row>
    <row r="3390" spans="1:11" hidden="1">
      <c r="A3390" s="28">
        <v>46325</v>
      </c>
      <c r="B3390" t="s">
        <v>186</v>
      </c>
      <c r="C3390" t="s">
        <v>203</v>
      </c>
      <c r="D3390" t="s">
        <v>217</v>
      </c>
      <c r="E3390">
        <f>IF(LEFT(D3390,6)="CLIENT",IFERROR(VLOOKUP(C3390,Config_Carteiras!$A:$B,2,FALSE),1),"")</f>
        <v>1</v>
      </c>
      <c r="F3390" s="25">
        <v>1221.93</v>
      </c>
      <c r="G3390" s="28">
        <f>IF(LEFT(D3390,6)="CLIENT",IF(E3390=0,WORKDAY(A3390-1,1,Dias_Sem_Compensacao!$A$2:$A$500),WORKDAY(A3390,E3390,Dias_Sem_Compensacao!$A$2:$A$500)),"")</f>
        <v>46328</v>
      </c>
      <c r="H3390" s="25">
        <v>0</v>
      </c>
      <c r="I3390" s="28">
        <v>46325</v>
      </c>
      <c r="J3390" t="s">
        <v>2297</v>
      </c>
      <c r="K3390" t="s">
        <v>2298</v>
      </c>
    </row>
    <row r="3391" spans="1:11" hidden="1">
      <c r="A3391" s="28">
        <v>46325</v>
      </c>
      <c r="B3391" t="s">
        <v>186</v>
      </c>
      <c r="C3391" t="s">
        <v>203</v>
      </c>
      <c r="D3391" t="s">
        <v>217</v>
      </c>
      <c r="E3391">
        <f>IF(LEFT(D3391,6)="CLIENT",IFERROR(VLOOKUP(C3391,Config_Carteiras!$A:$B,2,FALSE),1),"")</f>
        <v>1</v>
      </c>
      <c r="F3391" s="25">
        <v>649.11</v>
      </c>
      <c r="G3391" s="28">
        <f>IF(LEFT(D3391,6)="CLIENT",IF(E3391=0,WORKDAY(A3391-1,1,Dias_Sem_Compensacao!$A$2:$A$500),WORKDAY(A3391,E3391,Dias_Sem_Compensacao!$A$2:$A$500)),"")</f>
        <v>46328</v>
      </c>
      <c r="H3391" s="25">
        <v>0</v>
      </c>
      <c r="I3391" s="28">
        <v>46325</v>
      </c>
      <c r="J3391" t="s">
        <v>3264</v>
      </c>
      <c r="K3391" t="s">
        <v>3265</v>
      </c>
    </row>
    <row r="3392" spans="1:11" hidden="1">
      <c r="A3392" s="28">
        <v>46325</v>
      </c>
      <c r="B3392" t="s">
        <v>186</v>
      </c>
      <c r="C3392" t="s">
        <v>203</v>
      </c>
      <c r="D3392" t="s">
        <v>217</v>
      </c>
      <c r="E3392">
        <f>IF(LEFT(D3392,6)="CLIENT",IFERROR(VLOOKUP(C3392,Config_Carteiras!$A:$B,2,FALSE),1),"")</f>
        <v>1</v>
      </c>
      <c r="F3392" s="25">
        <v>598</v>
      </c>
      <c r="G3392" s="28">
        <f>IF(LEFT(D3392,6)="CLIENT",IF(E3392=0,WORKDAY(A3392-1,1,Dias_Sem_Compensacao!$A$2:$A$500),WORKDAY(A3392,E3392,Dias_Sem_Compensacao!$A$2:$A$500)),"")</f>
        <v>46328</v>
      </c>
      <c r="H3392" s="25">
        <v>0</v>
      </c>
      <c r="I3392" s="28">
        <v>46325</v>
      </c>
      <c r="J3392" t="s">
        <v>2299</v>
      </c>
      <c r="K3392" t="s">
        <v>2300</v>
      </c>
    </row>
    <row r="3393" spans="1:11" hidden="1">
      <c r="A3393" s="28">
        <v>46325</v>
      </c>
      <c r="B3393" t="s">
        <v>186</v>
      </c>
      <c r="C3393" t="s">
        <v>203</v>
      </c>
      <c r="D3393" t="s">
        <v>217</v>
      </c>
      <c r="E3393">
        <f>IF(LEFT(D3393,6)="CLIENT",IFERROR(VLOOKUP(C3393,Config_Carteiras!$A:$B,2,FALSE),1),"")</f>
        <v>1</v>
      </c>
      <c r="F3393" s="25">
        <v>1902</v>
      </c>
      <c r="G3393" s="28">
        <f>IF(LEFT(D3393,6)="CLIENT",IF(E3393=0,WORKDAY(A3393-1,1,Dias_Sem_Compensacao!$A$2:$A$500),WORKDAY(A3393,E3393,Dias_Sem_Compensacao!$A$2:$A$500)),"")</f>
        <v>46328</v>
      </c>
      <c r="H3393" s="25">
        <v>0</v>
      </c>
      <c r="I3393" s="28">
        <v>46325</v>
      </c>
      <c r="J3393" t="s">
        <v>3269</v>
      </c>
      <c r="K3393" t="s">
        <v>3270</v>
      </c>
    </row>
    <row r="3394" spans="1:11" hidden="1">
      <c r="A3394" s="28">
        <v>46325</v>
      </c>
      <c r="B3394" t="s">
        <v>186</v>
      </c>
      <c r="C3394" t="s">
        <v>203</v>
      </c>
      <c r="D3394" t="s">
        <v>217</v>
      </c>
      <c r="E3394">
        <f>IF(LEFT(D3394,6)="CLIENT",IFERROR(VLOOKUP(C3394,Config_Carteiras!$A:$B,2,FALSE),1),"")</f>
        <v>1</v>
      </c>
      <c r="F3394" s="25">
        <v>764.77</v>
      </c>
      <c r="G3394" s="28">
        <f>IF(LEFT(D3394,6)="CLIENT",IF(E3394=0,WORKDAY(A3394-1,1,Dias_Sem_Compensacao!$A$2:$A$500),WORKDAY(A3394,E3394,Dias_Sem_Compensacao!$A$2:$A$500)),"")</f>
        <v>46328</v>
      </c>
      <c r="H3394" s="25">
        <v>0</v>
      </c>
      <c r="I3394" s="28">
        <v>46325</v>
      </c>
      <c r="J3394" t="s">
        <v>3435</v>
      </c>
      <c r="K3394" t="s">
        <v>3436</v>
      </c>
    </row>
    <row r="3395" spans="1:11" hidden="1">
      <c r="A3395" s="28">
        <v>46325</v>
      </c>
      <c r="B3395" t="s">
        <v>186</v>
      </c>
      <c r="C3395" t="s">
        <v>203</v>
      </c>
      <c r="D3395" t="s">
        <v>217</v>
      </c>
      <c r="E3395">
        <f>IF(LEFT(D3395,6)="CLIENT",IFERROR(VLOOKUP(C3395,Config_Carteiras!$A:$B,2,FALSE),1),"")</f>
        <v>1</v>
      </c>
      <c r="F3395" s="25">
        <v>1011.5</v>
      </c>
      <c r="G3395" s="28">
        <f>IF(LEFT(D3395,6)="CLIENT",IF(E3395=0,WORKDAY(A3395-1,1,Dias_Sem_Compensacao!$A$2:$A$500),WORKDAY(A3395,E3395,Dias_Sem_Compensacao!$A$2:$A$500)),"")</f>
        <v>46328</v>
      </c>
      <c r="H3395" s="25">
        <v>0</v>
      </c>
      <c r="I3395" s="28">
        <v>46325</v>
      </c>
      <c r="J3395" t="s">
        <v>2852</v>
      </c>
      <c r="K3395" t="s">
        <v>2853</v>
      </c>
    </row>
    <row r="3396" spans="1:11" hidden="1">
      <c r="A3396" s="28">
        <v>46325</v>
      </c>
      <c r="B3396" t="s">
        <v>186</v>
      </c>
      <c r="C3396" t="s">
        <v>203</v>
      </c>
      <c r="D3396" t="s">
        <v>217</v>
      </c>
      <c r="E3396">
        <f>IF(LEFT(D3396,6)="CLIENT",IFERROR(VLOOKUP(C3396,Config_Carteiras!$A:$B,2,FALSE),1),"")</f>
        <v>1</v>
      </c>
      <c r="F3396" s="25">
        <v>635.16999999999996</v>
      </c>
      <c r="G3396" s="28">
        <f>IF(LEFT(D3396,6)="CLIENT",IF(E3396=0,WORKDAY(A3396-1,1,Dias_Sem_Compensacao!$A$2:$A$500),WORKDAY(A3396,E3396,Dias_Sem_Compensacao!$A$2:$A$500)),"")</f>
        <v>46328</v>
      </c>
      <c r="H3396" s="25">
        <v>0</v>
      </c>
      <c r="I3396" s="28">
        <v>46325</v>
      </c>
      <c r="J3396" t="s">
        <v>513</v>
      </c>
      <c r="K3396" t="s">
        <v>2854</v>
      </c>
    </row>
    <row r="3397" spans="1:11" hidden="1">
      <c r="A3397" s="28">
        <v>46325</v>
      </c>
      <c r="B3397" t="s">
        <v>186</v>
      </c>
      <c r="C3397" t="s">
        <v>203</v>
      </c>
      <c r="D3397" t="s">
        <v>217</v>
      </c>
      <c r="E3397">
        <f>IF(LEFT(D3397,6)="CLIENT",IFERROR(VLOOKUP(C3397,Config_Carteiras!$A:$B,2,FALSE),1),"")</f>
        <v>1</v>
      </c>
      <c r="F3397" s="25">
        <v>898</v>
      </c>
      <c r="G3397" s="28">
        <f>IF(LEFT(D3397,6)="CLIENT",IF(E3397=0,WORKDAY(A3397-1,1,Dias_Sem_Compensacao!$A$2:$A$500),WORKDAY(A3397,E3397,Dias_Sem_Compensacao!$A$2:$A$500)),"")</f>
        <v>46328</v>
      </c>
      <c r="H3397" s="25">
        <v>0</v>
      </c>
      <c r="I3397" s="28">
        <v>46325</v>
      </c>
      <c r="J3397" t="s">
        <v>3272</v>
      </c>
      <c r="K3397" t="s">
        <v>3273</v>
      </c>
    </row>
    <row r="3398" spans="1:11" hidden="1">
      <c r="A3398" s="28">
        <v>46325</v>
      </c>
      <c r="B3398" t="s">
        <v>186</v>
      </c>
      <c r="C3398" t="s">
        <v>203</v>
      </c>
      <c r="D3398" t="s">
        <v>217</v>
      </c>
      <c r="E3398">
        <f>IF(LEFT(D3398,6)="CLIENT",IFERROR(VLOOKUP(C3398,Config_Carteiras!$A:$B,2,FALSE),1),"")</f>
        <v>1</v>
      </c>
      <c r="F3398" s="25">
        <v>1334.29</v>
      </c>
      <c r="G3398" s="28">
        <f>IF(LEFT(D3398,6)="CLIENT",IF(E3398=0,WORKDAY(A3398-1,1,Dias_Sem_Compensacao!$A$2:$A$500),WORKDAY(A3398,E3398,Dias_Sem_Compensacao!$A$2:$A$500)),"")</f>
        <v>46328</v>
      </c>
      <c r="H3398" s="25">
        <v>0</v>
      </c>
      <c r="I3398" s="28">
        <v>46325</v>
      </c>
      <c r="J3398" t="s">
        <v>2855</v>
      </c>
      <c r="K3398" t="s">
        <v>2856</v>
      </c>
    </row>
    <row r="3399" spans="1:11" hidden="1">
      <c r="A3399" s="28">
        <v>46325</v>
      </c>
      <c r="B3399" t="s">
        <v>186</v>
      </c>
      <c r="C3399" t="s">
        <v>203</v>
      </c>
      <c r="D3399" t="s">
        <v>217</v>
      </c>
      <c r="E3399">
        <f>IF(LEFT(D3399,6)="CLIENT",IFERROR(VLOOKUP(C3399,Config_Carteiras!$A:$B,2,FALSE),1),"")</f>
        <v>1</v>
      </c>
      <c r="F3399" s="25">
        <v>622</v>
      </c>
      <c r="G3399" s="28">
        <f>IF(LEFT(D3399,6)="CLIENT",IF(E3399=0,WORKDAY(A3399-1,1,Dias_Sem_Compensacao!$A$2:$A$500),WORKDAY(A3399,E3399,Dias_Sem_Compensacao!$A$2:$A$500)),"")</f>
        <v>46328</v>
      </c>
      <c r="H3399" s="25">
        <v>0</v>
      </c>
      <c r="I3399" s="28">
        <v>46325</v>
      </c>
      <c r="J3399" t="s">
        <v>3274</v>
      </c>
      <c r="K3399" t="s">
        <v>3275</v>
      </c>
    </row>
    <row r="3400" spans="1:11" hidden="1">
      <c r="A3400" s="28">
        <v>46325</v>
      </c>
      <c r="B3400" t="s">
        <v>186</v>
      </c>
      <c r="C3400" t="s">
        <v>203</v>
      </c>
      <c r="D3400" t="s">
        <v>217</v>
      </c>
      <c r="E3400">
        <f>IF(LEFT(D3400,6)="CLIENT",IFERROR(VLOOKUP(C3400,Config_Carteiras!$A:$B,2,FALSE),1),"")</f>
        <v>1</v>
      </c>
      <c r="F3400" s="25">
        <v>814.43</v>
      </c>
      <c r="G3400" s="28">
        <f>IF(LEFT(D3400,6)="CLIENT",IF(E3400=0,WORKDAY(A3400-1,1,Dias_Sem_Compensacao!$A$2:$A$500),WORKDAY(A3400,E3400,Dias_Sem_Compensacao!$A$2:$A$500)),"")</f>
        <v>46328</v>
      </c>
      <c r="H3400" s="25">
        <v>0</v>
      </c>
      <c r="I3400" s="28">
        <v>46325</v>
      </c>
      <c r="J3400" t="s">
        <v>2857</v>
      </c>
      <c r="K3400" t="s">
        <v>2858</v>
      </c>
    </row>
    <row r="3401" spans="1:11" hidden="1">
      <c r="A3401" s="28">
        <v>46325</v>
      </c>
      <c r="B3401" t="s">
        <v>186</v>
      </c>
      <c r="C3401" t="s">
        <v>203</v>
      </c>
      <c r="D3401" t="s">
        <v>217</v>
      </c>
      <c r="E3401">
        <f>IF(LEFT(D3401,6)="CLIENT",IFERROR(VLOOKUP(C3401,Config_Carteiras!$A:$B,2,FALSE),1),"")</f>
        <v>1</v>
      </c>
      <c r="F3401" s="25">
        <v>1600</v>
      </c>
      <c r="G3401" s="28">
        <f>IF(LEFT(D3401,6)="CLIENT",IF(E3401=0,WORKDAY(A3401-1,1,Dias_Sem_Compensacao!$A$2:$A$500),WORKDAY(A3401,E3401,Dias_Sem_Compensacao!$A$2:$A$500)),"")</f>
        <v>46328</v>
      </c>
      <c r="H3401" s="25">
        <v>0</v>
      </c>
      <c r="I3401" s="28">
        <v>46325</v>
      </c>
      <c r="J3401" t="s">
        <v>3278</v>
      </c>
      <c r="K3401" t="s">
        <v>3279</v>
      </c>
    </row>
    <row r="3402" spans="1:11" hidden="1">
      <c r="A3402" s="28">
        <v>46325</v>
      </c>
      <c r="B3402" t="s">
        <v>186</v>
      </c>
      <c r="C3402" t="s">
        <v>203</v>
      </c>
      <c r="D3402" t="s">
        <v>217</v>
      </c>
      <c r="E3402">
        <f>IF(LEFT(D3402,6)="CLIENT",IFERROR(VLOOKUP(C3402,Config_Carteiras!$A:$B,2,FALSE),1),"")</f>
        <v>1</v>
      </c>
      <c r="F3402" s="25">
        <v>660</v>
      </c>
      <c r="G3402" s="28">
        <f>IF(LEFT(D3402,6)="CLIENT",IF(E3402=0,WORKDAY(A3402-1,1,Dias_Sem_Compensacao!$A$2:$A$500),WORKDAY(A3402,E3402,Dias_Sem_Compensacao!$A$2:$A$500)),"")</f>
        <v>46328</v>
      </c>
      <c r="H3402" s="25">
        <v>0</v>
      </c>
      <c r="I3402" s="28">
        <v>46325</v>
      </c>
      <c r="J3402" t="s">
        <v>2859</v>
      </c>
      <c r="K3402" t="s">
        <v>2860</v>
      </c>
    </row>
    <row r="3403" spans="1:11" hidden="1">
      <c r="A3403" s="28">
        <v>46325</v>
      </c>
      <c r="B3403" t="s">
        <v>186</v>
      </c>
      <c r="C3403" t="s">
        <v>203</v>
      </c>
      <c r="D3403" t="s">
        <v>217</v>
      </c>
      <c r="E3403">
        <f>IF(LEFT(D3403,6)="CLIENT",IFERROR(VLOOKUP(C3403,Config_Carteiras!$A:$B,2,FALSE),1),"")</f>
        <v>1</v>
      </c>
      <c r="F3403" s="25">
        <v>1103.99</v>
      </c>
      <c r="G3403" s="28">
        <f>IF(LEFT(D3403,6)="CLIENT",IF(E3403=0,WORKDAY(A3403-1,1,Dias_Sem_Compensacao!$A$2:$A$500),WORKDAY(A3403,E3403,Dias_Sem_Compensacao!$A$2:$A$500)),"")</f>
        <v>46328</v>
      </c>
      <c r="H3403" s="25">
        <v>0</v>
      </c>
      <c r="I3403" s="28">
        <v>46325</v>
      </c>
      <c r="J3403" t="s">
        <v>2222</v>
      </c>
      <c r="K3403" t="s">
        <v>2861</v>
      </c>
    </row>
    <row r="3404" spans="1:11" hidden="1">
      <c r="A3404" s="28">
        <v>46325</v>
      </c>
      <c r="B3404" t="s">
        <v>186</v>
      </c>
      <c r="C3404" t="s">
        <v>203</v>
      </c>
      <c r="D3404" t="s">
        <v>217</v>
      </c>
      <c r="E3404">
        <f>IF(LEFT(D3404,6)="CLIENT",IFERROR(VLOOKUP(C3404,Config_Carteiras!$A:$B,2,FALSE),1),"")</f>
        <v>1</v>
      </c>
      <c r="F3404" s="25">
        <v>496</v>
      </c>
      <c r="G3404" s="28">
        <f>IF(LEFT(D3404,6)="CLIENT",IF(E3404=0,WORKDAY(A3404-1,1,Dias_Sem_Compensacao!$A$2:$A$500),WORKDAY(A3404,E3404,Dias_Sem_Compensacao!$A$2:$A$500)),"")</f>
        <v>46328</v>
      </c>
      <c r="H3404" s="25">
        <v>0</v>
      </c>
      <c r="I3404" s="28">
        <v>46325</v>
      </c>
      <c r="J3404" t="s">
        <v>2862</v>
      </c>
      <c r="K3404" t="s">
        <v>2863</v>
      </c>
    </row>
    <row r="3405" spans="1:11" hidden="1">
      <c r="A3405" s="28">
        <v>46325</v>
      </c>
      <c r="B3405" t="s">
        <v>186</v>
      </c>
      <c r="C3405" t="s">
        <v>203</v>
      </c>
      <c r="D3405" t="s">
        <v>217</v>
      </c>
      <c r="E3405">
        <f>IF(LEFT(D3405,6)="CLIENT",IFERROR(VLOOKUP(C3405,Config_Carteiras!$A:$B,2,FALSE),1),"")</f>
        <v>1</v>
      </c>
      <c r="F3405" s="25">
        <v>4382.8900000000003</v>
      </c>
      <c r="G3405" s="28">
        <f>IF(LEFT(D3405,6)="CLIENT",IF(E3405=0,WORKDAY(A3405-1,1,Dias_Sem_Compensacao!$A$2:$A$500),WORKDAY(A3405,E3405,Dias_Sem_Compensacao!$A$2:$A$500)),"")</f>
        <v>46328</v>
      </c>
      <c r="H3405" s="25">
        <v>0</v>
      </c>
      <c r="I3405" s="28">
        <v>46325</v>
      </c>
      <c r="J3405" t="s">
        <v>2864</v>
      </c>
      <c r="K3405" t="s">
        <v>2865</v>
      </c>
    </row>
    <row r="3406" spans="1:11" hidden="1">
      <c r="A3406" s="28">
        <v>46325</v>
      </c>
      <c r="B3406" t="s">
        <v>186</v>
      </c>
      <c r="C3406" t="s">
        <v>203</v>
      </c>
      <c r="D3406" t="s">
        <v>217</v>
      </c>
      <c r="E3406">
        <f>IF(LEFT(D3406,6)="CLIENT",IFERROR(VLOOKUP(C3406,Config_Carteiras!$A:$B,2,FALSE),1),"")</f>
        <v>1</v>
      </c>
      <c r="F3406" s="25">
        <v>5387.8</v>
      </c>
      <c r="G3406" s="28">
        <f>IF(LEFT(D3406,6)="CLIENT",IF(E3406=0,WORKDAY(A3406-1,1,Dias_Sem_Compensacao!$A$2:$A$500),WORKDAY(A3406,E3406,Dias_Sem_Compensacao!$A$2:$A$500)),"")</f>
        <v>46328</v>
      </c>
      <c r="H3406" s="25">
        <v>0</v>
      </c>
      <c r="I3406" s="28">
        <v>46325</v>
      </c>
      <c r="J3406" t="s">
        <v>2866</v>
      </c>
      <c r="K3406" t="s">
        <v>2867</v>
      </c>
    </row>
    <row r="3407" spans="1:11" hidden="1">
      <c r="A3407" s="28">
        <v>46325</v>
      </c>
      <c r="B3407" t="s">
        <v>186</v>
      </c>
      <c r="C3407" t="s">
        <v>203</v>
      </c>
      <c r="D3407" t="s">
        <v>217</v>
      </c>
      <c r="E3407">
        <f>IF(LEFT(D3407,6)="CLIENT",IFERROR(VLOOKUP(C3407,Config_Carteiras!$A:$B,2,FALSE),1),"")</f>
        <v>1</v>
      </c>
      <c r="F3407" s="25">
        <v>4887.37</v>
      </c>
      <c r="G3407" s="28">
        <f>IF(LEFT(D3407,6)="CLIENT",IF(E3407=0,WORKDAY(A3407-1,1,Dias_Sem_Compensacao!$A$2:$A$500),WORKDAY(A3407,E3407,Dias_Sem_Compensacao!$A$2:$A$500)),"")</f>
        <v>46328</v>
      </c>
      <c r="H3407" s="25">
        <v>0</v>
      </c>
      <c r="I3407" s="28">
        <v>46325</v>
      </c>
      <c r="J3407" t="s">
        <v>2868</v>
      </c>
      <c r="K3407" t="s">
        <v>2869</v>
      </c>
    </row>
    <row r="3408" spans="1:11" hidden="1">
      <c r="A3408" s="28">
        <v>46325</v>
      </c>
      <c r="B3408" t="s">
        <v>186</v>
      </c>
      <c r="C3408" t="s">
        <v>203</v>
      </c>
      <c r="D3408" t="s">
        <v>217</v>
      </c>
      <c r="E3408">
        <f>IF(LEFT(D3408,6)="CLIENT",IFERROR(VLOOKUP(C3408,Config_Carteiras!$A:$B,2,FALSE),1),"")</f>
        <v>1</v>
      </c>
      <c r="F3408" s="25">
        <v>814.43</v>
      </c>
      <c r="G3408" s="28">
        <f>IF(LEFT(D3408,6)="CLIENT",IF(E3408=0,WORKDAY(A3408-1,1,Dias_Sem_Compensacao!$A$2:$A$500),WORKDAY(A3408,E3408,Dias_Sem_Compensacao!$A$2:$A$500)),"")</f>
        <v>46328</v>
      </c>
      <c r="H3408" s="25">
        <v>0</v>
      </c>
      <c r="I3408" s="28">
        <v>46325</v>
      </c>
      <c r="J3408" t="s">
        <v>2870</v>
      </c>
      <c r="K3408" t="s">
        <v>2871</v>
      </c>
    </row>
    <row r="3409" spans="1:11" hidden="1">
      <c r="A3409" s="28">
        <v>46325</v>
      </c>
      <c r="B3409" t="s">
        <v>186</v>
      </c>
      <c r="C3409" t="s">
        <v>203</v>
      </c>
      <c r="D3409" t="s">
        <v>217</v>
      </c>
      <c r="E3409">
        <f>IF(LEFT(D3409,6)="CLIENT",IFERROR(VLOOKUP(C3409,Config_Carteiras!$A:$B,2,FALSE),1),"")</f>
        <v>1</v>
      </c>
      <c r="F3409" s="25">
        <v>1275</v>
      </c>
      <c r="G3409" s="28">
        <f>IF(LEFT(D3409,6)="CLIENT",IF(E3409=0,WORKDAY(A3409-1,1,Dias_Sem_Compensacao!$A$2:$A$500),WORKDAY(A3409,E3409,Dias_Sem_Compensacao!$A$2:$A$500)),"")</f>
        <v>46328</v>
      </c>
      <c r="H3409" s="25">
        <v>0</v>
      </c>
      <c r="I3409" s="28">
        <v>46325</v>
      </c>
      <c r="J3409" t="s">
        <v>2878</v>
      </c>
      <c r="K3409" t="s">
        <v>2879</v>
      </c>
    </row>
    <row r="3410" spans="1:11" hidden="1">
      <c r="A3410" s="28">
        <v>46325</v>
      </c>
      <c r="B3410" t="s">
        <v>186</v>
      </c>
      <c r="C3410" t="s">
        <v>203</v>
      </c>
      <c r="D3410" t="s">
        <v>217</v>
      </c>
      <c r="E3410">
        <f>IF(LEFT(D3410,6)="CLIENT",IFERROR(VLOOKUP(C3410,Config_Carteiras!$A:$B,2,FALSE),1),"")</f>
        <v>1</v>
      </c>
      <c r="F3410" s="25">
        <v>1292.1400000000001</v>
      </c>
      <c r="G3410" s="28">
        <f>IF(LEFT(D3410,6)="CLIENT",IF(E3410=0,WORKDAY(A3410-1,1,Dias_Sem_Compensacao!$A$2:$A$500),WORKDAY(A3410,E3410,Dias_Sem_Compensacao!$A$2:$A$500)),"")</f>
        <v>46328</v>
      </c>
      <c r="H3410" s="25">
        <v>0</v>
      </c>
      <c r="I3410" s="28">
        <v>46325</v>
      </c>
      <c r="J3410" t="s">
        <v>2885</v>
      </c>
      <c r="K3410" t="s">
        <v>2886</v>
      </c>
    </row>
    <row r="3411" spans="1:11" hidden="1">
      <c r="A3411" s="28">
        <v>46325</v>
      </c>
      <c r="B3411" t="s">
        <v>186</v>
      </c>
      <c r="C3411" t="s">
        <v>203</v>
      </c>
      <c r="D3411" t="s">
        <v>217</v>
      </c>
      <c r="E3411">
        <f>IF(LEFT(D3411,6)="CLIENT",IFERROR(VLOOKUP(C3411,Config_Carteiras!$A:$B,2,FALSE),1),"")</f>
        <v>1</v>
      </c>
      <c r="F3411" s="25">
        <v>627</v>
      </c>
      <c r="G3411" s="28">
        <f>IF(LEFT(D3411,6)="CLIENT",IF(E3411=0,WORKDAY(A3411-1,1,Dias_Sem_Compensacao!$A$2:$A$500),WORKDAY(A3411,E3411,Dias_Sem_Compensacao!$A$2:$A$500)),"")</f>
        <v>46328</v>
      </c>
      <c r="H3411" s="25">
        <v>0</v>
      </c>
      <c r="I3411" s="28">
        <v>46325</v>
      </c>
      <c r="J3411" t="s">
        <v>2893</v>
      </c>
      <c r="K3411" t="s">
        <v>2894</v>
      </c>
    </row>
    <row r="3412" spans="1:11" hidden="1">
      <c r="A3412" s="28">
        <v>46329</v>
      </c>
      <c r="B3412" t="s">
        <v>186</v>
      </c>
      <c r="C3412" t="s">
        <v>203</v>
      </c>
      <c r="D3412" t="s">
        <v>217</v>
      </c>
      <c r="E3412">
        <f>IF(LEFT(D3412,6)="CLIENT",IFERROR(VLOOKUP(C3412,Config_Carteiras!$A:$B,2,FALSE),1),"")</f>
        <v>1</v>
      </c>
      <c r="F3412" s="25">
        <v>1090</v>
      </c>
      <c r="G3412" s="28">
        <f>IF(LEFT(D3412,6)="CLIENT",IF(E3412=0,WORKDAY(A3412-1,1,Dias_Sem_Compensacao!$A$2:$A$500),WORKDAY(A3412,E3412,Dias_Sem_Compensacao!$A$2:$A$500)),"")</f>
        <v>46330</v>
      </c>
      <c r="H3412" s="25">
        <v>0</v>
      </c>
      <c r="I3412" s="28">
        <v>46329</v>
      </c>
      <c r="J3412" t="s">
        <v>3296</v>
      </c>
      <c r="K3412" t="s">
        <v>3297</v>
      </c>
    </row>
    <row r="3413" spans="1:11" hidden="1">
      <c r="A3413" s="28">
        <v>46329</v>
      </c>
      <c r="B3413" t="s">
        <v>186</v>
      </c>
      <c r="C3413" t="s">
        <v>203</v>
      </c>
      <c r="D3413" t="s">
        <v>217</v>
      </c>
      <c r="E3413">
        <f>IF(LEFT(D3413,6)="CLIENT",IFERROR(VLOOKUP(C3413,Config_Carteiras!$A:$B,2,FALSE),1),"")</f>
        <v>1</v>
      </c>
      <c r="F3413" s="25">
        <v>991</v>
      </c>
      <c r="G3413" s="28">
        <f>IF(LEFT(D3413,6)="CLIENT",IF(E3413=0,WORKDAY(A3413-1,1,Dias_Sem_Compensacao!$A$2:$A$500),WORKDAY(A3413,E3413,Dias_Sem_Compensacao!$A$2:$A$500)),"")</f>
        <v>46330</v>
      </c>
      <c r="H3413" s="25">
        <v>0</v>
      </c>
      <c r="I3413" s="28">
        <v>46329</v>
      </c>
      <c r="J3413" t="s">
        <v>3302</v>
      </c>
      <c r="K3413" t="s">
        <v>3303</v>
      </c>
    </row>
    <row r="3414" spans="1:11" hidden="1">
      <c r="A3414" s="28">
        <v>46329</v>
      </c>
      <c r="B3414" t="s">
        <v>186</v>
      </c>
      <c r="C3414" t="s">
        <v>203</v>
      </c>
      <c r="D3414" t="s">
        <v>217</v>
      </c>
      <c r="E3414">
        <f>IF(LEFT(D3414,6)="CLIENT",IFERROR(VLOOKUP(C3414,Config_Carteiras!$A:$B,2,FALSE),1),"")</f>
        <v>1</v>
      </c>
      <c r="F3414" s="25">
        <v>1173</v>
      </c>
      <c r="G3414" s="28">
        <f>IF(LEFT(D3414,6)="CLIENT",IF(E3414=0,WORKDAY(A3414-1,1,Dias_Sem_Compensacao!$A$2:$A$500),WORKDAY(A3414,E3414,Dias_Sem_Compensacao!$A$2:$A$500)),"")</f>
        <v>46330</v>
      </c>
      <c r="H3414" s="25">
        <v>0</v>
      </c>
      <c r="I3414" s="28">
        <v>46329</v>
      </c>
      <c r="K3414" t="s">
        <v>3304</v>
      </c>
    </row>
    <row r="3415" spans="1:11" hidden="1">
      <c r="A3415" s="28">
        <v>46329</v>
      </c>
      <c r="B3415" t="s">
        <v>186</v>
      </c>
      <c r="C3415" t="s">
        <v>203</v>
      </c>
      <c r="D3415" t="s">
        <v>217</v>
      </c>
      <c r="E3415">
        <f>IF(LEFT(D3415,6)="CLIENT",IFERROR(VLOOKUP(C3415,Config_Carteiras!$A:$B,2,FALSE),1),"")</f>
        <v>1</v>
      </c>
      <c r="F3415" s="25">
        <v>1143.45</v>
      </c>
      <c r="G3415" s="28">
        <f>IF(LEFT(D3415,6)="CLIENT",IF(E3415=0,WORKDAY(A3415-1,1,Dias_Sem_Compensacao!$A$2:$A$500),WORKDAY(A3415,E3415,Dias_Sem_Compensacao!$A$2:$A$500)),"")</f>
        <v>46330</v>
      </c>
      <c r="H3415" s="25">
        <v>0</v>
      </c>
      <c r="I3415" s="28">
        <v>46329</v>
      </c>
      <c r="J3415" t="s">
        <v>1940</v>
      </c>
      <c r="K3415" t="s">
        <v>3307</v>
      </c>
    </row>
    <row r="3416" spans="1:11" hidden="1">
      <c r="A3416" s="28">
        <v>46329</v>
      </c>
      <c r="B3416" t="s">
        <v>186</v>
      </c>
      <c r="C3416" t="s">
        <v>203</v>
      </c>
      <c r="D3416" t="s">
        <v>217</v>
      </c>
      <c r="E3416">
        <f>IF(LEFT(D3416,6)="CLIENT",IFERROR(VLOOKUP(C3416,Config_Carteiras!$A:$B,2,FALSE),1),"")</f>
        <v>1</v>
      </c>
      <c r="F3416" s="25">
        <v>5833</v>
      </c>
      <c r="G3416" s="28">
        <f>IF(LEFT(D3416,6)="CLIENT",IF(E3416=0,WORKDAY(A3416-1,1,Dias_Sem_Compensacao!$A$2:$A$500),WORKDAY(A3416,E3416,Dias_Sem_Compensacao!$A$2:$A$500)),"")</f>
        <v>46330</v>
      </c>
      <c r="H3416" s="25">
        <v>0</v>
      </c>
      <c r="I3416" s="28">
        <v>46329</v>
      </c>
      <c r="J3416" t="s">
        <v>1058</v>
      </c>
      <c r="K3416" t="s">
        <v>3385</v>
      </c>
    </row>
    <row r="3417" spans="1:11" hidden="1">
      <c r="A3417" s="28">
        <v>46329</v>
      </c>
      <c r="B3417" t="s">
        <v>186</v>
      </c>
      <c r="C3417" t="s">
        <v>203</v>
      </c>
      <c r="D3417" t="s">
        <v>217</v>
      </c>
      <c r="E3417">
        <f>IF(LEFT(D3417,6)="CLIENT",IFERROR(VLOOKUP(C3417,Config_Carteiras!$A:$B,2,FALSE),1),"")</f>
        <v>1</v>
      </c>
      <c r="F3417" s="25">
        <v>1047</v>
      </c>
      <c r="G3417" s="28">
        <f>IF(LEFT(D3417,6)="CLIENT",IF(E3417=0,WORKDAY(A3417-1,1,Dias_Sem_Compensacao!$A$2:$A$500),WORKDAY(A3417,E3417,Dias_Sem_Compensacao!$A$2:$A$500)),"")</f>
        <v>46330</v>
      </c>
      <c r="H3417" s="25">
        <v>0</v>
      </c>
      <c r="I3417" s="28">
        <v>46329</v>
      </c>
      <c r="J3417" t="s">
        <v>3437</v>
      </c>
      <c r="K3417" t="s">
        <v>3438</v>
      </c>
    </row>
    <row r="3418" spans="1:11" hidden="1">
      <c r="A3418" s="28">
        <v>46329</v>
      </c>
      <c r="B3418" t="s">
        <v>186</v>
      </c>
      <c r="C3418" t="s">
        <v>203</v>
      </c>
      <c r="D3418" t="s">
        <v>217</v>
      </c>
      <c r="E3418">
        <f>IF(LEFT(D3418,6)="CLIENT",IFERROR(VLOOKUP(C3418,Config_Carteiras!$A:$B,2,FALSE),1),"")</f>
        <v>1</v>
      </c>
      <c r="F3418" s="25">
        <v>1544.49</v>
      </c>
      <c r="G3418" s="28">
        <f>IF(LEFT(D3418,6)="CLIENT",IF(E3418=0,WORKDAY(A3418-1,1,Dias_Sem_Compensacao!$A$2:$A$500),WORKDAY(A3418,E3418,Dias_Sem_Compensacao!$A$2:$A$500)),"")</f>
        <v>46330</v>
      </c>
      <c r="H3418" s="25">
        <v>0</v>
      </c>
      <c r="I3418" s="28">
        <v>46329</v>
      </c>
      <c r="J3418" t="s">
        <v>3439</v>
      </c>
      <c r="K3418" t="s">
        <v>3440</v>
      </c>
    </row>
    <row r="3419" spans="1:11" hidden="1">
      <c r="A3419" s="28">
        <v>46329</v>
      </c>
      <c r="B3419" t="s">
        <v>186</v>
      </c>
      <c r="C3419" t="s">
        <v>203</v>
      </c>
      <c r="D3419" t="s">
        <v>217</v>
      </c>
      <c r="E3419">
        <f>IF(LEFT(D3419,6)="CLIENT",IFERROR(VLOOKUP(C3419,Config_Carteiras!$A:$B,2,FALSE),1),"")</f>
        <v>1</v>
      </c>
      <c r="F3419" s="25">
        <v>660.93</v>
      </c>
      <c r="G3419" s="28">
        <f>IF(LEFT(D3419,6)="CLIENT",IF(E3419=0,WORKDAY(A3419-1,1,Dias_Sem_Compensacao!$A$2:$A$500),WORKDAY(A3419,E3419,Dias_Sem_Compensacao!$A$2:$A$500)),"")</f>
        <v>46330</v>
      </c>
      <c r="H3419" s="25">
        <v>0</v>
      </c>
      <c r="I3419" s="28">
        <v>46329</v>
      </c>
      <c r="J3419" t="s">
        <v>2800</v>
      </c>
      <c r="K3419" t="s">
        <v>2801</v>
      </c>
    </row>
    <row r="3420" spans="1:11" hidden="1">
      <c r="A3420" s="28">
        <v>46329</v>
      </c>
      <c r="B3420" t="s">
        <v>186</v>
      </c>
      <c r="C3420" t="s">
        <v>203</v>
      </c>
      <c r="D3420" t="s">
        <v>217</v>
      </c>
      <c r="E3420">
        <f>IF(LEFT(D3420,6)="CLIENT",IFERROR(VLOOKUP(C3420,Config_Carteiras!$A:$B,2,FALSE),1),"")</f>
        <v>1</v>
      </c>
      <c r="F3420" s="25">
        <v>755.91</v>
      </c>
      <c r="G3420" s="28">
        <f>IF(LEFT(D3420,6)="CLIENT",IF(E3420=0,WORKDAY(A3420-1,1,Dias_Sem_Compensacao!$A$2:$A$500),WORKDAY(A3420,E3420,Dias_Sem_Compensacao!$A$2:$A$500)),"")</f>
        <v>46330</v>
      </c>
      <c r="H3420" s="25">
        <v>0</v>
      </c>
      <c r="I3420" s="28">
        <v>46329</v>
      </c>
      <c r="K3420" t="s">
        <v>2802</v>
      </c>
    </row>
    <row r="3421" spans="1:11" hidden="1">
      <c r="A3421" s="28">
        <v>46329</v>
      </c>
      <c r="B3421" t="s">
        <v>186</v>
      </c>
      <c r="C3421" t="s">
        <v>203</v>
      </c>
      <c r="D3421" t="s">
        <v>217</v>
      </c>
      <c r="E3421">
        <f>IF(LEFT(D3421,6)="CLIENT",IFERROR(VLOOKUP(C3421,Config_Carteiras!$A:$B,2,FALSE),1),"")</f>
        <v>1</v>
      </c>
      <c r="F3421" s="25">
        <v>838.11</v>
      </c>
      <c r="G3421" s="28">
        <f>IF(LEFT(D3421,6)="CLIENT",IF(E3421=0,WORKDAY(A3421-1,1,Dias_Sem_Compensacao!$A$2:$A$500),WORKDAY(A3421,E3421,Dias_Sem_Compensacao!$A$2:$A$500)),"")</f>
        <v>46330</v>
      </c>
      <c r="H3421" s="25">
        <v>0</v>
      </c>
      <c r="I3421" s="28">
        <v>46329</v>
      </c>
      <c r="K3421" t="s">
        <v>2803</v>
      </c>
    </row>
    <row r="3422" spans="1:11" hidden="1">
      <c r="A3422" s="28">
        <v>46329</v>
      </c>
      <c r="B3422" t="s">
        <v>186</v>
      </c>
      <c r="C3422" t="s">
        <v>203</v>
      </c>
      <c r="D3422" t="s">
        <v>217</v>
      </c>
      <c r="E3422">
        <f>IF(LEFT(D3422,6)="CLIENT",IFERROR(VLOOKUP(C3422,Config_Carteiras!$A:$B,2,FALSE),1),"")</f>
        <v>1</v>
      </c>
      <c r="F3422" s="25">
        <v>838.11</v>
      </c>
      <c r="G3422" s="28">
        <f>IF(LEFT(D3422,6)="CLIENT",IF(E3422=0,WORKDAY(A3422-1,1,Dias_Sem_Compensacao!$A$2:$A$500),WORKDAY(A3422,E3422,Dias_Sem_Compensacao!$A$2:$A$500)),"")</f>
        <v>46330</v>
      </c>
      <c r="H3422" s="25">
        <v>0</v>
      </c>
      <c r="I3422" s="28">
        <v>46329</v>
      </c>
      <c r="K3422" t="s">
        <v>2804</v>
      </c>
    </row>
    <row r="3423" spans="1:11" hidden="1">
      <c r="A3423" s="28">
        <v>46329</v>
      </c>
      <c r="B3423" t="s">
        <v>186</v>
      </c>
      <c r="C3423" t="s">
        <v>203</v>
      </c>
      <c r="D3423" t="s">
        <v>217</v>
      </c>
      <c r="E3423">
        <f>IF(LEFT(D3423,6)="CLIENT",IFERROR(VLOOKUP(C3423,Config_Carteiras!$A:$B,2,FALSE),1),"")</f>
        <v>1</v>
      </c>
      <c r="F3423" s="25">
        <v>891.53</v>
      </c>
      <c r="G3423" s="28">
        <f>IF(LEFT(D3423,6)="CLIENT",IF(E3423=0,WORKDAY(A3423-1,1,Dias_Sem_Compensacao!$A$2:$A$500),WORKDAY(A3423,E3423,Dias_Sem_Compensacao!$A$2:$A$500)),"")</f>
        <v>46330</v>
      </c>
      <c r="H3423" s="25">
        <v>0</v>
      </c>
      <c r="I3423" s="28">
        <v>46329</v>
      </c>
      <c r="J3423" t="s">
        <v>2896</v>
      </c>
      <c r="K3423" t="s">
        <v>2897</v>
      </c>
    </row>
    <row r="3424" spans="1:11" hidden="1">
      <c r="A3424" s="28">
        <v>46329</v>
      </c>
      <c r="B3424" t="s">
        <v>186</v>
      </c>
      <c r="C3424" t="s">
        <v>203</v>
      </c>
      <c r="D3424" t="s">
        <v>217</v>
      </c>
      <c r="E3424">
        <f>IF(LEFT(D3424,6)="CLIENT",IFERROR(VLOOKUP(C3424,Config_Carteiras!$A:$B,2,FALSE),1),"")</f>
        <v>1</v>
      </c>
      <c r="F3424" s="25">
        <v>2238</v>
      </c>
      <c r="G3424" s="28">
        <f>IF(LEFT(D3424,6)="CLIENT",IF(E3424=0,WORKDAY(A3424-1,1,Dias_Sem_Compensacao!$A$2:$A$500),WORKDAY(A3424,E3424,Dias_Sem_Compensacao!$A$2:$A$500)),"")</f>
        <v>46330</v>
      </c>
      <c r="H3424" s="25">
        <v>0</v>
      </c>
      <c r="I3424" s="28">
        <v>46329</v>
      </c>
      <c r="J3424" t="s">
        <v>3004</v>
      </c>
      <c r="K3424" t="s">
        <v>3005</v>
      </c>
    </row>
    <row r="3425" spans="1:11" hidden="1">
      <c r="A3425" s="28">
        <v>46329</v>
      </c>
      <c r="B3425" t="s">
        <v>186</v>
      </c>
      <c r="C3425" t="s">
        <v>203</v>
      </c>
      <c r="D3425" t="s">
        <v>217</v>
      </c>
      <c r="E3425">
        <f>IF(LEFT(D3425,6)="CLIENT",IFERROR(VLOOKUP(C3425,Config_Carteiras!$A:$B,2,FALSE),1),"")</f>
        <v>1</v>
      </c>
      <c r="F3425" s="25">
        <v>1276</v>
      </c>
      <c r="G3425" s="28">
        <f>IF(LEFT(D3425,6)="CLIENT",IF(E3425=0,WORKDAY(A3425-1,1,Dias_Sem_Compensacao!$A$2:$A$500),WORKDAY(A3425,E3425,Dias_Sem_Compensacao!$A$2:$A$500)),"")</f>
        <v>46330</v>
      </c>
      <c r="H3425" s="25">
        <v>0</v>
      </c>
      <c r="I3425" s="28">
        <v>46329</v>
      </c>
      <c r="J3425" t="s">
        <v>3386</v>
      </c>
      <c r="K3425" t="s">
        <v>3387</v>
      </c>
    </row>
    <row r="3426" spans="1:11" hidden="1">
      <c r="A3426" s="28">
        <v>46329</v>
      </c>
      <c r="B3426" t="s">
        <v>186</v>
      </c>
      <c r="C3426" t="s">
        <v>203</v>
      </c>
      <c r="D3426" t="s">
        <v>217</v>
      </c>
      <c r="E3426">
        <f>IF(LEFT(D3426,6)="CLIENT",IFERROR(VLOOKUP(C3426,Config_Carteiras!$A:$B,2,FALSE),1),"")</f>
        <v>1</v>
      </c>
      <c r="F3426" s="25">
        <v>2104</v>
      </c>
      <c r="G3426" s="28">
        <f>IF(LEFT(D3426,6)="CLIENT",IF(E3426=0,WORKDAY(A3426-1,1,Dias_Sem_Compensacao!$A$2:$A$500),WORKDAY(A3426,E3426,Dias_Sem_Compensacao!$A$2:$A$500)),"")</f>
        <v>46330</v>
      </c>
      <c r="H3426" s="25">
        <v>0</v>
      </c>
      <c r="I3426" s="28">
        <v>46329</v>
      </c>
      <c r="J3426" t="s">
        <v>3308</v>
      </c>
      <c r="K3426" t="s">
        <v>3309</v>
      </c>
    </row>
    <row r="3427" spans="1:11" hidden="1">
      <c r="A3427" s="28">
        <v>46329</v>
      </c>
      <c r="B3427" t="s">
        <v>186</v>
      </c>
      <c r="C3427" t="s">
        <v>203</v>
      </c>
      <c r="D3427" t="s">
        <v>217</v>
      </c>
      <c r="E3427">
        <f>IF(LEFT(D3427,6)="CLIENT",IFERROR(VLOOKUP(C3427,Config_Carteiras!$A:$B,2,FALSE),1),"")</f>
        <v>1</v>
      </c>
      <c r="F3427" s="25">
        <v>18970</v>
      </c>
      <c r="G3427" s="28">
        <f>IF(LEFT(D3427,6)="CLIENT",IF(E3427=0,WORKDAY(A3427-1,1,Dias_Sem_Compensacao!$A$2:$A$500),WORKDAY(A3427,E3427,Dias_Sem_Compensacao!$A$2:$A$500)),"")</f>
        <v>46330</v>
      </c>
      <c r="H3427" s="25">
        <v>0</v>
      </c>
      <c r="I3427" s="28">
        <v>46329</v>
      </c>
      <c r="J3427" t="s">
        <v>3310</v>
      </c>
      <c r="K3427" t="s">
        <v>3311</v>
      </c>
    </row>
    <row r="3428" spans="1:11" hidden="1">
      <c r="A3428" s="28">
        <v>46329</v>
      </c>
      <c r="B3428" t="s">
        <v>186</v>
      </c>
      <c r="C3428" t="s">
        <v>203</v>
      </c>
      <c r="D3428" t="s">
        <v>217</v>
      </c>
      <c r="E3428">
        <f>IF(LEFT(D3428,6)="CLIENT",IFERROR(VLOOKUP(C3428,Config_Carteiras!$A:$B,2,FALSE),1),"")</f>
        <v>1</v>
      </c>
      <c r="F3428" s="25">
        <v>552.74</v>
      </c>
      <c r="G3428" s="28">
        <f>IF(LEFT(D3428,6)="CLIENT",IF(E3428=0,WORKDAY(A3428-1,1,Dias_Sem_Compensacao!$A$2:$A$500),WORKDAY(A3428,E3428,Dias_Sem_Compensacao!$A$2:$A$500)),"")</f>
        <v>46330</v>
      </c>
      <c r="H3428" s="25">
        <v>0</v>
      </c>
      <c r="I3428" s="28">
        <v>46329</v>
      </c>
      <c r="J3428" t="s">
        <v>1463</v>
      </c>
      <c r="K3428" t="s">
        <v>3312</v>
      </c>
    </row>
    <row r="3429" spans="1:11" hidden="1">
      <c r="A3429" s="28">
        <v>46329</v>
      </c>
      <c r="B3429" t="s">
        <v>186</v>
      </c>
      <c r="C3429" t="s">
        <v>203</v>
      </c>
      <c r="D3429" t="s">
        <v>217</v>
      </c>
      <c r="E3429">
        <f>IF(LEFT(D3429,6)="CLIENT",IFERROR(VLOOKUP(C3429,Config_Carteiras!$A:$B,2,FALSE),1),"")</f>
        <v>1</v>
      </c>
      <c r="F3429" s="25">
        <v>3120</v>
      </c>
      <c r="G3429" s="28">
        <f>IF(LEFT(D3429,6)="CLIENT",IF(E3429=0,WORKDAY(A3429-1,1,Dias_Sem_Compensacao!$A$2:$A$500),WORKDAY(A3429,E3429,Dias_Sem_Compensacao!$A$2:$A$500)),"")</f>
        <v>46330</v>
      </c>
      <c r="H3429" s="25">
        <v>0</v>
      </c>
      <c r="I3429" s="28">
        <v>46329</v>
      </c>
      <c r="J3429" t="s">
        <v>387</v>
      </c>
      <c r="K3429" t="s">
        <v>2898</v>
      </c>
    </row>
    <row r="3430" spans="1:11" hidden="1">
      <c r="A3430" s="28">
        <v>46329</v>
      </c>
      <c r="B3430" t="s">
        <v>186</v>
      </c>
      <c r="C3430" t="s">
        <v>203</v>
      </c>
      <c r="D3430" t="s">
        <v>217</v>
      </c>
      <c r="E3430">
        <f>IF(LEFT(D3430,6)="CLIENT",IFERROR(VLOOKUP(C3430,Config_Carteiras!$A:$B,2,FALSE),1),"")</f>
        <v>1</v>
      </c>
      <c r="F3430" s="25">
        <v>979</v>
      </c>
      <c r="G3430" s="28">
        <f>IF(LEFT(D3430,6)="CLIENT",IF(E3430=0,WORKDAY(A3430-1,1,Dias_Sem_Compensacao!$A$2:$A$500),WORKDAY(A3430,E3430,Dias_Sem_Compensacao!$A$2:$A$500)),"")</f>
        <v>46330</v>
      </c>
      <c r="H3430" s="25">
        <v>0</v>
      </c>
      <c r="I3430" s="28">
        <v>46329</v>
      </c>
      <c r="J3430" t="s">
        <v>3313</v>
      </c>
      <c r="K3430" t="s">
        <v>3314</v>
      </c>
    </row>
    <row r="3431" spans="1:11" hidden="1">
      <c r="A3431" s="28">
        <v>46329</v>
      </c>
      <c r="B3431" t="s">
        <v>186</v>
      </c>
      <c r="C3431" t="s">
        <v>203</v>
      </c>
      <c r="D3431" t="s">
        <v>217</v>
      </c>
      <c r="E3431">
        <f>IF(LEFT(D3431,6)="CLIENT",IFERROR(VLOOKUP(C3431,Config_Carteiras!$A:$B,2,FALSE),1),"")</f>
        <v>1</v>
      </c>
      <c r="F3431" s="25">
        <v>2470.7199999999998</v>
      </c>
      <c r="G3431" s="28">
        <f>IF(LEFT(D3431,6)="CLIENT",IF(E3431=0,WORKDAY(A3431-1,1,Dias_Sem_Compensacao!$A$2:$A$500),WORKDAY(A3431,E3431,Dias_Sem_Compensacao!$A$2:$A$500)),"")</f>
        <v>46330</v>
      </c>
      <c r="H3431" s="25">
        <v>0</v>
      </c>
      <c r="I3431" s="28">
        <v>46329</v>
      </c>
      <c r="J3431" t="s">
        <v>3315</v>
      </c>
      <c r="K3431" t="s">
        <v>3316</v>
      </c>
    </row>
    <row r="3432" spans="1:11" hidden="1">
      <c r="A3432" s="28">
        <v>46329</v>
      </c>
      <c r="B3432" t="s">
        <v>186</v>
      </c>
      <c r="C3432" t="s">
        <v>203</v>
      </c>
      <c r="D3432" t="s">
        <v>217</v>
      </c>
      <c r="E3432">
        <f>IF(LEFT(D3432,6)="CLIENT",IFERROR(VLOOKUP(C3432,Config_Carteiras!$A:$B,2,FALSE),1),"")</f>
        <v>1</v>
      </c>
      <c r="F3432" s="25">
        <v>2337</v>
      </c>
      <c r="G3432" s="28">
        <f>IF(LEFT(D3432,6)="CLIENT",IF(E3432=0,WORKDAY(A3432-1,1,Dias_Sem_Compensacao!$A$2:$A$500),WORKDAY(A3432,E3432,Dias_Sem_Compensacao!$A$2:$A$500)),"")</f>
        <v>46330</v>
      </c>
      <c r="H3432" s="25">
        <v>0</v>
      </c>
      <c r="I3432" s="28">
        <v>46329</v>
      </c>
      <c r="J3432" t="s">
        <v>2381</v>
      </c>
      <c r="K3432" t="s">
        <v>2382</v>
      </c>
    </row>
    <row r="3433" spans="1:11" hidden="1">
      <c r="A3433" s="28">
        <v>46329</v>
      </c>
      <c r="B3433" t="s">
        <v>186</v>
      </c>
      <c r="C3433" t="s">
        <v>203</v>
      </c>
      <c r="D3433" t="s">
        <v>217</v>
      </c>
      <c r="E3433">
        <f>IF(LEFT(D3433,6)="CLIENT",IFERROR(VLOOKUP(C3433,Config_Carteiras!$A:$B,2,FALSE),1),"")</f>
        <v>1</v>
      </c>
      <c r="F3433" s="25">
        <v>3453</v>
      </c>
      <c r="G3433" s="28">
        <f>IF(LEFT(D3433,6)="CLIENT",IF(E3433=0,WORKDAY(A3433-1,1,Dias_Sem_Compensacao!$A$2:$A$500),WORKDAY(A3433,E3433,Dias_Sem_Compensacao!$A$2:$A$500)),"")</f>
        <v>46330</v>
      </c>
      <c r="H3433" s="25">
        <v>0</v>
      </c>
      <c r="I3433" s="28">
        <v>46329</v>
      </c>
      <c r="J3433" t="s">
        <v>3441</v>
      </c>
      <c r="K3433" t="s">
        <v>3442</v>
      </c>
    </row>
    <row r="3434" spans="1:11" hidden="1">
      <c r="A3434" s="28">
        <v>46329</v>
      </c>
      <c r="B3434" t="s">
        <v>186</v>
      </c>
      <c r="C3434" t="s">
        <v>203</v>
      </c>
      <c r="D3434" t="s">
        <v>217</v>
      </c>
      <c r="E3434">
        <f>IF(LEFT(D3434,6)="CLIENT",IFERROR(VLOOKUP(C3434,Config_Carteiras!$A:$B,2,FALSE),1),"")</f>
        <v>1</v>
      </c>
      <c r="F3434" s="25">
        <v>342</v>
      </c>
      <c r="G3434" s="28">
        <f>IF(LEFT(D3434,6)="CLIENT",IF(E3434=0,WORKDAY(A3434-1,1,Dias_Sem_Compensacao!$A$2:$A$500),WORKDAY(A3434,E3434,Dias_Sem_Compensacao!$A$2:$A$500)),"")</f>
        <v>46330</v>
      </c>
      <c r="H3434" s="25">
        <v>0</v>
      </c>
      <c r="I3434" s="28">
        <v>46329</v>
      </c>
      <c r="J3434" t="s">
        <v>2391</v>
      </c>
      <c r="K3434" t="s">
        <v>2392</v>
      </c>
    </row>
    <row r="3435" spans="1:11" hidden="1">
      <c r="A3435" s="28">
        <v>46329</v>
      </c>
      <c r="B3435" t="s">
        <v>186</v>
      </c>
      <c r="C3435" t="s">
        <v>203</v>
      </c>
      <c r="D3435" t="s">
        <v>217</v>
      </c>
      <c r="E3435">
        <f>IF(LEFT(D3435,6)="CLIENT",IFERROR(VLOOKUP(C3435,Config_Carteiras!$A:$B,2,FALSE),1),"")</f>
        <v>1</v>
      </c>
      <c r="F3435" s="25">
        <v>854.55</v>
      </c>
      <c r="G3435" s="28">
        <f>IF(LEFT(D3435,6)="CLIENT",IF(E3435=0,WORKDAY(A3435-1,1,Dias_Sem_Compensacao!$A$2:$A$500),WORKDAY(A3435,E3435,Dias_Sem_Compensacao!$A$2:$A$500)),"")</f>
        <v>46330</v>
      </c>
      <c r="H3435" s="25">
        <v>0</v>
      </c>
      <c r="I3435" s="28">
        <v>46329</v>
      </c>
      <c r="J3435" t="s">
        <v>2908</v>
      </c>
      <c r="K3435" t="s">
        <v>2909</v>
      </c>
    </row>
    <row r="3436" spans="1:11" hidden="1">
      <c r="A3436" s="28">
        <v>46329</v>
      </c>
      <c r="B3436" t="s">
        <v>186</v>
      </c>
      <c r="C3436" t="s">
        <v>203</v>
      </c>
      <c r="D3436" t="s">
        <v>217</v>
      </c>
      <c r="E3436">
        <f>IF(LEFT(D3436,6)="CLIENT",IFERROR(VLOOKUP(C3436,Config_Carteiras!$A:$B,2,FALSE),1),"")</f>
        <v>1</v>
      </c>
      <c r="F3436" s="25">
        <v>994.97</v>
      </c>
      <c r="G3436" s="28">
        <f>IF(LEFT(D3436,6)="CLIENT",IF(E3436=0,WORKDAY(A3436-1,1,Dias_Sem_Compensacao!$A$2:$A$500),WORKDAY(A3436,E3436,Dias_Sem_Compensacao!$A$2:$A$500)),"")</f>
        <v>46330</v>
      </c>
      <c r="H3436" s="25">
        <v>0</v>
      </c>
      <c r="I3436" s="28">
        <v>46329</v>
      </c>
      <c r="J3436" t="s">
        <v>2910</v>
      </c>
      <c r="K3436" t="s">
        <v>2911</v>
      </c>
    </row>
    <row r="3437" spans="1:11" hidden="1">
      <c r="A3437" s="28">
        <v>46329</v>
      </c>
      <c r="B3437" t="s">
        <v>186</v>
      </c>
      <c r="C3437" t="s">
        <v>203</v>
      </c>
      <c r="D3437" t="s">
        <v>217</v>
      </c>
      <c r="E3437">
        <f>IF(LEFT(D3437,6)="CLIENT",IFERROR(VLOOKUP(C3437,Config_Carteiras!$A:$B,2,FALSE),1),"")</f>
        <v>1</v>
      </c>
      <c r="F3437" s="25">
        <v>1278</v>
      </c>
      <c r="G3437" s="28">
        <f>IF(LEFT(D3437,6)="CLIENT",IF(E3437=0,WORKDAY(A3437-1,1,Dias_Sem_Compensacao!$A$2:$A$500),WORKDAY(A3437,E3437,Dias_Sem_Compensacao!$A$2:$A$500)),"")</f>
        <v>46330</v>
      </c>
      <c r="H3437" s="25">
        <v>0</v>
      </c>
      <c r="I3437" s="28">
        <v>46329</v>
      </c>
      <c r="J3437" t="s">
        <v>2697</v>
      </c>
      <c r="K3437" t="s">
        <v>3390</v>
      </c>
    </row>
    <row r="3438" spans="1:11" hidden="1">
      <c r="A3438" s="28">
        <v>46329</v>
      </c>
      <c r="B3438" t="s">
        <v>186</v>
      </c>
      <c r="C3438" t="s">
        <v>203</v>
      </c>
      <c r="D3438" t="s">
        <v>217</v>
      </c>
      <c r="E3438">
        <f>IF(LEFT(D3438,6)="CLIENT",IFERROR(VLOOKUP(C3438,Config_Carteiras!$A:$B,2,FALSE),1),"")</f>
        <v>1</v>
      </c>
      <c r="F3438" s="25">
        <v>1299.45</v>
      </c>
      <c r="G3438" s="28">
        <f>IF(LEFT(D3438,6)="CLIENT",IF(E3438=0,WORKDAY(A3438-1,1,Dias_Sem_Compensacao!$A$2:$A$500),WORKDAY(A3438,E3438,Dias_Sem_Compensacao!$A$2:$A$500)),"")</f>
        <v>46330</v>
      </c>
      <c r="H3438" s="25">
        <v>0</v>
      </c>
      <c r="I3438" s="28">
        <v>46329</v>
      </c>
      <c r="J3438" t="s">
        <v>1164</v>
      </c>
      <c r="K3438" t="s">
        <v>2921</v>
      </c>
    </row>
    <row r="3439" spans="1:11" hidden="1">
      <c r="A3439" s="28">
        <v>46329</v>
      </c>
      <c r="B3439" t="s">
        <v>186</v>
      </c>
      <c r="C3439" t="s">
        <v>203</v>
      </c>
      <c r="D3439" t="s">
        <v>217</v>
      </c>
      <c r="E3439">
        <f>IF(LEFT(D3439,6)="CLIENT",IFERROR(VLOOKUP(C3439,Config_Carteiras!$A:$B,2,FALSE),1),"")</f>
        <v>1</v>
      </c>
      <c r="F3439" s="25">
        <v>1088.5</v>
      </c>
      <c r="G3439" s="28">
        <f>IF(LEFT(D3439,6)="CLIENT",IF(E3439=0,WORKDAY(A3439-1,1,Dias_Sem_Compensacao!$A$2:$A$500),WORKDAY(A3439,E3439,Dias_Sem_Compensacao!$A$2:$A$500)),"")</f>
        <v>46330</v>
      </c>
      <c r="H3439" s="25">
        <v>0</v>
      </c>
      <c r="I3439" s="28">
        <v>46329</v>
      </c>
      <c r="J3439" t="s">
        <v>2922</v>
      </c>
      <c r="K3439" t="s">
        <v>2923</v>
      </c>
    </row>
    <row r="3440" spans="1:11" hidden="1">
      <c r="A3440" s="28">
        <v>46329</v>
      </c>
      <c r="B3440" t="s">
        <v>186</v>
      </c>
      <c r="C3440" t="s">
        <v>203</v>
      </c>
      <c r="D3440" t="s">
        <v>217</v>
      </c>
      <c r="E3440">
        <f>IF(LEFT(D3440,6)="CLIENT",IFERROR(VLOOKUP(C3440,Config_Carteiras!$A:$B,2,FALSE),1),"")</f>
        <v>1</v>
      </c>
      <c r="F3440" s="25">
        <v>659</v>
      </c>
      <c r="G3440" s="28">
        <f>IF(LEFT(D3440,6)="CLIENT",IF(E3440=0,WORKDAY(A3440-1,1,Dias_Sem_Compensacao!$A$2:$A$500),WORKDAY(A3440,E3440,Dias_Sem_Compensacao!$A$2:$A$500)),"")</f>
        <v>46330</v>
      </c>
      <c r="H3440" s="25">
        <v>0</v>
      </c>
      <c r="I3440" s="28">
        <v>46329</v>
      </c>
      <c r="J3440" t="s">
        <v>3443</v>
      </c>
      <c r="K3440" t="s">
        <v>3444</v>
      </c>
    </row>
    <row r="3441" spans="1:11" hidden="1">
      <c r="A3441" s="28">
        <v>46329</v>
      </c>
      <c r="B3441" t="s">
        <v>186</v>
      </c>
      <c r="C3441" t="s">
        <v>203</v>
      </c>
      <c r="D3441" t="s">
        <v>217</v>
      </c>
      <c r="E3441">
        <f>IF(LEFT(D3441,6)="CLIENT",IFERROR(VLOOKUP(C3441,Config_Carteiras!$A:$B,2,FALSE),1),"")</f>
        <v>1</v>
      </c>
      <c r="F3441" s="25">
        <v>379.64</v>
      </c>
      <c r="G3441" s="28">
        <f>IF(LEFT(D3441,6)="CLIENT",IF(E3441=0,WORKDAY(A3441-1,1,Dias_Sem_Compensacao!$A$2:$A$500),WORKDAY(A3441,E3441,Dias_Sem_Compensacao!$A$2:$A$500)),"")</f>
        <v>46330</v>
      </c>
      <c r="H3441" s="25">
        <v>0</v>
      </c>
      <c r="I3441" s="28">
        <v>46329</v>
      </c>
      <c r="J3441" t="s">
        <v>3018</v>
      </c>
      <c r="K3441" t="s">
        <v>3019</v>
      </c>
    </row>
    <row r="3442" spans="1:11" hidden="1">
      <c r="A3442" s="28">
        <v>46329</v>
      </c>
      <c r="B3442" t="s">
        <v>186</v>
      </c>
      <c r="C3442" t="s">
        <v>203</v>
      </c>
      <c r="D3442" t="s">
        <v>217</v>
      </c>
      <c r="E3442">
        <f>IF(LEFT(D3442,6)="CLIENT",IFERROR(VLOOKUP(C3442,Config_Carteiras!$A:$B,2,FALSE),1),"")</f>
        <v>1</v>
      </c>
      <c r="F3442" s="25">
        <v>844.41</v>
      </c>
      <c r="G3442" s="28">
        <f>IF(LEFT(D3442,6)="CLIENT",IF(E3442=0,WORKDAY(A3442-1,1,Dias_Sem_Compensacao!$A$2:$A$500),WORKDAY(A3442,E3442,Dias_Sem_Compensacao!$A$2:$A$500)),"")</f>
        <v>46330</v>
      </c>
      <c r="H3442" s="25">
        <v>0</v>
      </c>
      <c r="I3442" s="28">
        <v>46329</v>
      </c>
      <c r="J3442" t="s">
        <v>1489</v>
      </c>
      <c r="K3442" t="s">
        <v>2924</v>
      </c>
    </row>
    <row r="3443" spans="1:11" hidden="1">
      <c r="A3443" s="28">
        <v>46329</v>
      </c>
      <c r="B3443" t="s">
        <v>186</v>
      </c>
      <c r="C3443" t="s">
        <v>203</v>
      </c>
      <c r="D3443" t="s">
        <v>217</v>
      </c>
      <c r="E3443">
        <f>IF(LEFT(D3443,6)="CLIENT",IFERROR(VLOOKUP(C3443,Config_Carteiras!$A:$B,2,FALSE),1),"")</f>
        <v>1</v>
      </c>
      <c r="F3443" s="25">
        <v>1446</v>
      </c>
      <c r="G3443" s="28">
        <f>IF(LEFT(D3443,6)="CLIENT",IF(E3443=0,WORKDAY(A3443-1,1,Dias_Sem_Compensacao!$A$2:$A$500),WORKDAY(A3443,E3443,Dias_Sem_Compensacao!$A$2:$A$500)),"")</f>
        <v>46330</v>
      </c>
      <c r="H3443" s="25">
        <v>0</v>
      </c>
      <c r="I3443" s="28">
        <v>46329</v>
      </c>
      <c r="J3443" t="s">
        <v>3020</v>
      </c>
      <c r="K3443" t="s">
        <v>3021</v>
      </c>
    </row>
    <row r="3444" spans="1:11" hidden="1">
      <c r="A3444" s="28">
        <v>46329</v>
      </c>
      <c r="B3444" t="s">
        <v>186</v>
      </c>
      <c r="C3444" t="s">
        <v>203</v>
      </c>
      <c r="D3444" t="s">
        <v>217</v>
      </c>
      <c r="E3444">
        <f>IF(LEFT(D3444,6)="CLIENT",IFERROR(VLOOKUP(C3444,Config_Carteiras!$A:$B,2,FALSE),1),"")</f>
        <v>1</v>
      </c>
      <c r="F3444" s="25">
        <v>901.48</v>
      </c>
      <c r="G3444" s="28">
        <f>IF(LEFT(D3444,6)="CLIENT",IF(E3444=0,WORKDAY(A3444-1,1,Dias_Sem_Compensacao!$A$2:$A$500),WORKDAY(A3444,E3444,Dias_Sem_Compensacao!$A$2:$A$500)),"")</f>
        <v>46330</v>
      </c>
      <c r="H3444" s="25">
        <v>0</v>
      </c>
      <c r="I3444" s="28">
        <v>46329</v>
      </c>
      <c r="J3444" t="s">
        <v>2925</v>
      </c>
      <c r="K3444" t="s">
        <v>2926</v>
      </c>
    </row>
    <row r="3445" spans="1:11" hidden="1">
      <c r="A3445" s="28">
        <v>46329</v>
      </c>
      <c r="B3445" t="s">
        <v>186</v>
      </c>
      <c r="C3445" t="s">
        <v>203</v>
      </c>
      <c r="D3445" t="s">
        <v>217</v>
      </c>
      <c r="E3445">
        <f>IF(LEFT(D3445,6)="CLIENT",IFERROR(VLOOKUP(C3445,Config_Carteiras!$A:$B,2,FALSE),1),"")</f>
        <v>1</v>
      </c>
      <c r="F3445" s="25">
        <v>772.74</v>
      </c>
      <c r="G3445" s="28">
        <f>IF(LEFT(D3445,6)="CLIENT",IF(E3445=0,WORKDAY(A3445-1,1,Dias_Sem_Compensacao!$A$2:$A$500),WORKDAY(A3445,E3445,Dias_Sem_Compensacao!$A$2:$A$500)),"")</f>
        <v>46330</v>
      </c>
      <c r="H3445" s="25">
        <v>0</v>
      </c>
      <c r="I3445" s="28">
        <v>46329</v>
      </c>
      <c r="J3445" t="s">
        <v>2412</v>
      </c>
      <c r="K3445" t="s">
        <v>2413</v>
      </c>
    </row>
    <row r="3446" spans="1:11" hidden="1">
      <c r="A3446" s="28">
        <v>46329</v>
      </c>
      <c r="B3446" t="s">
        <v>186</v>
      </c>
      <c r="C3446" t="s">
        <v>203</v>
      </c>
      <c r="D3446" t="s">
        <v>217</v>
      </c>
      <c r="E3446">
        <f>IF(LEFT(D3446,6)="CLIENT",IFERROR(VLOOKUP(C3446,Config_Carteiras!$A:$B,2,FALSE),1),"")</f>
        <v>1</v>
      </c>
      <c r="F3446" s="25">
        <v>2477</v>
      </c>
      <c r="G3446" s="28">
        <f>IF(LEFT(D3446,6)="CLIENT",IF(E3446=0,WORKDAY(A3446-1,1,Dias_Sem_Compensacao!$A$2:$A$500),WORKDAY(A3446,E3446,Dias_Sem_Compensacao!$A$2:$A$500)),"")</f>
        <v>46330</v>
      </c>
      <c r="H3446" s="25">
        <v>0</v>
      </c>
      <c r="I3446" s="28">
        <v>46329</v>
      </c>
      <c r="J3446" t="s">
        <v>1344</v>
      </c>
      <c r="K3446" t="s">
        <v>3327</v>
      </c>
    </row>
    <row r="3447" spans="1:11" hidden="1">
      <c r="A3447" s="28">
        <v>46329</v>
      </c>
      <c r="B3447" t="s">
        <v>186</v>
      </c>
      <c r="C3447" t="s">
        <v>203</v>
      </c>
      <c r="D3447" t="s">
        <v>217</v>
      </c>
      <c r="E3447">
        <f>IF(LEFT(D3447,6)="CLIENT",IFERROR(VLOOKUP(C3447,Config_Carteiras!$A:$B,2,FALSE),1),"")</f>
        <v>1</v>
      </c>
      <c r="F3447" s="25">
        <v>1626</v>
      </c>
      <c r="G3447" s="28">
        <f>IF(LEFT(D3447,6)="CLIENT",IF(E3447=0,WORKDAY(A3447-1,1,Dias_Sem_Compensacao!$A$2:$A$500),WORKDAY(A3447,E3447,Dias_Sem_Compensacao!$A$2:$A$500)),"")</f>
        <v>46330</v>
      </c>
      <c r="H3447" s="25">
        <v>0</v>
      </c>
      <c r="I3447" s="28">
        <v>46329</v>
      </c>
      <c r="K3447" t="s">
        <v>3328</v>
      </c>
    </row>
    <row r="3448" spans="1:11" hidden="1">
      <c r="A3448" s="28">
        <v>46329</v>
      </c>
      <c r="B3448" t="s">
        <v>186</v>
      </c>
      <c r="C3448" t="s">
        <v>203</v>
      </c>
      <c r="D3448" t="s">
        <v>217</v>
      </c>
      <c r="E3448">
        <f>IF(LEFT(D3448,6)="CLIENT",IFERROR(VLOOKUP(C3448,Config_Carteiras!$A:$B,2,FALSE),1),"")</f>
        <v>1</v>
      </c>
      <c r="F3448" s="25">
        <v>974.73</v>
      </c>
      <c r="G3448" s="28">
        <f>IF(LEFT(D3448,6)="CLIENT",IF(E3448=0,WORKDAY(A3448-1,1,Dias_Sem_Compensacao!$A$2:$A$500),WORKDAY(A3448,E3448,Dias_Sem_Compensacao!$A$2:$A$500)),"")</f>
        <v>46330</v>
      </c>
      <c r="H3448" s="25">
        <v>0</v>
      </c>
      <c r="I3448" s="28">
        <v>46329</v>
      </c>
      <c r="J3448" t="s">
        <v>3022</v>
      </c>
      <c r="K3448" t="s">
        <v>3023</v>
      </c>
    </row>
    <row r="3449" spans="1:11" hidden="1">
      <c r="A3449" s="28">
        <v>46329</v>
      </c>
      <c r="B3449" t="s">
        <v>186</v>
      </c>
      <c r="C3449" t="s">
        <v>203</v>
      </c>
      <c r="D3449" t="s">
        <v>217</v>
      </c>
      <c r="E3449">
        <f>IF(LEFT(D3449,6)="CLIENT",IFERROR(VLOOKUP(C3449,Config_Carteiras!$A:$B,2,FALSE),1),"")</f>
        <v>1</v>
      </c>
      <c r="F3449" s="25">
        <v>1363</v>
      </c>
      <c r="G3449" s="28">
        <f>IF(LEFT(D3449,6)="CLIENT",IF(E3449=0,WORKDAY(A3449-1,1,Dias_Sem_Compensacao!$A$2:$A$500),WORKDAY(A3449,E3449,Dias_Sem_Compensacao!$A$2:$A$500)),"")</f>
        <v>46330</v>
      </c>
      <c r="H3449" s="25">
        <v>0</v>
      </c>
      <c r="I3449" s="28">
        <v>46329</v>
      </c>
      <c r="J3449" t="s">
        <v>3239</v>
      </c>
      <c r="K3449" t="s">
        <v>3329</v>
      </c>
    </row>
    <row r="3450" spans="1:11" hidden="1">
      <c r="A3450" s="28">
        <v>46329</v>
      </c>
      <c r="B3450" t="s">
        <v>186</v>
      </c>
      <c r="C3450" t="s">
        <v>203</v>
      </c>
      <c r="D3450" t="s">
        <v>217</v>
      </c>
      <c r="E3450">
        <f>IF(LEFT(D3450,6)="CLIENT",IFERROR(VLOOKUP(C3450,Config_Carteiras!$A:$B,2,FALSE),1),"")</f>
        <v>1</v>
      </c>
      <c r="F3450" s="25">
        <v>1319</v>
      </c>
      <c r="G3450" s="28">
        <f>IF(LEFT(D3450,6)="CLIENT",IF(E3450=0,WORKDAY(A3450-1,1,Dias_Sem_Compensacao!$A$2:$A$500),WORKDAY(A3450,E3450,Dias_Sem_Compensacao!$A$2:$A$500)),"")</f>
        <v>46330</v>
      </c>
      <c r="H3450" s="25">
        <v>0</v>
      </c>
      <c r="I3450" s="28">
        <v>46329</v>
      </c>
      <c r="J3450" t="s">
        <v>3330</v>
      </c>
      <c r="K3450" t="s">
        <v>3331</v>
      </c>
    </row>
    <row r="3451" spans="1:11" hidden="1">
      <c r="A3451" s="28">
        <v>46329</v>
      </c>
      <c r="B3451" t="s">
        <v>186</v>
      </c>
      <c r="C3451" t="s">
        <v>203</v>
      </c>
      <c r="D3451" t="s">
        <v>217</v>
      </c>
      <c r="E3451">
        <f>IF(LEFT(D3451,6)="CLIENT",IFERROR(VLOOKUP(C3451,Config_Carteiras!$A:$B,2,FALSE),1),"")</f>
        <v>1</v>
      </c>
      <c r="F3451" s="25">
        <v>639</v>
      </c>
      <c r="G3451" s="28">
        <f>IF(LEFT(D3451,6)="CLIENT",IF(E3451=0,WORKDAY(A3451-1,1,Dias_Sem_Compensacao!$A$2:$A$500),WORKDAY(A3451,E3451,Dias_Sem_Compensacao!$A$2:$A$500)),"")</f>
        <v>46330</v>
      </c>
      <c r="H3451" s="25">
        <v>0</v>
      </c>
      <c r="I3451" s="28">
        <v>46329</v>
      </c>
      <c r="J3451" t="s">
        <v>401</v>
      </c>
      <c r="K3451" t="s">
        <v>2418</v>
      </c>
    </row>
    <row r="3452" spans="1:11" hidden="1">
      <c r="A3452" s="28">
        <v>46329</v>
      </c>
      <c r="B3452" t="s">
        <v>186</v>
      </c>
      <c r="C3452" t="s">
        <v>203</v>
      </c>
      <c r="D3452" t="s">
        <v>217</v>
      </c>
      <c r="E3452">
        <f>IF(LEFT(D3452,6)="CLIENT",IFERROR(VLOOKUP(C3452,Config_Carteiras!$A:$B,2,FALSE),1),"")</f>
        <v>1</v>
      </c>
      <c r="F3452" s="25">
        <v>1056</v>
      </c>
      <c r="G3452" s="28">
        <f>IF(LEFT(D3452,6)="CLIENT",IF(E3452=0,WORKDAY(A3452-1,1,Dias_Sem_Compensacao!$A$2:$A$500),WORKDAY(A3452,E3452,Dias_Sem_Compensacao!$A$2:$A$500)),"")</f>
        <v>46330</v>
      </c>
      <c r="H3452" s="25">
        <v>0</v>
      </c>
      <c r="I3452" s="28">
        <v>46329</v>
      </c>
      <c r="J3452" t="s">
        <v>718</v>
      </c>
      <c r="K3452" t="s">
        <v>1978</v>
      </c>
    </row>
    <row r="3453" spans="1:11" hidden="1">
      <c r="A3453" s="28">
        <v>46329</v>
      </c>
      <c r="B3453" t="s">
        <v>186</v>
      </c>
      <c r="C3453" t="s">
        <v>203</v>
      </c>
      <c r="D3453" t="s">
        <v>217</v>
      </c>
      <c r="E3453">
        <f>IF(LEFT(D3453,6)="CLIENT",IFERROR(VLOOKUP(C3453,Config_Carteiras!$A:$B,2,FALSE),1),"")</f>
        <v>1</v>
      </c>
      <c r="F3453" s="25">
        <v>1561</v>
      </c>
      <c r="G3453" s="28">
        <f>IF(LEFT(D3453,6)="CLIENT",IF(E3453=0,WORKDAY(A3453-1,1,Dias_Sem_Compensacao!$A$2:$A$500),WORKDAY(A3453,E3453,Dias_Sem_Compensacao!$A$2:$A$500)),"")</f>
        <v>46330</v>
      </c>
      <c r="H3453" s="25">
        <v>0</v>
      </c>
      <c r="I3453" s="28">
        <v>46329</v>
      </c>
      <c r="J3453" t="s">
        <v>290</v>
      </c>
      <c r="K3453" t="s">
        <v>2930</v>
      </c>
    </row>
    <row r="3454" spans="1:11" hidden="1">
      <c r="A3454" s="28">
        <v>46329</v>
      </c>
      <c r="B3454" t="s">
        <v>186</v>
      </c>
      <c r="C3454" t="s">
        <v>203</v>
      </c>
      <c r="D3454" t="s">
        <v>217</v>
      </c>
      <c r="E3454">
        <f>IF(LEFT(D3454,6)="CLIENT",IFERROR(VLOOKUP(C3454,Config_Carteiras!$A:$B,2,FALSE),1),"")</f>
        <v>1</v>
      </c>
      <c r="F3454" s="25">
        <v>1702</v>
      </c>
      <c r="G3454" s="28">
        <f>IF(LEFT(D3454,6)="CLIENT",IF(E3454=0,WORKDAY(A3454-1,1,Dias_Sem_Compensacao!$A$2:$A$500),WORKDAY(A3454,E3454,Dias_Sem_Compensacao!$A$2:$A$500)),"")</f>
        <v>46330</v>
      </c>
      <c r="H3454" s="25">
        <v>0</v>
      </c>
      <c r="I3454" s="28">
        <v>46329</v>
      </c>
      <c r="J3454" t="s">
        <v>1711</v>
      </c>
      <c r="K3454" t="s">
        <v>2931</v>
      </c>
    </row>
    <row r="3455" spans="1:11" hidden="1">
      <c r="A3455" s="28">
        <v>46329</v>
      </c>
      <c r="B3455" t="s">
        <v>186</v>
      </c>
      <c r="C3455" t="s">
        <v>203</v>
      </c>
      <c r="D3455" t="s">
        <v>217</v>
      </c>
      <c r="E3455">
        <f>IF(LEFT(D3455,6)="CLIENT",IFERROR(VLOOKUP(C3455,Config_Carteiras!$A:$B,2,FALSE),1),"")</f>
        <v>1</v>
      </c>
      <c r="F3455" s="25">
        <v>801.16</v>
      </c>
      <c r="G3455" s="28">
        <f>IF(LEFT(D3455,6)="CLIENT",IF(E3455=0,WORKDAY(A3455-1,1,Dias_Sem_Compensacao!$A$2:$A$500),WORKDAY(A3455,E3455,Dias_Sem_Compensacao!$A$2:$A$500)),"")</f>
        <v>46330</v>
      </c>
      <c r="H3455" s="25">
        <v>0</v>
      </c>
      <c r="I3455" s="28">
        <v>46329</v>
      </c>
      <c r="J3455" t="s">
        <v>1829</v>
      </c>
      <c r="K3455" t="s">
        <v>1830</v>
      </c>
    </row>
    <row r="3456" spans="1:11" hidden="1">
      <c r="A3456" s="28">
        <v>46329</v>
      </c>
      <c r="B3456" t="s">
        <v>186</v>
      </c>
      <c r="C3456" t="s">
        <v>203</v>
      </c>
      <c r="D3456" t="s">
        <v>217</v>
      </c>
      <c r="E3456">
        <f>IF(LEFT(D3456,6)="CLIENT",IFERROR(VLOOKUP(C3456,Config_Carteiras!$A:$B,2,FALSE),1),"")</f>
        <v>1</v>
      </c>
      <c r="F3456" s="25">
        <v>613.83000000000004</v>
      </c>
      <c r="G3456" s="28">
        <f>IF(LEFT(D3456,6)="CLIENT",IF(E3456=0,WORKDAY(A3456-1,1,Dias_Sem_Compensacao!$A$2:$A$500),WORKDAY(A3456,E3456,Dias_Sem_Compensacao!$A$2:$A$500)),"")</f>
        <v>46330</v>
      </c>
      <c r="H3456" s="25">
        <v>0</v>
      </c>
      <c r="I3456" s="28">
        <v>46329</v>
      </c>
      <c r="J3456" t="s">
        <v>2932</v>
      </c>
      <c r="K3456" t="s">
        <v>2933</v>
      </c>
    </row>
    <row r="3457" spans="1:11" hidden="1">
      <c r="A3457" s="28">
        <v>46329</v>
      </c>
      <c r="B3457" t="s">
        <v>186</v>
      </c>
      <c r="C3457" t="s">
        <v>203</v>
      </c>
      <c r="D3457" t="s">
        <v>217</v>
      </c>
      <c r="E3457">
        <f>IF(LEFT(D3457,6)="CLIENT",IFERROR(VLOOKUP(C3457,Config_Carteiras!$A:$B,2,FALSE),1),"")</f>
        <v>1</v>
      </c>
      <c r="F3457" s="25">
        <v>546.51</v>
      </c>
      <c r="G3457" s="28">
        <f>IF(LEFT(D3457,6)="CLIENT",IF(E3457=0,WORKDAY(A3457-1,1,Dias_Sem_Compensacao!$A$2:$A$500),WORKDAY(A3457,E3457,Dias_Sem_Compensacao!$A$2:$A$500)),"")</f>
        <v>46330</v>
      </c>
      <c r="H3457" s="25">
        <v>0</v>
      </c>
      <c r="I3457" s="28">
        <v>46329</v>
      </c>
      <c r="J3457" t="s">
        <v>1980</v>
      </c>
      <c r="K3457" t="s">
        <v>3332</v>
      </c>
    </row>
    <row r="3458" spans="1:11" hidden="1">
      <c r="A3458" s="28">
        <v>46329</v>
      </c>
      <c r="B3458" t="s">
        <v>186</v>
      </c>
      <c r="C3458" t="s">
        <v>203</v>
      </c>
      <c r="D3458" t="s">
        <v>217</v>
      </c>
      <c r="E3458">
        <f>IF(LEFT(D3458,6)="CLIENT",IFERROR(VLOOKUP(C3458,Config_Carteiras!$A:$B,2,FALSE),1),"")</f>
        <v>1</v>
      </c>
      <c r="F3458" s="25">
        <v>844</v>
      </c>
      <c r="G3458" s="28">
        <f>IF(LEFT(D3458,6)="CLIENT",IF(E3458=0,WORKDAY(A3458-1,1,Dias_Sem_Compensacao!$A$2:$A$500),WORKDAY(A3458,E3458,Dias_Sem_Compensacao!$A$2:$A$500)),"")</f>
        <v>46330</v>
      </c>
      <c r="H3458" s="25">
        <v>0</v>
      </c>
      <c r="I3458" s="28">
        <v>46329</v>
      </c>
      <c r="J3458" t="s">
        <v>3391</v>
      </c>
      <c r="K3458" t="s">
        <v>3392</v>
      </c>
    </row>
    <row r="3459" spans="1:11" hidden="1">
      <c r="A3459" s="28">
        <v>46329</v>
      </c>
      <c r="B3459" t="s">
        <v>186</v>
      </c>
      <c r="C3459" t="s">
        <v>203</v>
      </c>
      <c r="D3459" t="s">
        <v>217</v>
      </c>
      <c r="E3459">
        <f>IF(LEFT(D3459,6)="CLIENT",IFERROR(VLOOKUP(C3459,Config_Carteiras!$A:$B,2,FALSE),1),"")</f>
        <v>1</v>
      </c>
      <c r="F3459" s="25">
        <v>2060</v>
      </c>
      <c r="G3459" s="28">
        <f>IF(LEFT(D3459,6)="CLIENT",IF(E3459=0,WORKDAY(A3459-1,1,Dias_Sem_Compensacao!$A$2:$A$500),WORKDAY(A3459,E3459,Dias_Sem_Compensacao!$A$2:$A$500)),"")</f>
        <v>46330</v>
      </c>
      <c r="H3459" s="25">
        <v>0</v>
      </c>
      <c r="I3459" s="28">
        <v>46329</v>
      </c>
      <c r="J3459" t="s">
        <v>3335</v>
      </c>
      <c r="K3459" t="s">
        <v>3336</v>
      </c>
    </row>
    <row r="3460" spans="1:11" hidden="1">
      <c r="A3460" s="28">
        <v>46329</v>
      </c>
      <c r="B3460" t="s">
        <v>186</v>
      </c>
      <c r="C3460" t="s">
        <v>203</v>
      </c>
      <c r="D3460" t="s">
        <v>217</v>
      </c>
      <c r="E3460">
        <f>IF(LEFT(D3460,6)="CLIENT",IFERROR(VLOOKUP(C3460,Config_Carteiras!$A:$B,2,FALSE),1),"")</f>
        <v>1</v>
      </c>
      <c r="F3460" s="25">
        <v>557.23</v>
      </c>
      <c r="G3460" s="28">
        <f>IF(LEFT(D3460,6)="CLIENT",IF(E3460=0,WORKDAY(A3460-1,1,Dias_Sem_Compensacao!$A$2:$A$500),WORKDAY(A3460,E3460,Dias_Sem_Compensacao!$A$2:$A$500)),"")</f>
        <v>46330</v>
      </c>
      <c r="H3460" s="25">
        <v>0</v>
      </c>
      <c r="I3460" s="28">
        <v>46329</v>
      </c>
      <c r="J3460" t="s">
        <v>2936</v>
      </c>
      <c r="K3460" t="s">
        <v>2937</v>
      </c>
    </row>
    <row r="3461" spans="1:11" hidden="1">
      <c r="A3461" s="28">
        <v>46329</v>
      </c>
      <c r="B3461" t="s">
        <v>186</v>
      </c>
      <c r="C3461" t="s">
        <v>203</v>
      </c>
      <c r="D3461" t="s">
        <v>217</v>
      </c>
      <c r="E3461">
        <f>IF(LEFT(D3461,6)="CLIENT",IFERROR(VLOOKUP(C3461,Config_Carteiras!$A:$B,2,FALSE),1),"")</f>
        <v>1</v>
      </c>
      <c r="F3461" s="25">
        <v>696.69</v>
      </c>
      <c r="G3461" s="28">
        <f>IF(LEFT(D3461,6)="CLIENT",IF(E3461=0,WORKDAY(A3461-1,1,Dias_Sem_Compensacao!$A$2:$A$500),WORKDAY(A3461,E3461,Dias_Sem_Compensacao!$A$2:$A$500)),"")</f>
        <v>46330</v>
      </c>
      <c r="H3461" s="25">
        <v>0</v>
      </c>
      <c r="I3461" s="28">
        <v>46329</v>
      </c>
      <c r="J3461" t="s">
        <v>2938</v>
      </c>
      <c r="K3461" t="s">
        <v>2939</v>
      </c>
    </row>
    <row r="3462" spans="1:11" hidden="1">
      <c r="A3462" s="28">
        <v>46329</v>
      </c>
      <c r="B3462" t="s">
        <v>186</v>
      </c>
      <c r="C3462" t="s">
        <v>203</v>
      </c>
      <c r="D3462" t="s">
        <v>217</v>
      </c>
      <c r="E3462">
        <f>IF(LEFT(D3462,6)="CLIENT",IFERROR(VLOOKUP(C3462,Config_Carteiras!$A:$B,2,FALSE),1),"")</f>
        <v>1</v>
      </c>
      <c r="F3462" s="25">
        <v>521.30999999999995</v>
      </c>
      <c r="G3462" s="28">
        <f>IF(LEFT(D3462,6)="CLIENT",IF(E3462=0,WORKDAY(A3462-1,1,Dias_Sem_Compensacao!$A$2:$A$500),WORKDAY(A3462,E3462,Dias_Sem_Compensacao!$A$2:$A$500)),"")</f>
        <v>46330</v>
      </c>
      <c r="H3462" s="25">
        <v>0</v>
      </c>
      <c r="I3462" s="28">
        <v>46329</v>
      </c>
      <c r="J3462" t="s">
        <v>2942</v>
      </c>
      <c r="K3462" t="s">
        <v>2943</v>
      </c>
    </row>
    <row r="3463" spans="1:11" hidden="1">
      <c r="A3463" s="28">
        <v>46329</v>
      </c>
      <c r="B3463" t="s">
        <v>186</v>
      </c>
      <c r="C3463" t="s">
        <v>203</v>
      </c>
      <c r="D3463" t="s">
        <v>217</v>
      </c>
      <c r="E3463">
        <f>IF(LEFT(D3463,6)="CLIENT",IFERROR(VLOOKUP(C3463,Config_Carteiras!$A:$B,2,FALSE),1),"")</f>
        <v>1</v>
      </c>
      <c r="F3463" s="25">
        <v>678</v>
      </c>
      <c r="G3463" s="28">
        <f>IF(LEFT(D3463,6)="CLIENT",IF(E3463=0,WORKDAY(A3463-1,1,Dias_Sem_Compensacao!$A$2:$A$500),WORKDAY(A3463,E3463,Dias_Sem_Compensacao!$A$2:$A$500)),"")</f>
        <v>46330</v>
      </c>
      <c r="H3463" s="25">
        <v>0</v>
      </c>
      <c r="I3463" s="28">
        <v>46329</v>
      </c>
      <c r="J3463" t="s">
        <v>2437</v>
      </c>
      <c r="K3463" t="s">
        <v>2438</v>
      </c>
    </row>
    <row r="3464" spans="1:11" hidden="1">
      <c r="A3464" s="28">
        <v>46329</v>
      </c>
      <c r="B3464" t="s">
        <v>186</v>
      </c>
      <c r="C3464" t="s">
        <v>203</v>
      </c>
      <c r="D3464" t="s">
        <v>217</v>
      </c>
      <c r="E3464">
        <f>IF(LEFT(D3464,6)="CLIENT",IFERROR(VLOOKUP(C3464,Config_Carteiras!$A:$B,2,FALSE),1),"")</f>
        <v>1</v>
      </c>
      <c r="F3464" s="25">
        <v>1227.21</v>
      </c>
      <c r="G3464" s="28">
        <f>IF(LEFT(D3464,6)="CLIENT",IF(E3464=0,WORKDAY(A3464-1,1,Dias_Sem_Compensacao!$A$2:$A$500),WORKDAY(A3464,E3464,Dias_Sem_Compensacao!$A$2:$A$500)),"")</f>
        <v>46330</v>
      </c>
      <c r="H3464" s="25">
        <v>0</v>
      </c>
      <c r="I3464" s="28">
        <v>46329</v>
      </c>
      <c r="J3464" t="s">
        <v>3028</v>
      </c>
      <c r="K3464" t="s">
        <v>3029</v>
      </c>
    </row>
    <row r="3465" spans="1:11" hidden="1">
      <c r="A3465" s="28">
        <v>46329</v>
      </c>
      <c r="B3465" t="s">
        <v>186</v>
      </c>
      <c r="C3465" t="s">
        <v>203</v>
      </c>
      <c r="D3465" t="s">
        <v>217</v>
      </c>
      <c r="E3465">
        <f>IF(LEFT(D3465,6)="CLIENT",IFERROR(VLOOKUP(C3465,Config_Carteiras!$A:$B,2,FALSE),1),"")</f>
        <v>1</v>
      </c>
      <c r="F3465" s="25">
        <v>1221.1600000000001</v>
      </c>
      <c r="G3465" s="28">
        <f>IF(LEFT(D3465,6)="CLIENT",IF(E3465=0,WORKDAY(A3465-1,1,Dias_Sem_Compensacao!$A$2:$A$500),WORKDAY(A3465,E3465,Dias_Sem_Compensacao!$A$2:$A$500)),"")</f>
        <v>46330</v>
      </c>
      <c r="H3465" s="25">
        <v>0</v>
      </c>
      <c r="I3465" s="28">
        <v>46329</v>
      </c>
      <c r="J3465" t="s">
        <v>2717</v>
      </c>
      <c r="K3465" t="s">
        <v>3030</v>
      </c>
    </row>
    <row r="3466" spans="1:11" hidden="1">
      <c r="A3466" s="28">
        <v>46329</v>
      </c>
      <c r="B3466" t="s">
        <v>186</v>
      </c>
      <c r="C3466" t="s">
        <v>203</v>
      </c>
      <c r="D3466" t="s">
        <v>217</v>
      </c>
      <c r="E3466">
        <f>IF(LEFT(D3466,6)="CLIENT",IFERROR(VLOOKUP(C3466,Config_Carteiras!$A:$B,2,FALSE),1),"")</f>
        <v>1</v>
      </c>
      <c r="F3466" s="25">
        <v>1757.5</v>
      </c>
      <c r="G3466" s="28">
        <f>IF(LEFT(D3466,6)="CLIENT",IF(E3466=0,WORKDAY(A3466-1,1,Dias_Sem_Compensacao!$A$2:$A$500),WORKDAY(A3466,E3466,Dias_Sem_Compensacao!$A$2:$A$500)),"")</f>
        <v>46330</v>
      </c>
      <c r="H3466" s="25">
        <v>0</v>
      </c>
      <c r="I3466" s="28">
        <v>46329</v>
      </c>
      <c r="J3466" t="s">
        <v>3031</v>
      </c>
      <c r="K3466" t="s">
        <v>3032</v>
      </c>
    </row>
    <row r="3467" spans="1:11" hidden="1">
      <c r="A3467" s="28">
        <v>46329</v>
      </c>
      <c r="B3467" t="s">
        <v>186</v>
      </c>
      <c r="C3467" t="s">
        <v>203</v>
      </c>
      <c r="D3467" t="s">
        <v>217</v>
      </c>
      <c r="E3467">
        <f>IF(LEFT(D3467,6)="CLIENT",IFERROR(VLOOKUP(C3467,Config_Carteiras!$A:$B,2,FALSE),1),"")</f>
        <v>1</v>
      </c>
      <c r="F3467" s="25">
        <v>16850</v>
      </c>
      <c r="G3467" s="28">
        <f>IF(LEFT(D3467,6)="CLIENT",IF(E3467=0,WORKDAY(A3467-1,1,Dias_Sem_Compensacao!$A$2:$A$500),WORKDAY(A3467,E3467,Dias_Sem_Compensacao!$A$2:$A$500)),"")</f>
        <v>46330</v>
      </c>
      <c r="H3467" s="25">
        <v>0</v>
      </c>
      <c r="I3467" s="28">
        <v>46329</v>
      </c>
      <c r="J3467" t="s">
        <v>1201</v>
      </c>
      <c r="K3467" t="s">
        <v>3033</v>
      </c>
    </row>
    <row r="3468" spans="1:11" hidden="1">
      <c r="A3468" s="28">
        <v>46329</v>
      </c>
      <c r="B3468" t="s">
        <v>186</v>
      </c>
      <c r="C3468" t="s">
        <v>203</v>
      </c>
      <c r="D3468" t="s">
        <v>217</v>
      </c>
      <c r="E3468">
        <f>IF(LEFT(D3468,6)="CLIENT",IFERROR(VLOOKUP(C3468,Config_Carteiras!$A:$B,2,FALSE),1),"")</f>
        <v>1</v>
      </c>
      <c r="F3468" s="25">
        <v>16250</v>
      </c>
      <c r="G3468" s="28">
        <f>IF(LEFT(D3468,6)="CLIENT",IF(E3468=0,WORKDAY(A3468-1,1,Dias_Sem_Compensacao!$A$2:$A$500),WORKDAY(A3468,E3468,Dias_Sem_Compensacao!$A$2:$A$500)),"")</f>
        <v>46330</v>
      </c>
      <c r="H3468" s="25">
        <v>0</v>
      </c>
      <c r="I3468" s="28">
        <v>46329</v>
      </c>
      <c r="K3468" t="s">
        <v>3339</v>
      </c>
    </row>
    <row r="3469" spans="1:11" hidden="1">
      <c r="A3469" s="28">
        <v>46329</v>
      </c>
      <c r="B3469" t="s">
        <v>186</v>
      </c>
      <c r="C3469" t="s">
        <v>203</v>
      </c>
      <c r="D3469" t="s">
        <v>217</v>
      </c>
      <c r="E3469">
        <f>IF(LEFT(D3469,6)="CLIENT",IFERROR(VLOOKUP(C3469,Config_Carteiras!$A:$B,2,FALSE),1),"")</f>
        <v>1</v>
      </c>
      <c r="F3469" s="25">
        <v>574.88</v>
      </c>
      <c r="G3469" s="28">
        <f>IF(LEFT(D3469,6)="CLIENT",IF(E3469=0,WORKDAY(A3469-1,1,Dias_Sem_Compensacao!$A$2:$A$500),WORKDAY(A3469,E3469,Dias_Sem_Compensacao!$A$2:$A$500)),"")</f>
        <v>46330</v>
      </c>
      <c r="H3469" s="25">
        <v>0</v>
      </c>
      <c r="I3469" s="28">
        <v>46329</v>
      </c>
      <c r="J3469" t="s">
        <v>3340</v>
      </c>
      <c r="K3469" t="s">
        <v>3341</v>
      </c>
    </row>
    <row r="3470" spans="1:11" hidden="1">
      <c r="A3470" s="28">
        <v>46329</v>
      </c>
      <c r="B3470" t="s">
        <v>186</v>
      </c>
      <c r="C3470" t="s">
        <v>203</v>
      </c>
      <c r="D3470" t="s">
        <v>217</v>
      </c>
      <c r="E3470">
        <f>IF(LEFT(D3470,6)="CLIENT",IFERROR(VLOOKUP(C3470,Config_Carteiras!$A:$B,2,FALSE),1),"")</f>
        <v>1</v>
      </c>
      <c r="F3470" s="25">
        <v>936.88</v>
      </c>
      <c r="G3470" s="28">
        <f>IF(LEFT(D3470,6)="CLIENT",IF(E3470=0,WORKDAY(A3470-1,1,Dias_Sem_Compensacao!$A$2:$A$500),WORKDAY(A3470,E3470,Dias_Sem_Compensacao!$A$2:$A$500)),"")</f>
        <v>46330</v>
      </c>
      <c r="H3470" s="25">
        <v>0</v>
      </c>
      <c r="I3470" s="28">
        <v>46329</v>
      </c>
      <c r="J3470" t="s">
        <v>2443</v>
      </c>
      <c r="K3470" t="s">
        <v>2444</v>
      </c>
    </row>
    <row r="3471" spans="1:11" hidden="1">
      <c r="A3471" s="28">
        <v>46329</v>
      </c>
      <c r="B3471" t="s">
        <v>186</v>
      </c>
      <c r="C3471" t="s">
        <v>203</v>
      </c>
      <c r="D3471" t="s">
        <v>217</v>
      </c>
      <c r="E3471">
        <f>IF(LEFT(D3471,6)="CLIENT",IFERROR(VLOOKUP(C3471,Config_Carteiras!$A:$B,2,FALSE),1),"")</f>
        <v>1</v>
      </c>
      <c r="F3471" s="25">
        <v>615.65</v>
      </c>
      <c r="G3471" s="28">
        <f>IF(LEFT(D3471,6)="CLIENT",IF(E3471=0,WORKDAY(A3471-1,1,Dias_Sem_Compensacao!$A$2:$A$500),WORKDAY(A3471,E3471,Dias_Sem_Compensacao!$A$2:$A$500)),"")</f>
        <v>46330</v>
      </c>
      <c r="H3471" s="25">
        <v>0</v>
      </c>
      <c r="I3471" s="28">
        <v>46329</v>
      </c>
      <c r="J3471" t="s">
        <v>2944</v>
      </c>
      <c r="K3471" t="s">
        <v>2945</v>
      </c>
    </row>
    <row r="3472" spans="1:11" hidden="1">
      <c r="A3472" s="28">
        <v>46329</v>
      </c>
      <c r="B3472" t="s">
        <v>186</v>
      </c>
      <c r="C3472" t="s">
        <v>203</v>
      </c>
      <c r="D3472" t="s">
        <v>217</v>
      </c>
      <c r="E3472">
        <f>IF(LEFT(D3472,6)="CLIENT",IFERROR(VLOOKUP(C3472,Config_Carteiras!$A:$B,2,FALSE),1),"")</f>
        <v>1</v>
      </c>
      <c r="F3472" s="25">
        <v>644</v>
      </c>
      <c r="G3472" s="28">
        <f>IF(LEFT(D3472,6)="CLIENT",IF(E3472=0,WORKDAY(A3472-1,1,Dias_Sem_Compensacao!$A$2:$A$500),WORKDAY(A3472,E3472,Dias_Sem_Compensacao!$A$2:$A$500)),"")</f>
        <v>46330</v>
      </c>
      <c r="H3472" s="25">
        <v>0</v>
      </c>
      <c r="I3472" s="28">
        <v>46329</v>
      </c>
      <c r="J3472" t="s">
        <v>1862</v>
      </c>
      <c r="K3472" t="s">
        <v>2946</v>
      </c>
    </row>
    <row r="3473" spans="1:11" hidden="1">
      <c r="A3473" s="28">
        <v>46329</v>
      </c>
      <c r="B3473" t="s">
        <v>186</v>
      </c>
      <c r="C3473" t="s">
        <v>203</v>
      </c>
      <c r="D3473" t="s">
        <v>217</v>
      </c>
      <c r="E3473">
        <f>IF(LEFT(D3473,6)="CLIENT",IFERROR(VLOOKUP(C3473,Config_Carteiras!$A:$B,2,FALSE),1),"")</f>
        <v>1</v>
      </c>
      <c r="F3473" s="25">
        <v>638.34</v>
      </c>
      <c r="G3473" s="28">
        <f>IF(LEFT(D3473,6)="CLIENT",IF(E3473=0,WORKDAY(A3473-1,1,Dias_Sem_Compensacao!$A$2:$A$500),WORKDAY(A3473,E3473,Dias_Sem_Compensacao!$A$2:$A$500)),"")</f>
        <v>46330</v>
      </c>
      <c r="H3473" s="25">
        <v>0</v>
      </c>
      <c r="I3473" s="28">
        <v>46329</v>
      </c>
      <c r="J3473" t="s">
        <v>3034</v>
      </c>
      <c r="K3473" t="s">
        <v>3035</v>
      </c>
    </row>
    <row r="3474" spans="1:11" hidden="1">
      <c r="A3474" s="28">
        <v>46329</v>
      </c>
      <c r="B3474" t="s">
        <v>186</v>
      </c>
      <c r="C3474" t="s">
        <v>203</v>
      </c>
      <c r="D3474" t="s">
        <v>217</v>
      </c>
      <c r="E3474">
        <f>IF(LEFT(D3474,6)="CLIENT",IFERROR(VLOOKUP(C3474,Config_Carteiras!$A:$B,2,FALSE),1),"")</f>
        <v>1</v>
      </c>
      <c r="F3474" s="25">
        <v>632.19000000000005</v>
      </c>
      <c r="G3474" s="28">
        <f>IF(LEFT(D3474,6)="CLIENT",IF(E3474=0,WORKDAY(A3474-1,1,Dias_Sem_Compensacao!$A$2:$A$500),WORKDAY(A3474,E3474,Dias_Sem_Compensacao!$A$2:$A$500)),"")</f>
        <v>46330</v>
      </c>
      <c r="H3474" s="25">
        <v>0</v>
      </c>
      <c r="I3474" s="28">
        <v>46329</v>
      </c>
      <c r="J3474" t="s">
        <v>3036</v>
      </c>
      <c r="K3474" t="s">
        <v>3037</v>
      </c>
    </row>
    <row r="3475" spans="1:11" hidden="1">
      <c r="A3475" s="28">
        <v>46329</v>
      </c>
      <c r="B3475" t="s">
        <v>186</v>
      </c>
      <c r="C3475" t="s">
        <v>203</v>
      </c>
      <c r="D3475" t="s">
        <v>217</v>
      </c>
      <c r="E3475">
        <f>IF(LEFT(D3475,6)="CLIENT",IFERROR(VLOOKUP(C3475,Config_Carteiras!$A:$B,2,FALSE),1),"")</f>
        <v>1</v>
      </c>
      <c r="F3475" s="25">
        <v>542</v>
      </c>
      <c r="G3475" s="28">
        <f>IF(LEFT(D3475,6)="CLIENT",IF(E3475=0,WORKDAY(A3475-1,1,Dias_Sem_Compensacao!$A$2:$A$500),WORKDAY(A3475,E3475,Dias_Sem_Compensacao!$A$2:$A$500)),"")</f>
        <v>46330</v>
      </c>
      <c r="H3475" s="25">
        <v>0</v>
      </c>
      <c r="I3475" s="28">
        <v>46329</v>
      </c>
      <c r="J3475" t="s">
        <v>2947</v>
      </c>
      <c r="K3475" t="s">
        <v>2948</v>
      </c>
    </row>
    <row r="3476" spans="1:11" hidden="1">
      <c r="A3476" s="28">
        <v>46329</v>
      </c>
      <c r="B3476" t="s">
        <v>186</v>
      </c>
      <c r="C3476" t="s">
        <v>203</v>
      </c>
      <c r="D3476" t="s">
        <v>217</v>
      </c>
      <c r="E3476">
        <f>IF(LEFT(D3476,6)="CLIENT",IFERROR(VLOOKUP(C3476,Config_Carteiras!$A:$B,2,FALSE),1),"")</f>
        <v>1</v>
      </c>
      <c r="F3476" s="25">
        <v>1077.27</v>
      </c>
      <c r="G3476" s="28">
        <f>IF(LEFT(D3476,6)="CLIENT",IF(E3476=0,WORKDAY(A3476-1,1,Dias_Sem_Compensacao!$A$2:$A$500),WORKDAY(A3476,E3476,Dias_Sem_Compensacao!$A$2:$A$500)),"")</f>
        <v>46330</v>
      </c>
      <c r="H3476" s="25">
        <v>0</v>
      </c>
      <c r="I3476" s="28">
        <v>46329</v>
      </c>
      <c r="J3476" t="s">
        <v>3038</v>
      </c>
      <c r="K3476" t="s">
        <v>3039</v>
      </c>
    </row>
    <row r="3477" spans="1:11" hidden="1">
      <c r="A3477" s="28">
        <v>46329</v>
      </c>
      <c r="B3477" t="s">
        <v>186</v>
      </c>
      <c r="C3477" t="s">
        <v>203</v>
      </c>
      <c r="D3477" t="s">
        <v>217</v>
      </c>
      <c r="E3477">
        <f>IF(LEFT(D3477,6)="CLIENT",IFERROR(VLOOKUP(C3477,Config_Carteiras!$A:$B,2,FALSE),1),"")</f>
        <v>1</v>
      </c>
      <c r="F3477" s="25">
        <v>587</v>
      </c>
      <c r="G3477" s="28">
        <f>IF(LEFT(D3477,6)="CLIENT",IF(E3477=0,WORKDAY(A3477-1,1,Dias_Sem_Compensacao!$A$2:$A$500),WORKDAY(A3477,E3477,Dias_Sem_Compensacao!$A$2:$A$500)),"")</f>
        <v>46330</v>
      </c>
      <c r="H3477" s="25">
        <v>0</v>
      </c>
      <c r="I3477" s="28">
        <v>46329</v>
      </c>
      <c r="J3477" t="s">
        <v>3344</v>
      </c>
      <c r="K3477" t="s">
        <v>3345</v>
      </c>
    </row>
    <row r="3478" spans="1:11" hidden="1">
      <c r="A3478" s="28">
        <v>46329</v>
      </c>
      <c r="B3478" t="s">
        <v>186</v>
      </c>
      <c r="C3478" t="s">
        <v>203</v>
      </c>
      <c r="D3478" t="s">
        <v>217</v>
      </c>
      <c r="E3478">
        <f>IF(LEFT(D3478,6)="CLIENT",IFERROR(VLOOKUP(C3478,Config_Carteiras!$A:$B,2,FALSE),1),"")</f>
        <v>1</v>
      </c>
      <c r="F3478" s="25">
        <v>2201</v>
      </c>
      <c r="G3478" s="28">
        <f>IF(LEFT(D3478,6)="CLIENT",IF(E3478=0,WORKDAY(A3478-1,1,Dias_Sem_Compensacao!$A$2:$A$500),WORKDAY(A3478,E3478,Dias_Sem_Compensacao!$A$2:$A$500)),"")</f>
        <v>46330</v>
      </c>
      <c r="H3478" s="25">
        <v>0</v>
      </c>
      <c r="I3478" s="28">
        <v>46329</v>
      </c>
      <c r="J3478" t="s">
        <v>3346</v>
      </c>
      <c r="K3478" t="s">
        <v>3347</v>
      </c>
    </row>
    <row r="3479" spans="1:11" hidden="1">
      <c r="A3479" s="28">
        <v>46329</v>
      </c>
      <c r="B3479" t="s">
        <v>186</v>
      </c>
      <c r="C3479" t="s">
        <v>203</v>
      </c>
      <c r="D3479" t="s">
        <v>217</v>
      </c>
      <c r="E3479">
        <f>IF(LEFT(D3479,6)="CLIENT",IFERROR(VLOOKUP(C3479,Config_Carteiras!$A:$B,2,FALSE),1),"")</f>
        <v>1</v>
      </c>
      <c r="F3479" s="25">
        <v>3945</v>
      </c>
      <c r="G3479" s="28">
        <f>IF(LEFT(D3479,6)="CLIENT",IF(E3479=0,WORKDAY(A3479-1,1,Dias_Sem_Compensacao!$A$2:$A$500),WORKDAY(A3479,E3479,Dias_Sem_Compensacao!$A$2:$A$500)),"")</f>
        <v>46330</v>
      </c>
      <c r="H3479" s="25">
        <v>0</v>
      </c>
      <c r="I3479" s="28">
        <v>46329</v>
      </c>
      <c r="J3479" t="s">
        <v>1016</v>
      </c>
      <c r="K3479" t="s">
        <v>2613</v>
      </c>
    </row>
    <row r="3480" spans="1:11" hidden="1">
      <c r="A3480" s="28">
        <v>46329</v>
      </c>
      <c r="B3480" t="s">
        <v>186</v>
      </c>
      <c r="C3480" t="s">
        <v>203</v>
      </c>
      <c r="D3480" t="s">
        <v>217</v>
      </c>
      <c r="E3480">
        <f>IF(LEFT(D3480,6)="CLIENT",IFERROR(VLOOKUP(C3480,Config_Carteiras!$A:$B,2,FALSE),1),"")</f>
        <v>1</v>
      </c>
      <c r="F3480" s="25">
        <v>1280</v>
      </c>
      <c r="G3480" s="28">
        <f>IF(LEFT(D3480,6)="CLIENT",IF(E3480=0,WORKDAY(A3480-1,1,Dias_Sem_Compensacao!$A$2:$A$500),WORKDAY(A3480,E3480,Dias_Sem_Compensacao!$A$2:$A$500)),"")</f>
        <v>46330</v>
      </c>
      <c r="H3480" s="25">
        <v>0</v>
      </c>
      <c r="I3480" s="28">
        <v>46329</v>
      </c>
      <c r="J3480" t="s">
        <v>554</v>
      </c>
      <c r="K3480" t="s">
        <v>2464</v>
      </c>
    </row>
    <row r="3481" spans="1:11" hidden="1">
      <c r="A3481" s="28">
        <v>46329</v>
      </c>
      <c r="B3481" t="s">
        <v>186</v>
      </c>
      <c r="C3481" t="s">
        <v>203</v>
      </c>
      <c r="D3481" t="s">
        <v>217</v>
      </c>
      <c r="E3481">
        <f>IF(LEFT(D3481,6)="CLIENT",IFERROR(VLOOKUP(C3481,Config_Carteiras!$A:$B,2,FALSE),1),"")</f>
        <v>1</v>
      </c>
      <c r="F3481" s="25">
        <v>965.23</v>
      </c>
      <c r="G3481" s="28">
        <f>IF(LEFT(D3481,6)="CLIENT",IF(E3481=0,WORKDAY(A3481-1,1,Dias_Sem_Compensacao!$A$2:$A$500),WORKDAY(A3481,E3481,Dias_Sem_Compensacao!$A$2:$A$500)),"")</f>
        <v>46330</v>
      </c>
      <c r="H3481" s="25">
        <v>0</v>
      </c>
      <c r="I3481" s="28">
        <v>46329</v>
      </c>
      <c r="J3481" t="s">
        <v>1870</v>
      </c>
      <c r="K3481" t="s">
        <v>3348</v>
      </c>
    </row>
    <row r="3482" spans="1:11" hidden="1">
      <c r="A3482" s="28">
        <v>46329</v>
      </c>
      <c r="B3482" t="s">
        <v>186</v>
      </c>
      <c r="C3482" t="s">
        <v>203</v>
      </c>
      <c r="D3482" t="s">
        <v>217</v>
      </c>
      <c r="E3482">
        <f>IF(LEFT(D3482,6)="CLIENT",IFERROR(VLOOKUP(C3482,Config_Carteiras!$A:$B,2,FALSE),1),"")</f>
        <v>1</v>
      </c>
      <c r="F3482" s="25">
        <v>566.39</v>
      </c>
      <c r="G3482" s="28">
        <f>IF(LEFT(D3482,6)="CLIENT",IF(E3482=0,WORKDAY(A3482-1,1,Dias_Sem_Compensacao!$A$2:$A$500),WORKDAY(A3482,E3482,Dias_Sem_Compensacao!$A$2:$A$500)),"")</f>
        <v>46330</v>
      </c>
      <c r="H3482" s="25">
        <v>0</v>
      </c>
      <c r="I3482" s="28">
        <v>46329</v>
      </c>
      <c r="J3482" t="s">
        <v>3040</v>
      </c>
      <c r="K3482" t="s">
        <v>3041</v>
      </c>
    </row>
    <row r="3483" spans="1:11" hidden="1">
      <c r="A3483" s="28">
        <v>46329</v>
      </c>
      <c r="B3483" t="s">
        <v>186</v>
      </c>
      <c r="C3483" t="s">
        <v>203</v>
      </c>
      <c r="D3483" t="s">
        <v>217</v>
      </c>
      <c r="E3483">
        <f>IF(LEFT(D3483,6)="CLIENT",IFERROR(VLOOKUP(C3483,Config_Carteiras!$A:$B,2,FALSE),1),"")</f>
        <v>1</v>
      </c>
      <c r="F3483" s="25">
        <v>1803.14</v>
      </c>
      <c r="G3483" s="28">
        <f>IF(LEFT(D3483,6)="CLIENT",IF(E3483=0,WORKDAY(A3483-1,1,Dias_Sem_Compensacao!$A$2:$A$500),WORKDAY(A3483,E3483,Dias_Sem_Compensacao!$A$2:$A$500)),"")</f>
        <v>46330</v>
      </c>
      <c r="H3483" s="25">
        <v>0</v>
      </c>
      <c r="I3483" s="28">
        <v>46329</v>
      </c>
      <c r="J3483" t="s">
        <v>3259</v>
      </c>
      <c r="K3483" t="s">
        <v>3260</v>
      </c>
    </row>
    <row r="3484" spans="1:11" hidden="1">
      <c r="A3484" s="28">
        <v>46329</v>
      </c>
      <c r="B3484" t="s">
        <v>186</v>
      </c>
      <c r="C3484" t="s">
        <v>203</v>
      </c>
      <c r="D3484" t="s">
        <v>217</v>
      </c>
      <c r="E3484">
        <f>IF(LEFT(D3484,6)="CLIENT",IFERROR(VLOOKUP(C3484,Config_Carteiras!$A:$B,2,FALSE),1),"")</f>
        <v>1</v>
      </c>
      <c r="F3484" s="25">
        <v>554.73</v>
      </c>
      <c r="G3484" s="28">
        <f>IF(LEFT(D3484,6)="CLIENT",IF(E3484=0,WORKDAY(A3484-1,1,Dias_Sem_Compensacao!$A$2:$A$500),WORKDAY(A3484,E3484,Dias_Sem_Compensacao!$A$2:$A$500)),"")</f>
        <v>46330</v>
      </c>
      <c r="H3484" s="25">
        <v>0</v>
      </c>
      <c r="I3484" s="28">
        <v>46329</v>
      </c>
      <c r="J3484" t="s">
        <v>3352</v>
      </c>
      <c r="K3484" t="s">
        <v>3353</v>
      </c>
    </row>
    <row r="3485" spans="1:11" hidden="1">
      <c r="A3485" s="28">
        <v>46329</v>
      </c>
      <c r="B3485" t="s">
        <v>186</v>
      </c>
      <c r="C3485" t="s">
        <v>203</v>
      </c>
      <c r="D3485" t="s">
        <v>217</v>
      </c>
      <c r="E3485">
        <f>IF(LEFT(D3485,6)="CLIENT",IFERROR(VLOOKUP(C3485,Config_Carteiras!$A:$B,2,FALSE),1),"")</f>
        <v>1</v>
      </c>
      <c r="F3485" s="25">
        <v>464.9</v>
      </c>
      <c r="G3485" s="28">
        <f>IF(LEFT(D3485,6)="CLIENT",IF(E3485=0,WORKDAY(A3485-1,1,Dias_Sem_Compensacao!$A$2:$A$500),WORKDAY(A3485,E3485,Dias_Sem_Compensacao!$A$2:$A$500)),"")</f>
        <v>46330</v>
      </c>
      <c r="H3485" s="25">
        <v>0</v>
      </c>
      <c r="I3485" s="28">
        <v>46329</v>
      </c>
      <c r="J3485" t="s">
        <v>2952</v>
      </c>
      <c r="K3485" t="s">
        <v>2953</v>
      </c>
    </row>
    <row r="3486" spans="1:11" hidden="1">
      <c r="A3486" s="28">
        <v>46329</v>
      </c>
      <c r="B3486" t="s">
        <v>186</v>
      </c>
      <c r="C3486" t="s">
        <v>203</v>
      </c>
      <c r="D3486" t="s">
        <v>217</v>
      </c>
      <c r="E3486">
        <f>IF(LEFT(D3486,6)="CLIENT",IFERROR(VLOOKUP(C3486,Config_Carteiras!$A:$B,2,FALSE),1),"")</f>
        <v>1</v>
      </c>
      <c r="F3486" s="25">
        <v>2813</v>
      </c>
      <c r="G3486" s="28">
        <f>IF(LEFT(D3486,6)="CLIENT",IF(E3486=0,WORKDAY(A3486-1,1,Dias_Sem_Compensacao!$A$2:$A$500),WORKDAY(A3486,E3486,Dias_Sem_Compensacao!$A$2:$A$500)),"")</f>
        <v>46330</v>
      </c>
      <c r="H3486" s="25">
        <v>0</v>
      </c>
      <c r="I3486" s="28">
        <v>46329</v>
      </c>
      <c r="J3486" t="s">
        <v>3354</v>
      </c>
      <c r="K3486" t="s">
        <v>3355</v>
      </c>
    </row>
    <row r="3487" spans="1:11" hidden="1">
      <c r="A3487" s="28">
        <v>46329</v>
      </c>
      <c r="B3487" t="s">
        <v>186</v>
      </c>
      <c r="C3487" t="s">
        <v>203</v>
      </c>
      <c r="D3487" t="s">
        <v>217</v>
      </c>
      <c r="E3487">
        <f>IF(LEFT(D3487,6)="CLIENT",IFERROR(VLOOKUP(C3487,Config_Carteiras!$A:$B,2,FALSE),1),"")</f>
        <v>1</v>
      </c>
      <c r="F3487" s="25">
        <v>554.73</v>
      </c>
      <c r="G3487" s="28">
        <f>IF(LEFT(D3487,6)="CLIENT",IF(E3487=0,WORKDAY(A3487-1,1,Dias_Sem_Compensacao!$A$2:$A$500),WORKDAY(A3487,E3487,Dias_Sem_Compensacao!$A$2:$A$500)),"")</f>
        <v>46330</v>
      </c>
      <c r="H3487" s="25">
        <v>0</v>
      </c>
      <c r="I3487" s="28">
        <v>46329</v>
      </c>
      <c r="J3487" t="s">
        <v>3356</v>
      </c>
      <c r="K3487" t="s">
        <v>3357</v>
      </c>
    </row>
    <row r="3488" spans="1:11" hidden="1">
      <c r="A3488" s="28">
        <v>46329</v>
      </c>
      <c r="B3488" t="s">
        <v>186</v>
      </c>
      <c r="C3488" t="s">
        <v>203</v>
      </c>
      <c r="D3488" t="s">
        <v>217</v>
      </c>
      <c r="E3488">
        <f>IF(LEFT(D3488,6)="CLIENT",IFERROR(VLOOKUP(C3488,Config_Carteiras!$A:$B,2,FALSE),1),"")</f>
        <v>1</v>
      </c>
      <c r="F3488" s="25">
        <v>1212.22</v>
      </c>
      <c r="G3488" s="28">
        <f>IF(LEFT(D3488,6)="CLIENT",IF(E3488=0,WORKDAY(A3488-1,1,Dias_Sem_Compensacao!$A$2:$A$500),WORKDAY(A3488,E3488,Dias_Sem_Compensacao!$A$2:$A$500)),"")</f>
        <v>46330</v>
      </c>
      <c r="H3488" s="25">
        <v>0</v>
      </c>
      <c r="I3488" s="28">
        <v>46329</v>
      </c>
      <c r="J3488" t="s">
        <v>2954</v>
      </c>
      <c r="K3488" t="s">
        <v>2955</v>
      </c>
    </row>
    <row r="3489" spans="1:11" hidden="1">
      <c r="A3489" s="28">
        <v>46329</v>
      </c>
      <c r="B3489" t="s">
        <v>186</v>
      </c>
      <c r="C3489" t="s">
        <v>203</v>
      </c>
      <c r="D3489" t="s">
        <v>217</v>
      </c>
      <c r="E3489">
        <f>IF(LEFT(D3489,6)="CLIENT",IFERROR(VLOOKUP(C3489,Config_Carteiras!$A:$B,2,FALSE),1),"")</f>
        <v>1</v>
      </c>
      <c r="F3489" s="25">
        <v>2192.89</v>
      </c>
      <c r="G3489" s="28">
        <f>IF(LEFT(D3489,6)="CLIENT",IF(E3489=0,WORKDAY(A3489-1,1,Dias_Sem_Compensacao!$A$2:$A$500),WORKDAY(A3489,E3489,Dias_Sem_Compensacao!$A$2:$A$500)),"")</f>
        <v>46330</v>
      </c>
      <c r="H3489" s="25">
        <v>0</v>
      </c>
      <c r="I3489" s="28">
        <v>46329</v>
      </c>
      <c r="J3489" t="s">
        <v>3445</v>
      </c>
      <c r="K3489" t="s">
        <v>3446</v>
      </c>
    </row>
    <row r="3490" spans="1:11" hidden="1">
      <c r="A3490" s="28">
        <v>46329</v>
      </c>
      <c r="B3490" t="s">
        <v>186</v>
      </c>
      <c r="C3490" t="s">
        <v>203</v>
      </c>
      <c r="D3490" t="s">
        <v>217</v>
      </c>
      <c r="E3490">
        <f>IF(LEFT(D3490,6)="CLIENT",IFERROR(VLOOKUP(C3490,Config_Carteiras!$A:$B,2,FALSE),1),"")</f>
        <v>1</v>
      </c>
      <c r="F3490" s="25">
        <v>2782.21</v>
      </c>
      <c r="G3490" s="28">
        <f>IF(LEFT(D3490,6)="CLIENT",IF(E3490=0,WORKDAY(A3490-1,1,Dias_Sem_Compensacao!$A$2:$A$500),WORKDAY(A3490,E3490,Dias_Sem_Compensacao!$A$2:$A$500)),"")</f>
        <v>46330</v>
      </c>
      <c r="H3490" s="25">
        <v>0</v>
      </c>
      <c r="I3490" s="28">
        <v>46329</v>
      </c>
      <c r="J3490" t="s">
        <v>1227</v>
      </c>
      <c r="K3490" t="s">
        <v>3042</v>
      </c>
    </row>
    <row r="3491" spans="1:11" hidden="1">
      <c r="A3491" s="28">
        <v>46329</v>
      </c>
      <c r="B3491" t="s">
        <v>186</v>
      </c>
      <c r="C3491" t="s">
        <v>203</v>
      </c>
      <c r="D3491" t="s">
        <v>217</v>
      </c>
      <c r="E3491">
        <f>IF(LEFT(D3491,6)="CLIENT",IFERROR(VLOOKUP(C3491,Config_Carteiras!$A:$B,2,FALSE),1),"")</f>
        <v>1</v>
      </c>
      <c r="F3491" s="25">
        <v>420.95</v>
      </c>
      <c r="G3491" s="28">
        <f>IF(LEFT(D3491,6)="CLIENT",IF(E3491=0,WORKDAY(A3491-1,1,Dias_Sem_Compensacao!$A$2:$A$500),WORKDAY(A3491,E3491,Dias_Sem_Compensacao!$A$2:$A$500)),"")</f>
        <v>46330</v>
      </c>
      <c r="H3491" s="25">
        <v>0</v>
      </c>
      <c r="I3491" s="28">
        <v>46329</v>
      </c>
      <c r="J3491" t="s">
        <v>3043</v>
      </c>
      <c r="K3491" t="s">
        <v>3044</v>
      </c>
    </row>
    <row r="3492" spans="1:11" hidden="1">
      <c r="A3492" s="28">
        <v>46329</v>
      </c>
      <c r="B3492" t="s">
        <v>186</v>
      </c>
      <c r="C3492" t="s">
        <v>203</v>
      </c>
      <c r="D3492" t="s">
        <v>217</v>
      </c>
      <c r="E3492">
        <f>IF(LEFT(D3492,6)="CLIENT",IFERROR(VLOOKUP(C3492,Config_Carteiras!$A:$B,2,FALSE),1),"")</f>
        <v>1</v>
      </c>
      <c r="F3492" s="25">
        <v>1381</v>
      </c>
      <c r="G3492" s="28">
        <f>IF(LEFT(D3492,6)="CLIENT",IF(E3492=0,WORKDAY(A3492-1,1,Dias_Sem_Compensacao!$A$2:$A$500),WORKDAY(A3492,E3492,Dias_Sem_Compensacao!$A$2:$A$500)),"")</f>
        <v>46330</v>
      </c>
      <c r="H3492" s="25">
        <v>0</v>
      </c>
      <c r="I3492" s="28">
        <v>46329</v>
      </c>
      <c r="J3492" t="s">
        <v>1572</v>
      </c>
      <c r="K3492" t="s">
        <v>3447</v>
      </c>
    </row>
    <row r="3493" spans="1:11" hidden="1">
      <c r="A3493" s="28">
        <v>46329</v>
      </c>
      <c r="B3493" t="s">
        <v>186</v>
      </c>
      <c r="C3493" t="s">
        <v>203</v>
      </c>
      <c r="D3493" t="s">
        <v>217</v>
      </c>
      <c r="E3493">
        <f>IF(LEFT(D3493,6)="CLIENT",IFERROR(VLOOKUP(C3493,Config_Carteiras!$A:$B,2,FALSE),1),"")</f>
        <v>1</v>
      </c>
      <c r="F3493" s="25">
        <v>1212.22</v>
      </c>
      <c r="G3493" s="28">
        <f>IF(LEFT(D3493,6)="CLIENT",IF(E3493=0,WORKDAY(A3493-1,1,Dias_Sem_Compensacao!$A$2:$A$500),WORKDAY(A3493,E3493,Dias_Sem_Compensacao!$A$2:$A$500)),"")</f>
        <v>46330</v>
      </c>
      <c r="H3493" s="25">
        <v>0</v>
      </c>
      <c r="I3493" s="28">
        <v>46329</v>
      </c>
      <c r="J3493" t="s">
        <v>2956</v>
      </c>
      <c r="K3493" t="s">
        <v>2957</v>
      </c>
    </row>
    <row r="3494" spans="1:11" hidden="1">
      <c r="A3494" s="28">
        <v>46329</v>
      </c>
      <c r="B3494" t="s">
        <v>186</v>
      </c>
      <c r="C3494" t="s">
        <v>203</v>
      </c>
      <c r="D3494" t="s">
        <v>217</v>
      </c>
      <c r="E3494">
        <f>IF(LEFT(D3494,6)="CLIENT",IFERROR(VLOOKUP(C3494,Config_Carteiras!$A:$B,2,FALSE),1),"")</f>
        <v>1</v>
      </c>
      <c r="F3494" s="25">
        <v>4098</v>
      </c>
      <c r="G3494" s="28">
        <f>IF(LEFT(D3494,6)="CLIENT",IF(E3494=0,WORKDAY(A3494-1,1,Dias_Sem_Compensacao!$A$2:$A$500),WORKDAY(A3494,E3494,Dias_Sem_Compensacao!$A$2:$A$500)),"")</f>
        <v>46330</v>
      </c>
      <c r="H3494" s="25">
        <v>0</v>
      </c>
      <c r="I3494" s="28">
        <v>46329</v>
      </c>
      <c r="J3494" t="s">
        <v>1576</v>
      </c>
      <c r="K3494" t="s">
        <v>1577</v>
      </c>
    </row>
    <row r="3495" spans="1:11" hidden="1">
      <c r="A3495" s="28">
        <v>46329</v>
      </c>
      <c r="B3495" t="s">
        <v>186</v>
      </c>
      <c r="C3495" t="s">
        <v>203</v>
      </c>
      <c r="D3495" t="s">
        <v>217</v>
      </c>
      <c r="E3495">
        <f>IF(LEFT(D3495,6)="CLIENT",IFERROR(VLOOKUP(C3495,Config_Carteiras!$A:$B,2,FALSE),1),"")</f>
        <v>1</v>
      </c>
      <c r="F3495" s="25">
        <v>802.71</v>
      </c>
      <c r="G3495" s="28">
        <f>IF(LEFT(D3495,6)="CLIENT",IF(E3495=0,WORKDAY(A3495-1,1,Dias_Sem_Compensacao!$A$2:$A$500),WORKDAY(A3495,E3495,Dias_Sem_Compensacao!$A$2:$A$500)),"")</f>
        <v>46330</v>
      </c>
      <c r="H3495" s="25">
        <v>0</v>
      </c>
      <c r="I3495" s="28">
        <v>46329</v>
      </c>
      <c r="J3495" t="s">
        <v>3045</v>
      </c>
      <c r="K3495" t="s">
        <v>3046</v>
      </c>
    </row>
    <row r="3496" spans="1:11" hidden="1">
      <c r="A3496" s="28">
        <v>46329</v>
      </c>
      <c r="B3496" t="s">
        <v>186</v>
      </c>
      <c r="C3496" t="s">
        <v>203</v>
      </c>
      <c r="D3496" t="s">
        <v>217</v>
      </c>
      <c r="E3496">
        <f>IF(LEFT(D3496,6)="CLIENT",IFERROR(VLOOKUP(C3496,Config_Carteiras!$A:$B,2,FALSE),1),"")</f>
        <v>1</v>
      </c>
      <c r="F3496" s="25">
        <v>577</v>
      </c>
      <c r="G3496" s="28">
        <f>IF(LEFT(D3496,6)="CLIENT",IF(E3496=0,WORKDAY(A3496-1,1,Dias_Sem_Compensacao!$A$2:$A$500),WORKDAY(A3496,E3496,Dias_Sem_Compensacao!$A$2:$A$500)),"")</f>
        <v>46330</v>
      </c>
      <c r="H3496" s="25">
        <v>0</v>
      </c>
      <c r="I3496" s="28">
        <v>46329</v>
      </c>
      <c r="J3496" t="s">
        <v>2962</v>
      </c>
      <c r="K3496" t="s">
        <v>2963</v>
      </c>
    </row>
    <row r="3497" spans="1:11" hidden="1">
      <c r="A3497" s="28">
        <v>46329</v>
      </c>
      <c r="B3497" t="s">
        <v>186</v>
      </c>
      <c r="C3497" t="s">
        <v>203</v>
      </c>
      <c r="D3497" t="s">
        <v>217</v>
      </c>
      <c r="E3497">
        <f>IF(LEFT(D3497,6)="CLIENT",IFERROR(VLOOKUP(C3497,Config_Carteiras!$A:$B,2,FALSE),1),"")</f>
        <v>1</v>
      </c>
      <c r="F3497" s="25">
        <v>829.36</v>
      </c>
      <c r="G3497" s="28">
        <f>IF(LEFT(D3497,6)="CLIENT",IF(E3497=0,WORKDAY(A3497-1,1,Dias_Sem_Compensacao!$A$2:$A$500),WORKDAY(A3497,E3497,Dias_Sem_Compensacao!$A$2:$A$500)),"")</f>
        <v>46330</v>
      </c>
      <c r="H3497" s="25">
        <v>0</v>
      </c>
      <c r="I3497" s="28">
        <v>46329</v>
      </c>
      <c r="J3497" t="s">
        <v>2966</v>
      </c>
      <c r="K3497" t="s">
        <v>2967</v>
      </c>
    </row>
    <row r="3498" spans="1:11" hidden="1">
      <c r="A3498" s="28">
        <v>46329</v>
      </c>
      <c r="B3498" t="s">
        <v>186</v>
      </c>
      <c r="C3498" t="s">
        <v>203</v>
      </c>
      <c r="D3498" t="s">
        <v>217</v>
      </c>
      <c r="E3498">
        <f>IF(LEFT(D3498,6)="CLIENT",IFERROR(VLOOKUP(C3498,Config_Carteiras!$A:$B,2,FALSE),1),"")</f>
        <v>1</v>
      </c>
      <c r="F3498" s="25">
        <v>2120.17</v>
      </c>
      <c r="G3498" s="28">
        <f>IF(LEFT(D3498,6)="CLIENT",IF(E3498=0,WORKDAY(A3498-1,1,Dias_Sem_Compensacao!$A$2:$A$500),WORKDAY(A3498,E3498,Dias_Sem_Compensacao!$A$2:$A$500)),"")</f>
        <v>46330</v>
      </c>
      <c r="H3498" s="25">
        <v>0</v>
      </c>
      <c r="I3498" s="28">
        <v>46329</v>
      </c>
      <c r="J3498" t="s">
        <v>3448</v>
      </c>
      <c r="K3498" t="s">
        <v>3449</v>
      </c>
    </row>
    <row r="3499" spans="1:11" hidden="1">
      <c r="A3499" s="28">
        <v>46329</v>
      </c>
      <c r="B3499" t="s">
        <v>186</v>
      </c>
      <c r="C3499" t="s">
        <v>203</v>
      </c>
      <c r="D3499" t="s">
        <v>217</v>
      </c>
      <c r="E3499">
        <f>IF(LEFT(D3499,6)="CLIENT",IFERROR(VLOOKUP(C3499,Config_Carteiras!$A:$B,2,FALSE),1),"")</f>
        <v>1</v>
      </c>
      <c r="F3499" s="25">
        <v>1817.83</v>
      </c>
      <c r="G3499" s="28">
        <f>IF(LEFT(D3499,6)="CLIENT",IF(E3499=0,WORKDAY(A3499-1,1,Dias_Sem_Compensacao!$A$2:$A$500),WORKDAY(A3499,E3499,Dias_Sem_Compensacao!$A$2:$A$500)),"")</f>
        <v>46330</v>
      </c>
      <c r="H3499" s="25">
        <v>0</v>
      </c>
      <c r="I3499" s="28">
        <v>46329</v>
      </c>
      <c r="J3499" t="s">
        <v>2494</v>
      </c>
      <c r="K3499" t="s">
        <v>2495</v>
      </c>
    </row>
    <row r="3500" spans="1:11" hidden="1">
      <c r="A3500" s="28">
        <v>46329</v>
      </c>
      <c r="B3500" t="s">
        <v>186</v>
      </c>
      <c r="C3500" t="s">
        <v>203</v>
      </c>
      <c r="D3500" t="s">
        <v>217</v>
      </c>
      <c r="E3500">
        <f>IF(LEFT(D3500,6)="CLIENT",IFERROR(VLOOKUP(C3500,Config_Carteiras!$A:$B,2,FALSE),1),"")</f>
        <v>1</v>
      </c>
      <c r="F3500" s="25">
        <v>559</v>
      </c>
      <c r="G3500" s="28">
        <f>IF(LEFT(D3500,6)="CLIENT",IF(E3500=0,WORKDAY(A3500-1,1,Dias_Sem_Compensacao!$A$2:$A$500),WORKDAY(A3500,E3500,Dias_Sem_Compensacao!$A$2:$A$500)),"")</f>
        <v>46330</v>
      </c>
      <c r="H3500" s="25">
        <v>0</v>
      </c>
      <c r="I3500" s="28">
        <v>46329</v>
      </c>
      <c r="J3500" t="s">
        <v>1255</v>
      </c>
      <c r="K3500" t="s">
        <v>2498</v>
      </c>
    </row>
    <row r="3501" spans="1:11" hidden="1">
      <c r="A3501" s="28">
        <v>46329</v>
      </c>
      <c r="B3501" t="s">
        <v>186</v>
      </c>
      <c r="C3501" t="s">
        <v>203</v>
      </c>
      <c r="D3501" t="s">
        <v>217</v>
      </c>
      <c r="E3501">
        <f>IF(LEFT(D3501,6)="CLIENT",IFERROR(VLOOKUP(C3501,Config_Carteiras!$A:$B,2,FALSE),1),"")</f>
        <v>1</v>
      </c>
      <c r="F3501" s="25">
        <v>666</v>
      </c>
      <c r="G3501" s="28">
        <f>IF(LEFT(D3501,6)="CLIENT",IF(E3501=0,WORKDAY(A3501-1,1,Dias_Sem_Compensacao!$A$2:$A$500),WORKDAY(A3501,E3501,Dias_Sem_Compensacao!$A$2:$A$500)),"")</f>
        <v>46330</v>
      </c>
      <c r="H3501" s="25">
        <v>0</v>
      </c>
      <c r="I3501" s="28">
        <v>46329</v>
      </c>
      <c r="J3501" t="s">
        <v>1592</v>
      </c>
      <c r="K3501" t="s">
        <v>3366</v>
      </c>
    </row>
    <row r="3502" spans="1:11" hidden="1">
      <c r="A3502" s="28">
        <v>46329</v>
      </c>
      <c r="B3502" t="s">
        <v>186</v>
      </c>
      <c r="C3502" t="s">
        <v>203</v>
      </c>
      <c r="D3502" t="s">
        <v>217</v>
      </c>
      <c r="E3502">
        <f>IF(LEFT(D3502,6)="CLIENT",IFERROR(VLOOKUP(C3502,Config_Carteiras!$A:$B,2,FALSE),1),"")</f>
        <v>1</v>
      </c>
      <c r="F3502" s="25">
        <v>1066</v>
      </c>
      <c r="G3502" s="28">
        <f>IF(LEFT(D3502,6)="CLIENT",IF(E3502=0,WORKDAY(A3502-1,1,Dias_Sem_Compensacao!$A$2:$A$500),WORKDAY(A3502,E3502,Dias_Sem_Compensacao!$A$2:$A$500)),"")</f>
        <v>46330</v>
      </c>
      <c r="H3502" s="25">
        <v>0</v>
      </c>
      <c r="I3502" s="28">
        <v>46329</v>
      </c>
      <c r="J3502" t="s">
        <v>3396</v>
      </c>
      <c r="K3502" t="s">
        <v>3397</v>
      </c>
    </row>
    <row r="3503" spans="1:11" hidden="1">
      <c r="A3503" s="28">
        <v>46329</v>
      </c>
      <c r="B3503" t="s">
        <v>186</v>
      </c>
      <c r="C3503" t="s">
        <v>203</v>
      </c>
      <c r="D3503" t="s">
        <v>217</v>
      </c>
      <c r="E3503">
        <f>IF(LEFT(D3503,6)="CLIENT",IFERROR(VLOOKUP(C3503,Config_Carteiras!$A:$B,2,FALSE),1),"")</f>
        <v>1</v>
      </c>
      <c r="F3503" s="25">
        <v>1709</v>
      </c>
      <c r="G3503" s="28">
        <f>IF(LEFT(D3503,6)="CLIENT",IF(E3503=0,WORKDAY(A3503-1,1,Dias_Sem_Compensacao!$A$2:$A$500),WORKDAY(A3503,E3503,Dias_Sem_Compensacao!$A$2:$A$500)),"")</f>
        <v>46330</v>
      </c>
      <c r="H3503" s="25">
        <v>0</v>
      </c>
      <c r="I3503" s="28">
        <v>46329</v>
      </c>
      <c r="J3503" t="s">
        <v>1401</v>
      </c>
      <c r="K3503" t="s">
        <v>2973</v>
      </c>
    </row>
    <row r="3504" spans="1:11" hidden="1">
      <c r="A3504" s="28">
        <v>46329</v>
      </c>
      <c r="B3504" t="s">
        <v>186</v>
      </c>
      <c r="C3504" t="s">
        <v>203</v>
      </c>
      <c r="D3504" t="s">
        <v>217</v>
      </c>
      <c r="E3504">
        <f>IF(LEFT(D3504,6)="CLIENT",IFERROR(VLOOKUP(C3504,Config_Carteiras!$A:$B,2,FALSE),1),"")</f>
        <v>1</v>
      </c>
      <c r="F3504" s="25">
        <v>1005.82</v>
      </c>
      <c r="G3504" s="28">
        <f>IF(LEFT(D3504,6)="CLIENT",IF(E3504=0,WORKDAY(A3504-1,1,Dias_Sem_Compensacao!$A$2:$A$500),WORKDAY(A3504,E3504,Dias_Sem_Compensacao!$A$2:$A$500)),"")</f>
        <v>46330</v>
      </c>
      <c r="H3504" s="25">
        <v>0</v>
      </c>
      <c r="I3504" s="28">
        <v>46329</v>
      </c>
      <c r="J3504" t="s">
        <v>2974</v>
      </c>
      <c r="K3504" t="s">
        <v>2975</v>
      </c>
    </row>
    <row r="3505" spans="1:11" hidden="1">
      <c r="A3505" s="28">
        <v>46329</v>
      </c>
      <c r="B3505" t="s">
        <v>186</v>
      </c>
      <c r="C3505" t="s">
        <v>203</v>
      </c>
      <c r="D3505" t="s">
        <v>217</v>
      </c>
      <c r="E3505">
        <f>IF(LEFT(D3505,6)="CLIENT",IFERROR(VLOOKUP(C3505,Config_Carteiras!$A:$B,2,FALSE),1),"")</f>
        <v>1</v>
      </c>
      <c r="F3505" s="25">
        <v>660</v>
      </c>
      <c r="G3505" s="28">
        <f>IF(LEFT(D3505,6)="CLIENT",IF(E3505=0,WORKDAY(A3505-1,1,Dias_Sem_Compensacao!$A$2:$A$500),WORKDAY(A3505,E3505,Dias_Sem_Compensacao!$A$2:$A$500)),"")</f>
        <v>46330</v>
      </c>
      <c r="H3505" s="25">
        <v>0</v>
      </c>
      <c r="I3505" s="28">
        <v>46329</v>
      </c>
      <c r="J3505" t="s">
        <v>1910</v>
      </c>
      <c r="K3505" t="s">
        <v>3053</v>
      </c>
    </row>
    <row r="3506" spans="1:11" hidden="1">
      <c r="A3506" s="28">
        <v>46329</v>
      </c>
      <c r="B3506" t="s">
        <v>186</v>
      </c>
      <c r="C3506" t="s">
        <v>203</v>
      </c>
      <c r="D3506" t="s">
        <v>217</v>
      </c>
      <c r="E3506">
        <f>IF(LEFT(D3506,6)="CLIENT",IFERROR(VLOOKUP(C3506,Config_Carteiras!$A:$B,2,FALSE),1),"")</f>
        <v>1</v>
      </c>
      <c r="F3506" s="25">
        <v>1270.02</v>
      </c>
      <c r="G3506" s="28">
        <f>IF(LEFT(D3506,6)="CLIENT",IF(E3506=0,WORKDAY(A3506-1,1,Dias_Sem_Compensacao!$A$2:$A$500),WORKDAY(A3506,E3506,Dias_Sem_Compensacao!$A$2:$A$500)),"")</f>
        <v>46330</v>
      </c>
      <c r="H3506" s="25">
        <v>0</v>
      </c>
      <c r="I3506" s="28">
        <v>46329</v>
      </c>
      <c r="J3506" t="s">
        <v>2512</v>
      </c>
      <c r="K3506" t="s">
        <v>2513</v>
      </c>
    </row>
    <row r="3507" spans="1:11" hidden="1">
      <c r="A3507" s="28">
        <v>46329</v>
      </c>
      <c r="B3507" t="s">
        <v>186</v>
      </c>
      <c r="C3507" t="s">
        <v>203</v>
      </c>
      <c r="D3507" t="s">
        <v>217</v>
      </c>
      <c r="E3507">
        <f>IF(LEFT(D3507,6)="CLIENT",IFERROR(VLOOKUP(C3507,Config_Carteiras!$A:$B,2,FALSE),1),"")</f>
        <v>1</v>
      </c>
      <c r="F3507" s="25">
        <v>399.79</v>
      </c>
      <c r="G3507" s="28">
        <f>IF(LEFT(D3507,6)="CLIENT",IF(E3507=0,WORKDAY(A3507-1,1,Dias_Sem_Compensacao!$A$2:$A$500),WORKDAY(A3507,E3507,Dias_Sem_Compensacao!$A$2:$A$500)),"")</f>
        <v>46330</v>
      </c>
      <c r="H3507" s="25">
        <v>0</v>
      </c>
      <c r="I3507" s="28">
        <v>46329</v>
      </c>
      <c r="J3507" t="s">
        <v>2872</v>
      </c>
      <c r="K3507" t="s">
        <v>2873</v>
      </c>
    </row>
    <row r="3508" spans="1:11" hidden="1">
      <c r="A3508" s="28">
        <v>46329</v>
      </c>
      <c r="B3508" t="s">
        <v>186</v>
      </c>
      <c r="C3508" t="s">
        <v>203</v>
      </c>
      <c r="D3508" t="s">
        <v>217</v>
      </c>
      <c r="E3508">
        <f>IF(LEFT(D3508,6)="CLIENT",IFERROR(VLOOKUP(C3508,Config_Carteiras!$A:$B,2,FALSE),1),"")</f>
        <v>1</v>
      </c>
      <c r="F3508" s="25">
        <v>1033.3699999999999</v>
      </c>
      <c r="G3508" s="28">
        <f>IF(LEFT(D3508,6)="CLIENT",IF(E3508=0,WORKDAY(A3508-1,1,Dias_Sem_Compensacao!$A$2:$A$500),WORKDAY(A3508,E3508,Dias_Sem_Compensacao!$A$2:$A$500)),"")</f>
        <v>46330</v>
      </c>
      <c r="H3508" s="25">
        <v>0</v>
      </c>
      <c r="I3508" s="28">
        <v>46329</v>
      </c>
      <c r="J3508" t="s">
        <v>2979</v>
      </c>
      <c r="K3508" t="s">
        <v>2980</v>
      </c>
    </row>
    <row r="3509" spans="1:11" hidden="1">
      <c r="A3509" s="28">
        <v>46329</v>
      </c>
      <c r="B3509" t="s">
        <v>186</v>
      </c>
      <c r="C3509" t="s">
        <v>203</v>
      </c>
      <c r="D3509" t="s">
        <v>217</v>
      </c>
      <c r="E3509">
        <f>IF(LEFT(D3509,6)="CLIENT",IFERROR(VLOOKUP(C3509,Config_Carteiras!$A:$B,2,FALSE),1),"")</f>
        <v>1</v>
      </c>
      <c r="F3509" s="25">
        <v>851</v>
      </c>
      <c r="G3509" s="28">
        <f>IF(LEFT(D3509,6)="CLIENT",IF(E3509=0,WORKDAY(A3509-1,1,Dias_Sem_Compensacao!$A$2:$A$500),WORKDAY(A3509,E3509,Dias_Sem_Compensacao!$A$2:$A$500)),"")</f>
        <v>46330</v>
      </c>
      <c r="H3509" s="25">
        <v>0</v>
      </c>
      <c r="I3509" s="28">
        <v>46329</v>
      </c>
      <c r="J3509" t="s">
        <v>3450</v>
      </c>
      <c r="K3509" t="s">
        <v>3451</v>
      </c>
    </row>
    <row r="3510" spans="1:11" hidden="1">
      <c r="A3510" s="28">
        <v>46329</v>
      </c>
      <c r="B3510" t="s">
        <v>186</v>
      </c>
      <c r="C3510" t="s">
        <v>203</v>
      </c>
      <c r="D3510" t="s">
        <v>217</v>
      </c>
      <c r="E3510">
        <f>IF(LEFT(D3510,6)="CLIENT",IFERROR(VLOOKUP(C3510,Config_Carteiras!$A:$B,2,FALSE),1),"")</f>
        <v>1</v>
      </c>
      <c r="F3510" s="25">
        <v>1199</v>
      </c>
      <c r="G3510" s="28">
        <f>IF(LEFT(D3510,6)="CLIENT",IF(E3510=0,WORKDAY(A3510-1,1,Dias_Sem_Compensacao!$A$2:$A$500),WORKDAY(A3510,E3510,Dias_Sem_Compensacao!$A$2:$A$500)),"")</f>
        <v>46330</v>
      </c>
      <c r="H3510" s="25">
        <v>0</v>
      </c>
      <c r="I3510" s="28">
        <v>46329</v>
      </c>
      <c r="J3510" t="s">
        <v>3398</v>
      </c>
      <c r="K3510" t="s">
        <v>3399</v>
      </c>
    </row>
    <row r="3511" spans="1:11" hidden="1">
      <c r="A3511" s="28">
        <v>46329</v>
      </c>
      <c r="B3511" t="s">
        <v>186</v>
      </c>
      <c r="C3511" t="s">
        <v>203</v>
      </c>
      <c r="D3511" t="s">
        <v>217</v>
      </c>
      <c r="E3511">
        <f>IF(LEFT(D3511,6)="CLIENT",IFERROR(VLOOKUP(C3511,Config_Carteiras!$A:$B,2,FALSE),1),"")</f>
        <v>1</v>
      </c>
      <c r="F3511" s="25">
        <v>673.58</v>
      </c>
      <c r="G3511" s="28">
        <f>IF(LEFT(D3511,6)="CLIENT",IF(E3511=0,WORKDAY(A3511-1,1,Dias_Sem_Compensacao!$A$2:$A$500),WORKDAY(A3511,E3511,Dias_Sem_Compensacao!$A$2:$A$500)),"")</f>
        <v>46330</v>
      </c>
      <c r="H3511" s="25">
        <v>0</v>
      </c>
      <c r="I3511" s="28">
        <v>46329</v>
      </c>
      <c r="J3511" t="s">
        <v>2981</v>
      </c>
      <c r="K3511" t="s">
        <v>2982</v>
      </c>
    </row>
    <row r="3512" spans="1:11" hidden="1">
      <c r="A3512" s="28">
        <v>46329</v>
      </c>
      <c r="B3512" t="s">
        <v>186</v>
      </c>
      <c r="C3512" t="s">
        <v>203</v>
      </c>
      <c r="D3512" t="s">
        <v>217</v>
      </c>
      <c r="E3512">
        <f>IF(LEFT(D3512,6)="CLIENT",IFERROR(VLOOKUP(C3512,Config_Carteiras!$A:$B,2,FALSE),1),"")</f>
        <v>1</v>
      </c>
      <c r="F3512" s="25">
        <v>1071</v>
      </c>
      <c r="G3512" s="28">
        <f>IF(LEFT(D3512,6)="CLIENT",IF(E3512=0,WORKDAY(A3512-1,1,Dias_Sem_Compensacao!$A$2:$A$500),WORKDAY(A3512,E3512,Dias_Sem_Compensacao!$A$2:$A$500)),"")</f>
        <v>46330</v>
      </c>
      <c r="H3512" s="25">
        <v>0</v>
      </c>
      <c r="I3512" s="28">
        <v>46329</v>
      </c>
      <c r="J3512" t="s">
        <v>2874</v>
      </c>
      <c r="K3512" t="s">
        <v>2875</v>
      </c>
    </row>
    <row r="3513" spans="1:11" hidden="1">
      <c r="A3513" s="28">
        <v>46329</v>
      </c>
      <c r="B3513" t="s">
        <v>186</v>
      </c>
      <c r="C3513" t="s">
        <v>203</v>
      </c>
      <c r="D3513" t="s">
        <v>217</v>
      </c>
      <c r="E3513">
        <f>IF(LEFT(D3513,6)="CLIENT",IFERROR(VLOOKUP(C3513,Config_Carteiras!$A:$B,2,FALSE),1),"")</f>
        <v>1</v>
      </c>
      <c r="F3513" s="25">
        <v>309.98</v>
      </c>
      <c r="G3513" s="28">
        <f>IF(LEFT(D3513,6)="CLIENT",IF(E3513=0,WORKDAY(A3513-1,1,Dias_Sem_Compensacao!$A$2:$A$500),WORKDAY(A3513,E3513,Dias_Sem_Compensacao!$A$2:$A$500)),"")</f>
        <v>46330</v>
      </c>
      <c r="H3513" s="25">
        <v>0</v>
      </c>
      <c r="I3513" s="28">
        <v>46329</v>
      </c>
      <c r="J3513" t="s">
        <v>2524</v>
      </c>
      <c r="K3513" t="s">
        <v>2525</v>
      </c>
    </row>
    <row r="3514" spans="1:11" hidden="1">
      <c r="A3514" s="28">
        <v>46329</v>
      </c>
      <c r="B3514" t="s">
        <v>186</v>
      </c>
      <c r="C3514" t="s">
        <v>203</v>
      </c>
      <c r="D3514" t="s">
        <v>217</v>
      </c>
      <c r="E3514">
        <f>IF(LEFT(D3514,6)="CLIENT",IFERROR(VLOOKUP(C3514,Config_Carteiras!$A:$B,2,FALSE),1),"")</f>
        <v>1</v>
      </c>
      <c r="F3514" s="25">
        <v>1718.34</v>
      </c>
      <c r="G3514" s="28">
        <f>IF(LEFT(D3514,6)="CLIENT",IF(E3514=0,WORKDAY(A3514-1,1,Dias_Sem_Compensacao!$A$2:$A$500),WORKDAY(A3514,E3514,Dias_Sem_Compensacao!$A$2:$A$500)),"")</f>
        <v>46330</v>
      </c>
      <c r="H3514" s="25">
        <v>0</v>
      </c>
      <c r="I3514" s="28">
        <v>46329</v>
      </c>
      <c r="J3514" t="s">
        <v>2018</v>
      </c>
      <c r="K3514" t="s">
        <v>2019</v>
      </c>
    </row>
    <row r="3515" spans="1:11" hidden="1">
      <c r="A3515" s="28">
        <v>46329</v>
      </c>
      <c r="B3515" t="s">
        <v>186</v>
      </c>
      <c r="C3515" t="s">
        <v>203</v>
      </c>
      <c r="D3515" t="s">
        <v>217</v>
      </c>
      <c r="E3515">
        <f>IF(LEFT(D3515,6)="CLIENT",IFERROR(VLOOKUP(C3515,Config_Carteiras!$A:$B,2,FALSE),1),"")</f>
        <v>1</v>
      </c>
      <c r="F3515" s="25">
        <v>606.78</v>
      </c>
      <c r="G3515" s="28">
        <f>IF(LEFT(D3515,6)="CLIENT",IF(E3515=0,WORKDAY(A3515-1,1,Dias_Sem_Compensacao!$A$2:$A$500),WORKDAY(A3515,E3515,Dias_Sem_Compensacao!$A$2:$A$500)),"")</f>
        <v>46330</v>
      </c>
      <c r="H3515" s="25">
        <v>0</v>
      </c>
      <c r="I3515" s="28">
        <v>46329</v>
      </c>
      <c r="J3515" t="s">
        <v>2985</v>
      </c>
      <c r="K3515" t="s">
        <v>2986</v>
      </c>
    </row>
    <row r="3516" spans="1:11" hidden="1">
      <c r="A3516" s="28">
        <v>46329</v>
      </c>
      <c r="B3516" t="s">
        <v>186</v>
      </c>
      <c r="C3516" t="s">
        <v>203</v>
      </c>
      <c r="D3516" t="s">
        <v>217</v>
      </c>
      <c r="E3516">
        <f>IF(LEFT(D3516,6)="CLIENT",IFERROR(VLOOKUP(C3516,Config_Carteiras!$A:$B,2,FALSE),1),"")</f>
        <v>1</v>
      </c>
      <c r="F3516" s="25">
        <v>537</v>
      </c>
      <c r="G3516" s="28">
        <f>IF(LEFT(D3516,6)="CLIENT",IF(E3516=0,WORKDAY(A3516-1,1,Dias_Sem_Compensacao!$A$2:$A$500),WORKDAY(A3516,E3516,Dias_Sem_Compensacao!$A$2:$A$500)),"")</f>
        <v>46330</v>
      </c>
      <c r="H3516" s="25">
        <v>0</v>
      </c>
      <c r="I3516" s="28">
        <v>46329</v>
      </c>
      <c r="J3516" t="s">
        <v>2987</v>
      </c>
      <c r="K3516" t="s">
        <v>2988</v>
      </c>
    </row>
    <row r="3517" spans="1:11" hidden="1">
      <c r="A3517" s="28">
        <v>46329</v>
      </c>
      <c r="B3517" t="s">
        <v>186</v>
      </c>
      <c r="C3517" t="s">
        <v>203</v>
      </c>
      <c r="D3517" t="s">
        <v>217</v>
      </c>
      <c r="E3517">
        <f>IF(LEFT(D3517,6)="CLIENT",IFERROR(VLOOKUP(C3517,Config_Carteiras!$A:$B,2,FALSE),1),"")</f>
        <v>1</v>
      </c>
      <c r="F3517" s="25">
        <v>1669.92</v>
      </c>
      <c r="G3517" s="28">
        <f>IF(LEFT(D3517,6)="CLIENT",IF(E3517=0,WORKDAY(A3517-1,1,Dias_Sem_Compensacao!$A$2:$A$500),WORKDAY(A3517,E3517,Dias_Sem_Compensacao!$A$2:$A$500)),"")</f>
        <v>46330</v>
      </c>
      <c r="H3517" s="25">
        <v>0</v>
      </c>
      <c r="I3517" s="28">
        <v>46329</v>
      </c>
      <c r="J3517" t="s">
        <v>1020</v>
      </c>
      <c r="K3517" t="s">
        <v>2539</v>
      </c>
    </row>
    <row r="3518" spans="1:11" hidden="1">
      <c r="A3518" s="28">
        <v>46329</v>
      </c>
      <c r="B3518" t="s">
        <v>186</v>
      </c>
      <c r="C3518" t="s">
        <v>203</v>
      </c>
      <c r="D3518" t="s">
        <v>217</v>
      </c>
      <c r="E3518">
        <f>IF(LEFT(D3518,6)="CLIENT",IFERROR(VLOOKUP(C3518,Config_Carteiras!$A:$B,2,FALSE),1),"")</f>
        <v>1</v>
      </c>
      <c r="F3518" s="25">
        <v>307</v>
      </c>
      <c r="G3518" s="28">
        <f>IF(LEFT(D3518,6)="CLIENT",IF(E3518=0,WORKDAY(A3518-1,1,Dias_Sem_Compensacao!$A$2:$A$500),WORKDAY(A3518,E3518,Dias_Sem_Compensacao!$A$2:$A$500)),"")</f>
        <v>46330</v>
      </c>
      <c r="H3518" s="25">
        <v>0</v>
      </c>
      <c r="I3518" s="28">
        <v>46329</v>
      </c>
      <c r="J3518" t="s">
        <v>2991</v>
      </c>
      <c r="K3518" t="s">
        <v>2992</v>
      </c>
    </row>
    <row r="3519" spans="1:11" hidden="1">
      <c r="A3519" s="28">
        <v>46329</v>
      </c>
      <c r="B3519" t="s">
        <v>186</v>
      </c>
      <c r="C3519" t="s">
        <v>203</v>
      </c>
      <c r="D3519" t="s">
        <v>217</v>
      </c>
      <c r="E3519">
        <f>IF(LEFT(D3519,6)="CLIENT",IFERROR(VLOOKUP(C3519,Config_Carteiras!$A:$B,2,FALSE),1),"")</f>
        <v>1</v>
      </c>
      <c r="F3519" s="25">
        <v>601</v>
      </c>
      <c r="G3519" s="28">
        <f>IF(LEFT(D3519,6)="CLIENT",IF(E3519=0,WORKDAY(A3519-1,1,Dias_Sem_Compensacao!$A$2:$A$500),WORKDAY(A3519,E3519,Dias_Sem_Compensacao!$A$2:$A$500)),"")</f>
        <v>46330</v>
      </c>
      <c r="H3519" s="25">
        <v>0</v>
      </c>
      <c r="I3519" s="28">
        <v>46329</v>
      </c>
      <c r="J3519" t="s">
        <v>1635</v>
      </c>
      <c r="K3519" t="s">
        <v>3375</v>
      </c>
    </row>
    <row r="3520" spans="1:11" hidden="1">
      <c r="A3520" s="28">
        <v>46329</v>
      </c>
      <c r="B3520" t="s">
        <v>186</v>
      </c>
      <c r="C3520" t="s">
        <v>203</v>
      </c>
      <c r="D3520" t="s">
        <v>217</v>
      </c>
      <c r="E3520">
        <f>IF(LEFT(D3520,6)="CLIENT",IFERROR(VLOOKUP(C3520,Config_Carteiras!$A:$B,2,FALSE),1),"")</f>
        <v>1</v>
      </c>
      <c r="F3520" s="25">
        <v>8085.71</v>
      </c>
      <c r="G3520" s="28">
        <f>IF(LEFT(D3520,6)="CLIENT",IF(E3520=0,WORKDAY(A3520-1,1,Dias_Sem_Compensacao!$A$2:$A$500),WORKDAY(A3520,E3520,Dias_Sem_Compensacao!$A$2:$A$500)),"")</f>
        <v>46330</v>
      </c>
      <c r="H3520" s="25">
        <v>0</v>
      </c>
      <c r="I3520" s="28">
        <v>46329</v>
      </c>
      <c r="J3520" t="s">
        <v>3376</v>
      </c>
      <c r="K3520" t="s">
        <v>3377</v>
      </c>
    </row>
    <row r="3521" spans="1:11" hidden="1">
      <c r="A3521" s="28">
        <v>46329</v>
      </c>
      <c r="B3521" t="s">
        <v>186</v>
      </c>
      <c r="C3521" t="s">
        <v>203</v>
      </c>
      <c r="D3521" t="s">
        <v>217</v>
      </c>
      <c r="E3521">
        <f>IF(LEFT(D3521,6)="CLIENT",IFERROR(VLOOKUP(C3521,Config_Carteiras!$A:$B,2,FALSE),1),"")</f>
        <v>1</v>
      </c>
      <c r="F3521" s="25">
        <v>1168.2</v>
      </c>
      <c r="G3521" s="28">
        <f>IF(LEFT(D3521,6)="CLIENT",IF(E3521=0,WORKDAY(A3521-1,1,Dias_Sem_Compensacao!$A$2:$A$500),WORKDAY(A3521,E3521,Dias_Sem_Compensacao!$A$2:$A$500)),"")</f>
        <v>46330</v>
      </c>
      <c r="H3521" s="25">
        <v>0</v>
      </c>
      <c r="I3521" s="28">
        <v>46329</v>
      </c>
      <c r="J3521" t="s">
        <v>2131</v>
      </c>
      <c r="K3521" t="s">
        <v>3378</v>
      </c>
    </row>
    <row r="3522" spans="1:11" hidden="1">
      <c r="A3522" s="28">
        <v>46329</v>
      </c>
      <c r="B3522" t="s">
        <v>186</v>
      </c>
      <c r="C3522" t="s">
        <v>203</v>
      </c>
      <c r="D3522" t="s">
        <v>217</v>
      </c>
      <c r="E3522">
        <f>IF(LEFT(D3522,6)="CLIENT",IFERROR(VLOOKUP(C3522,Config_Carteiras!$A:$B,2,FALSE),1),"")</f>
        <v>1</v>
      </c>
      <c r="F3522" s="25">
        <v>6656</v>
      </c>
      <c r="G3522" s="28">
        <f>IF(LEFT(D3522,6)="CLIENT",IF(E3522=0,WORKDAY(A3522-1,1,Dias_Sem_Compensacao!$A$2:$A$500),WORKDAY(A3522,E3522,Dias_Sem_Compensacao!$A$2:$A$500)),"")</f>
        <v>46330</v>
      </c>
      <c r="H3522" s="25">
        <v>0</v>
      </c>
      <c r="I3522" s="28">
        <v>46329</v>
      </c>
      <c r="J3522" t="s">
        <v>1279</v>
      </c>
      <c r="K3522" t="s">
        <v>3400</v>
      </c>
    </row>
    <row r="3523" spans="1:11" hidden="1">
      <c r="A3523" s="28">
        <v>46329</v>
      </c>
      <c r="B3523" t="s">
        <v>186</v>
      </c>
      <c r="C3523" t="s">
        <v>203</v>
      </c>
      <c r="D3523" t="s">
        <v>217</v>
      </c>
      <c r="E3523">
        <f>IF(LEFT(D3523,6)="CLIENT",IFERROR(VLOOKUP(C3523,Config_Carteiras!$A:$B,2,FALSE),1),"")</f>
        <v>1</v>
      </c>
      <c r="F3523" s="25">
        <v>1321</v>
      </c>
      <c r="G3523" s="28">
        <f>IF(LEFT(D3523,6)="CLIENT",IF(E3523=0,WORKDAY(A3523-1,1,Dias_Sem_Compensacao!$A$2:$A$500),WORKDAY(A3523,E3523,Dias_Sem_Compensacao!$A$2:$A$500)),"")</f>
        <v>46330</v>
      </c>
      <c r="H3523" s="25">
        <v>0</v>
      </c>
      <c r="I3523" s="28">
        <v>46329</v>
      </c>
      <c r="J3523" t="s">
        <v>2993</v>
      </c>
      <c r="K3523" t="s">
        <v>3064</v>
      </c>
    </row>
    <row r="3524" spans="1:11" hidden="1">
      <c r="A3524" s="28">
        <v>46329</v>
      </c>
      <c r="B3524" t="s">
        <v>186</v>
      </c>
      <c r="C3524" t="s">
        <v>203</v>
      </c>
      <c r="D3524" t="s">
        <v>217</v>
      </c>
      <c r="E3524">
        <f>IF(LEFT(D3524,6)="CLIENT",IFERROR(VLOOKUP(C3524,Config_Carteiras!$A:$B,2,FALSE),1),"")</f>
        <v>1</v>
      </c>
      <c r="F3524" s="25">
        <v>553.58000000000004</v>
      </c>
      <c r="G3524" s="28">
        <f>IF(LEFT(D3524,6)="CLIENT",IF(E3524=0,WORKDAY(A3524-1,1,Dias_Sem_Compensacao!$A$2:$A$500),WORKDAY(A3524,E3524,Dias_Sem_Compensacao!$A$2:$A$500)),"")</f>
        <v>46330</v>
      </c>
      <c r="H3524" s="25">
        <v>0</v>
      </c>
      <c r="I3524" s="28">
        <v>46329</v>
      </c>
      <c r="J3524" t="s">
        <v>2995</v>
      </c>
      <c r="K3524" t="s">
        <v>2996</v>
      </c>
    </row>
    <row r="3525" spans="1:11" hidden="1">
      <c r="A3525" s="28">
        <v>46329</v>
      </c>
      <c r="B3525" t="s">
        <v>186</v>
      </c>
      <c r="C3525" t="s">
        <v>203</v>
      </c>
      <c r="D3525" t="s">
        <v>217</v>
      </c>
      <c r="E3525">
        <f>IF(LEFT(D3525,6)="CLIENT",IFERROR(VLOOKUP(C3525,Config_Carteiras!$A:$B,2,FALSE),1),"")</f>
        <v>1</v>
      </c>
      <c r="F3525" s="25">
        <v>3893.03</v>
      </c>
      <c r="G3525" s="28">
        <f>IF(LEFT(D3525,6)="CLIENT",IF(E3525=0,WORKDAY(A3525-1,1,Dias_Sem_Compensacao!$A$2:$A$500),WORKDAY(A3525,E3525,Dias_Sem_Compensacao!$A$2:$A$500)),"")</f>
        <v>46330</v>
      </c>
      <c r="H3525" s="25">
        <v>0</v>
      </c>
      <c r="I3525" s="28">
        <v>46329</v>
      </c>
      <c r="J3525" t="s">
        <v>3065</v>
      </c>
      <c r="K3525" t="s">
        <v>3066</v>
      </c>
    </row>
    <row r="3526" spans="1:11" hidden="1">
      <c r="A3526" s="28">
        <v>46329</v>
      </c>
      <c r="B3526" t="s">
        <v>186</v>
      </c>
      <c r="C3526" t="s">
        <v>203</v>
      </c>
      <c r="D3526" t="s">
        <v>217</v>
      </c>
      <c r="E3526">
        <f>IF(LEFT(D3526,6)="CLIENT",IFERROR(VLOOKUP(C3526,Config_Carteiras!$A:$B,2,FALSE),1),"")</f>
        <v>1</v>
      </c>
      <c r="F3526" s="25">
        <v>592</v>
      </c>
      <c r="G3526" s="28">
        <f>IF(LEFT(D3526,6)="CLIENT",IF(E3526=0,WORKDAY(A3526-1,1,Dias_Sem_Compensacao!$A$2:$A$500),WORKDAY(A3526,E3526,Dias_Sem_Compensacao!$A$2:$A$500)),"")</f>
        <v>46330</v>
      </c>
      <c r="H3526" s="25">
        <v>0</v>
      </c>
      <c r="I3526" s="28">
        <v>46329</v>
      </c>
      <c r="J3526" t="s">
        <v>3379</v>
      </c>
      <c r="K3526" t="s">
        <v>3380</v>
      </c>
    </row>
    <row r="3527" spans="1:11" hidden="1">
      <c r="A3527" s="28">
        <v>46329</v>
      </c>
      <c r="B3527" t="s">
        <v>186</v>
      </c>
      <c r="C3527" t="s">
        <v>203</v>
      </c>
      <c r="D3527" t="s">
        <v>217</v>
      </c>
      <c r="E3527">
        <f>IF(LEFT(D3527,6)="CLIENT",IFERROR(VLOOKUP(C3527,Config_Carteiras!$A:$B,2,FALSE),1),"")</f>
        <v>1</v>
      </c>
      <c r="F3527" s="25">
        <v>747.68</v>
      </c>
      <c r="G3527" s="28">
        <f>IF(LEFT(D3527,6)="CLIENT",IF(E3527=0,WORKDAY(A3527-1,1,Dias_Sem_Compensacao!$A$2:$A$500),WORKDAY(A3527,E3527,Dias_Sem_Compensacao!$A$2:$A$500)),"")</f>
        <v>46330</v>
      </c>
      <c r="H3527" s="25">
        <v>0</v>
      </c>
      <c r="I3527" s="28">
        <v>46329</v>
      </c>
      <c r="J3527" t="s">
        <v>3381</v>
      </c>
      <c r="K3527" t="s">
        <v>3382</v>
      </c>
    </row>
    <row r="3528" spans="1:11" hidden="1">
      <c r="A3528" s="28">
        <v>46329</v>
      </c>
      <c r="B3528" t="s">
        <v>186</v>
      </c>
      <c r="C3528" t="s">
        <v>203</v>
      </c>
      <c r="D3528" t="s">
        <v>217</v>
      </c>
      <c r="E3528">
        <f>IF(LEFT(D3528,6)="CLIENT",IFERROR(VLOOKUP(C3528,Config_Carteiras!$A:$B,2,FALSE),1),"")</f>
        <v>1</v>
      </c>
      <c r="F3528" s="25">
        <v>1035</v>
      </c>
      <c r="G3528" s="28">
        <f>IF(LEFT(D3528,6)="CLIENT",IF(E3528=0,WORKDAY(A3528-1,1,Dias_Sem_Compensacao!$A$2:$A$500),WORKDAY(A3528,E3528,Dias_Sem_Compensacao!$A$2:$A$500)),"")</f>
        <v>46330</v>
      </c>
      <c r="H3528" s="25">
        <v>0</v>
      </c>
      <c r="I3528" s="28">
        <v>46329</v>
      </c>
      <c r="J3528" t="s">
        <v>3383</v>
      </c>
      <c r="K3528" t="s">
        <v>3384</v>
      </c>
    </row>
    <row r="3529" spans="1:11" hidden="1">
      <c r="A3529" s="28">
        <v>46329</v>
      </c>
      <c r="B3529" t="s">
        <v>186</v>
      </c>
      <c r="C3529" t="s">
        <v>203</v>
      </c>
      <c r="D3529" t="s">
        <v>217</v>
      </c>
      <c r="E3529">
        <f>IF(LEFT(D3529,6)="CLIENT",IFERROR(VLOOKUP(C3529,Config_Carteiras!$A:$B,2,FALSE),1),"")</f>
        <v>1</v>
      </c>
      <c r="F3529" s="25">
        <v>521</v>
      </c>
      <c r="G3529" s="28">
        <f>IF(LEFT(D3529,6)="CLIENT",IF(E3529=0,WORKDAY(A3529-1,1,Dias_Sem_Compensacao!$A$2:$A$500),WORKDAY(A3529,E3529,Dias_Sem_Compensacao!$A$2:$A$500)),"")</f>
        <v>46330</v>
      </c>
      <c r="H3529" s="25">
        <v>0</v>
      </c>
      <c r="I3529" s="28">
        <v>46329</v>
      </c>
      <c r="J3529" t="s">
        <v>1929</v>
      </c>
      <c r="K3529" t="s">
        <v>2551</v>
      </c>
    </row>
    <row r="3530" spans="1:11" hidden="1">
      <c r="A3530" s="28">
        <v>46330</v>
      </c>
      <c r="B3530" t="s">
        <v>186</v>
      </c>
      <c r="C3530" t="s">
        <v>203</v>
      </c>
      <c r="D3530" t="s">
        <v>217</v>
      </c>
      <c r="E3530">
        <f>IF(LEFT(D3530,6)="CLIENT",IFERROR(VLOOKUP(C3530,Config_Carteiras!$A:$B,2,FALSE),1),"")</f>
        <v>1</v>
      </c>
      <c r="F3530" s="25">
        <v>432.55</v>
      </c>
      <c r="G3530" s="28">
        <f>IF(LEFT(D3530,6)="CLIENT",IF(E3530=0,WORKDAY(A3530-1,1,Dias_Sem_Compensacao!$A$2:$A$500),WORKDAY(A3530,E3530,Dias_Sem_Compensacao!$A$2:$A$500)),"")</f>
        <v>46331</v>
      </c>
      <c r="H3530" s="25">
        <v>0</v>
      </c>
      <c r="I3530" s="28">
        <v>46330</v>
      </c>
      <c r="J3530" t="s">
        <v>3071</v>
      </c>
      <c r="K3530" t="s">
        <v>3072</v>
      </c>
    </row>
    <row r="3531" spans="1:11" hidden="1">
      <c r="A3531" s="28">
        <v>46330</v>
      </c>
      <c r="B3531" t="s">
        <v>186</v>
      </c>
      <c r="C3531" t="s">
        <v>203</v>
      </c>
      <c r="D3531" t="s">
        <v>217</v>
      </c>
      <c r="E3531">
        <f>IF(LEFT(D3531,6)="CLIENT",IFERROR(VLOOKUP(C3531,Config_Carteiras!$A:$B,2,FALSE),1),"")</f>
        <v>1</v>
      </c>
      <c r="F3531" s="25">
        <v>643</v>
      </c>
      <c r="G3531" s="28">
        <f>IF(LEFT(D3531,6)="CLIENT",IF(E3531=0,WORKDAY(A3531-1,1,Dias_Sem_Compensacao!$A$2:$A$500),WORKDAY(A3531,E3531,Dias_Sem_Compensacao!$A$2:$A$500)),"")</f>
        <v>46331</v>
      </c>
      <c r="H3531" s="25">
        <v>0</v>
      </c>
      <c r="I3531" s="28">
        <v>46330</v>
      </c>
      <c r="J3531" t="s">
        <v>2552</v>
      </c>
      <c r="K3531" t="s">
        <v>2553</v>
      </c>
    </row>
    <row r="3532" spans="1:11" hidden="1">
      <c r="A3532" s="28">
        <v>46330</v>
      </c>
      <c r="B3532" t="s">
        <v>186</v>
      </c>
      <c r="C3532" t="s">
        <v>203</v>
      </c>
      <c r="D3532" t="s">
        <v>217</v>
      </c>
      <c r="E3532">
        <f>IF(LEFT(D3532,6)="CLIENT",IFERROR(VLOOKUP(C3532,Config_Carteiras!$A:$B,2,FALSE),1),"")</f>
        <v>1</v>
      </c>
      <c r="F3532" s="25">
        <v>669.66</v>
      </c>
      <c r="G3532" s="28">
        <f>IF(LEFT(D3532,6)="CLIENT",IF(E3532=0,WORKDAY(A3532-1,1,Dias_Sem_Compensacao!$A$2:$A$500),WORKDAY(A3532,E3532,Dias_Sem_Compensacao!$A$2:$A$500)),"")</f>
        <v>46331</v>
      </c>
      <c r="H3532" s="25">
        <v>0</v>
      </c>
      <c r="I3532" s="28">
        <v>46330</v>
      </c>
      <c r="J3532" t="s">
        <v>1304</v>
      </c>
      <c r="K3532" t="s">
        <v>1305</v>
      </c>
    </row>
    <row r="3533" spans="1:11" hidden="1">
      <c r="A3533" s="28">
        <v>46330</v>
      </c>
      <c r="B3533" t="s">
        <v>186</v>
      </c>
      <c r="C3533" t="s">
        <v>203</v>
      </c>
      <c r="D3533" t="s">
        <v>217</v>
      </c>
      <c r="E3533">
        <f>IF(LEFT(D3533,6)="CLIENT",IFERROR(VLOOKUP(C3533,Config_Carteiras!$A:$B,2,FALSE),1),"")</f>
        <v>1</v>
      </c>
      <c r="F3533" s="25">
        <v>1768</v>
      </c>
      <c r="G3533" s="28">
        <f>IF(LEFT(D3533,6)="CLIENT",IF(E3533=0,WORKDAY(A3533-1,1,Dias_Sem_Compensacao!$A$2:$A$500),WORKDAY(A3533,E3533,Dias_Sem_Compensacao!$A$2:$A$500)),"")</f>
        <v>46331</v>
      </c>
      <c r="H3533" s="25">
        <v>0</v>
      </c>
      <c r="I3533" s="28">
        <v>46330</v>
      </c>
      <c r="J3533" t="s">
        <v>3074</v>
      </c>
      <c r="K3533" t="s">
        <v>3075</v>
      </c>
    </row>
    <row r="3534" spans="1:11" hidden="1">
      <c r="A3534" s="28">
        <v>46330</v>
      </c>
      <c r="B3534" t="s">
        <v>186</v>
      </c>
      <c r="C3534" t="s">
        <v>203</v>
      </c>
      <c r="D3534" t="s">
        <v>217</v>
      </c>
      <c r="E3534">
        <f>IF(LEFT(D3534,6)="CLIENT",IFERROR(VLOOKUP(C3534,Config_Carteiras!$A:$B,2,FALSE),1),"")</f>
        <v>1</v>
      </c>
      <c r="F3534" s="25">
        <v>1472.09</v>
      </c>
      <c r="G3534" s="28">
        <f>IF(LEFT(D3534,6)="CLIENT",IF(E3534=0,WORKDAY(A3534-1,1,Dias_Sem_Compensacao!$A$2:$A$500),WORKDAY(A3534,E3534,Dias_Sem_Compensacao!$A$2:$A$500)),"")</f>
        <v>46331</v>
      </c>
      <c r="H3534" s="25">
        <v>0</v>
      </c>
      <c r="I3534" s="28">
        <v>46330</v>
      </c>
      <c r="J3534" t="s">
        <v>3080</v>
      </c>
      <c r="K3534" t="s">
        <v>3081</v>
      </c>
    </row>
    <row r="3535" spans="1:11" hidden="1">
      <c r="A3535" s="28">
        <v>46330</v>
      </c>
      <c r="B3535" t="s">
        <v>186</v>
      </c>
      <c r="C3535" t="s">
        <v>203</v>
      </c>
      <c r="D3535" t="s">
        <v>217</v>
      </c>
      <c r="E3535">
        <f>IF(LEFT(D3535,6)="CLIENT",IFERROR(VLOOKUP(C3535,Config_Carteiras!$A:$B,2,FALSE),1),"")</f>
        <v>1</v>
      </c>
      <c r="F3535" s="25">
        <v>649</v>
      </c>
      <c r="G3535" s="28">
        <f>IF(LEFT(D3535,6)="CLIENT",IF(E3535=0,WORKDAY(A3535-1,1,Dias_Sem_Compensacao!$A$2:$A$500),WORKDAY(A3535,E3535,Dias_Sem_Compensacao!$A$2:$A$500)),"")</f>
        <v>46331</v>
      </c>
      <c r="H3535" s="25">
        <v>0</v>
      </c>
      <c r="I3535" s="28">
        <v>46330</v>
      </c>
      <c r="J3535" t="s">
        <v>2577</v>
      </c>
      <c r="K3535" t="s">
        <v>2578</v>
      </c>
    </row>
    <row r="3536" spans="1:11" hidden="1">
      <c r="A3536" s="28">
        <v>46330</v>
      </c>
      <c r="B3536" t="s">
        <v>186</v>
      </c>
      <c r="C3536" t="s">
        <v>203</v>
      </c>
      <c r="D3536" t="s">
        <v>217</v>
      </c>
      <c r="E3536">
        <f>IF(LEFT(D3536,6)="CLIENT",IFERROR(VLOOKUP(C3536,Config_Carteiras!$A:$B,2,FALSE),1),"")</f>
        <v>1</v>
      </c>
      <c r="F3536" s="25">
        <v>627.66999999999996</v>
      </c>
      <c r="G3536" s="28">
        <f>IF(LEFT(D3536,6)="CLIENT",IF(E3536=0,WORKDAY(A3536-1,1,Dias_Sem_Compensacao!$A$2:$A$500),WORKDAY(A3536,E3536,Dias_Sem_Compensacao!$A$2:$A$500)),"")</f>
        <v>46331</v>
      </c>
      <c r="H3536" s="25">
        <v>0</v>
      </c>
      <c r="I3536" s="28">
        <v>46330</v>
      </c>
      <c r="J3536" t="s">
        <v>2579</v>
      </c>
      <c r="K3536" t="s">
        <v>2580</v>
      </c>
    </row>
    <row r="3537" spans="1:11" hidden="1">
      <c r="A3537" s="28">
        <v>46330</v>
      </c>
      <c r="B3537" t="s">
        <v>186</v>
      </c>
      <c r="C3537" t="s">
        <v>203</v>
      </c>
      <c r="D3537" t="s">
        <v>217</v>
      </c>
      <c r="E3537">
        <f>IF(LEFT(D3537,6)="CLIENT",IFERROR(VLOOKUP(C3537,Config_Carteiras!$A:$B,2,FALSE),1),"")</f>
        <v>1</v>
      </c>
      <c r="F3537" s="25">
        <v>947.69</v>
      </c>
      <c r="G3537" s="28">
        <f>IF(LEFT(D3537,6)="CLIENT",IF(E3537=0,WORKDAY(A3537-1,1,Dias_Sem_Compensacao!$A$2:$A$500),WORKDAY(A3537,E3537,Dias_Sem_Compensacao!$A$2:$A$500)),"")</f>
        <v>46331</v>
      </c>
      <c r="H3537" s="25">
        <v>0</v>
      </c>
      <c r="I3537" s="28">
        <v>46330</v>
      </c>
      <c r="J3537" t="s">
        <v>1331</v>
      </c>
      <c r="K3537" t="s">
        <v>3082</v>
      </c>
    </row>
    <row r="3538" spans="1:11" hidden="1">
      <c r="A3538" s="28">
        <v>46330</v>
      </c>
      <c r="B3538" t="s">
        <v>186</v>
      </c>
      <c r="C3538" t="s">
        <v>203</v>
      </c>
      <c r="D3538" t="s">
        <v>217</v>
      </c>
      <c r="E3538">
        <f>IF(LEFT(D3538,6)="CLIENT",IFERROR(VLOOKUP(C3538,Config_Carteiras!$A:$B,2,FALSE),1),"")</f>
        <v>1</v>
      </c>
      <c r="F3538" s="25">
        <v>2009</v>
      </c>
      <c r="G3538" s="28">
        <f>IF(LEFT(D3538,6)="CLIENT",IF(E3538=0,WORKDAY(A3538-1,1,Dias_Sem_Compensacao!$A$2:$A$500),WORKDAY(A3538,E3538,Dias_Sem_Compensacao!$A$2:$A$500)),"")</f>
        <v>46331</v>
      </c>
      <c r="H3538" s="25">
        <v>0</v>
      </c>
      <c r="I3538" s="28">
        <v>46330</v>
      </c>
      <c r="J3538" t="s">
        <v>1176</v>
      </c>
      <c r="K3538" t="s">
        <v>3406</v>
      </c>
    </row>
    <row r="3539" spans="1:11" hidden="1">
      <c r="A3539" s="28">
        <v>46330</v>
      </c>
      <c r="B3539" t="s">
        <v>186</v>
      </c>
      <c r="C3539" t="s">
        <v>203</v>
      </c>
      <c r="D3539" t="s">
        <v>217</v>
      </c>
      <c r="E3539">
        <f>IF(LEFT(D3539,6)="CLIENT",IFERROR(VLOOKUP(C3539,Config_Carteiras!$A:$B,2,FALSE),1),"")</f>
        <v>1</v>
      </c>
      <c r="F3539" s="25">
        <v>1127.8900000000001</v>
      </c>
      <c r="G3539" s="28">
        <f>IF(LEFT(D3539,6)="CLIENT",IF(E3539=0,WORKDAY(A3539-1,1,Dias_Sem_Compensacao!$A$2:$A$500),WORKDAY(A3539,E3539,Dias_Sem_Compensacao!$A$2:$A$500)),"")</f>
        <v>46331</v>
      </c>
      <c r="H3539" s="25">
        <v>0</v>
      </c>
      <c r="I3539" s="28">
        <v>46330</v>
      </c>
      <c r="J3539" t="s">
        <v>2592</v>
      </c>
      <c r="K3539" t="s">
        <v>2593</v>
      </c>
    </row>
    <row r="3540" spans="1:11" hidden="1">
      <c r="A3540" s="28">
        <v>46330</v>
      </c>
      <c r="B3540" t="s">
        <v>186</v>
      </c>
      <c r="C3540" t="s">
        <v>203</v>
      </c>
      <c r="D3540" t="s">
        <v>217</v>
      </c>
      <c r="E3540">
        <f>IF(LEFT(D3540,6)="CLIENT",IFERROR(VLOOKUP(C3540,Config_Carteiras!$A:$B,2,FALSE),1),"")</f>
        <v>1</v>
      </c>
      <c r="F3540" s="25">
        <v>1276</v>
      </c>
      <c r="G3540" s="28">
        <f>IF(LEFT(D3540,6)="CLIENT",IF(E3540=0,WORKDAY(A3540-1,1,Dias_Sem_Compensacao!$A$2:$A$500),WORKDAY(A3540,E3540,Dias_Sem_Compensacao!$A$2:$A$500)),"")</f>
        <v>46331</v>
      </c>
      <c r="H3540" s="25">
        <v>0</v>
      </c>
      <c r="I3540" s="28">
        <v>46330</v>
      </c>
      <c r="J3540" t="s">
        <v>3086</v>
      </c>
      <c r="K3540" t="s">
        <v>3087</v>
      </c>
    </row>
    <row r="3541" spans="1:11" hidden="1">
      <c r="A3541" s="28">
        <v>46330</v>
      </c>
      <c r="B3541" t="s">
        <v>186</v>
      </c>
      <c r="C3541" t="s">
        <v>203</v>
      </c>
      <c r="D3541" t="s">
        <v>217</v>
      </c>
      <c r="E3541">
        <f>IF(LEFT(D3541,6)="CLIENT",IFERROR(VLOOKUP(C3541,Config_Carteiras!$A:$B,2,FALSE),1),"")</f>
        <v>1</v>
      </c>
      <c r="F3541" s="25">
        <v>759.71</v>
      </c>
      <c r="G3541" s="28">
        <f>IF(LEFT(D3541,6)="CLIENT",IF(E3541=0,WORKDAY(A3541-1,1,Dias_Sem_Compensacao!$A$2:$A$500),WORKDAY(A3541,E3541,Dias_Sem_Compensacao!$A$2:$A$500)),"")</f>
        <v>46331</v>
      </c>
      <c r="H3541" s="25">
        <v>0</v>
      </c>
      <c r="I3541" s="28">
        <v>46330</v>
      </c>
      <c r="J3541" t="s">
        <v>3088</v>
      </c>
      <c r="K3541" t="s">
        <v>3089</v>
      </c>
    </row>
    <row r="3542" spans="1:11" hidden="1">
      <c r="A3542" s="28">
        <v>46330</v>
      </c>
      <c r="B3542" t="s">
        <v>186</v>
      </c>
      <c r="C3542" t="s">
        <v>203</v>
      </c>
      <c r="D3542" t="s">
        <v>217</v>
      </c>
      <c r="E3542">
        <f>IF(LEFT(D3542,6)="CLIENT",IFERROR(VLOOKUP(C3542,Config_Carteiras!$A:$B,2,FALSE),1),"")</f>
        <v>1</v>
      </c>
      <c r="F3542" s="25">
        <v>2083.25</v>
      </c>
      <c r="G3542" s="28">
        <f>IF(LEFT(D3542,6)="CLIENT",IF(E3542=0,WORKDAY(A3542-1,1,Dias_Sem_Compensacao!$A$2:$A$500),WORKDAY(A3542,E3542,Dias_Sem_Compensacao!$A$2:$A$500)),"")</f>
        <v>46331</v>
      </c>
      <c r="H3542" s="25">
        <v>0</v>
      </c>
      <c r="I3542" s="28">
        <v>46330</v>
      </c>
      <c r="J3542" t="s">
        <v>3090</v>
      </c>
      <c r="K3542" t="s">
        <v>3091</v>
      </c>
    </row>
    <row r="3543" spans="1:11" hidden="1">
      <c r="A3543" s="28">
        <v>46330</v>
      </c>
      <c r="B3543" t="s">
        <v>186</v>
      </c>
      <c r="C3543" t="s">
        <v>203</v>
      </c>
      <c r="D3543" t="s">
        <v>217</v>
      </c>
      <c r="E3543">
        <f>IF(LEFT(D3543,6)="CLIENT",IFERROR(VLOOKUP(C3543,Config_Carteiras!$A:$B,2,FALSE),1),"")</f>
        <v>1</v>
      </c>
      <c r="F3543" s="25">
        <v>597.61</v>
      </c>
      <c r="G3543" s="28">
        <f>IF(LEFT(D3543,6)="CLIENT",IF(E3543=0,WORKDAY(A3543-1,1,Dias_Sem_Compensacao!$A$2:$A$500),WORKDAY(A3543,E3543,Dias_Sem_Compensacao!$A$2:$A$500)),"")</f>
        <v>46331</v>
      </c>
      <c r="H3543" s="25">
        <v>0</v>
      </c>
      <c r="I3543" s="28">
        <v>46330</v>
      </c>
      <c r="J3543" t="s">
        <v>2597</v>
      </c>
      <c r="K3543" t="s">
        <v>2598</v>
      </c>
    </row>
    <row r="3544" spans="1:11" hidden="1">
      <c r="A3544" s="28">
        <v>46330</v>
      </c>
      <c r="B3544" t="s">
        <v>186</v>
      </c>
      <c r="C3544" t="s">
        <v>203</v>
      </c>
      <c r="D3544" t="s">
        <v>217</v>
      </c>
      <c r="E3544">
        <f>IF(LEFT(D3544,6)="CLIENT",IFERROR(VLOOKUP(C3544,Config_Carteiras!$A:$B,2,FALSE),1),"")</f>
        <v>1</v>
      </c>
      <c r="F3544" s="25">
        <v>628.32000000000005</v>
      </c>
      <c r="G3544" s="28">
        <f>IF(LEFT(D3544,6)="CLIENT",IF(E3544=0,WORKDAY(A3544-1,1,Dias_Sem_Compensacao!$A$2:$A$500),WORKDAY(A3544,E3544,Dias_Sem_Compensacao!$A$2:$A$500)),"")</f>
        <v>46331</v>
      </c>
      <c r="H3544" s="25">
        <v>0</v>
      </c>
      <c r="I3544" s="28">
        <v>46330</v>
      </c>
      <c r="J3544" t="s">
        <v>3094</v>
      </c>
      <c r="K3544" t="s">
        <v>3095</v>
      </c>
    </row>
    <row r="3545" spans="1:11" hidden="1">
      <c r="A3545" s="28">
        <v>46330</v>
      </c>
      <c r="B3545" t="s">
        <v>186</v>
      </c>
      <c r="C3545" t="s">
        <v>203</v>
      </c>
      <c r="D3545" t="s">
        <v>217</v>
      </c>
      <c r="E3545">
        <f>IF(LEFT(D3545,6)="CLIENT",IFERROR(VLOOKUP(C3545,Config_Carteiras!$A:$B,2,FALSE),1),"")</f>
        <v>1</v>
      </c>
      <c r="F3545" s="25">
        <v>314.5</v>
      </c>
      <c r="G3545" s="28">
        <f>IF(LEFT(D3545,6)="CLIENT",IF(E3545=0,WORKDAY(A3545-1,1,Dias_Sem_Compensacao!$A$2:$A$500),WORKDAY(A3545,E3545,Dias_Sem_Compensacao!$A$2:$A$500)),"")</f>
        <v>46331</v>
      </c>
      <c r="H3545" s="25">
        <v>0</v>
      </c>
      <c r="I3545" s="28">
        <v>46330</v>
      </c>
      <c r="J3545" t="s">
        <v>2071</v>
      </c>
      <c r="K3545" t="s">
        <v>2072</v>
      </c>
    </row>
    <row r="3546" spans="1:11" hidden="1">
      <c r="A3546" s="28">
        <v>46330</v>
      </c>
      <c r="B3546" t="s">
        <v>186</v>
      </c>
      <c r="C3546" t="s">
        <v>203</v>
      </c>
      <c r="D3546" t="s">
        <v>217</v>
      </c>
      <c r="E3546">
        <f>IF(LEFT(D3546,6)="CLIENT",IFERROR(VLOOKUP(C3546,Config_Carteiras!$A:$B,2,FALSE),1),"")</f>
        <v>1</v>
      </c>
      <c r="F3546" s="25">
        <v>4602.63</v>
      </c>
      <c r="G3546" s="28">
        <f>IF(LEFT(D3546,6)="CLIENT",IF(E3546=0,WORKDAY(A3546-1,1,Dias_Sem_Compensacao!$A$2:$A$500),WORKDAY(A3546,E3546,Dias_Sem_Compensacao!$A$2:$A$500)),"")</f>
        <v>46331</v>
      </c>
      <c r="H3546" s="25">
        <v>0</v>
      </c>
      <c r="I3546" s="28">
        <v>46330</v>
      </c>
      <c r="J3546" t="s">
        <v>3101</v>
      </c>
      <c r="K3546" t="s">
        <v>3102</v>
      </c>
    </row>
    <row r="3547" spans="1:11" hidden="1">
      <c r="A3547" s="28">
        <v>46330</v>
      </c>
      <c r="B3547" t="s">
        <v>186</v>
      </c>
      <c r="C3547" t="s">
        <v>203</v>
      </c>
      <c r="D3547" t="s">
        <v>217</v>
      </c>
      <c r="E3547">
        <f>IF(LEFT(D3547,6)="CLIENT",IFERROR(VLOOKUP(C3547,Config_Carteiras!$A:$B,2,FALSE),1),"")</f>
        <v>1</v>
      </c>
      <c r="F3547" s="25">
        <v>549.07000000000005</v>
      </c>
      <c r="G3547" s="28">
        <f>IF(LEFT(D3547,6)="CLIENT",IF(E3547=0,WORKDAY(A3547-1,1,Dias_Sem_Compensacao!$A$2:$A$500),WORKDAY(A3547,E3547,Dias_Sem_Compensacao!$A$2:$A$500)),"")</f>
        <v>46331</v>
      </c>
      <c r="H3547" s="25">
        <v>0</v>
      </c>
      <c r="I3547" s="28">
        <v>46330</v>
      </c>
      <c r="J3547" t="s">
        <v>2614</v>
      </c>
      <c r="K3547" t="s">
        <v>2615</v>
      </c>
    </row>
    <row r="3548" spans="1:11" hidden="1">
      <c r="A3548" s="28">
        <v>46330</v>
      </c>
      <c r="B3548" t="s">
        <v>186</v>
      </c>
      <c r="C3548" t="s">
        <v>203</v>
      </c>
      <c r="D3548" t="s">
        <v>217</v>
      </c>
      <c r="E3548">
        <f>IF(LEFT(D3548,6)="CLIENT",IFERROR(VLOOKUP(C3548,Config_Carteiras!$A:$B,2,FALSE),1),"")</f>
        <v>1</v>
      </c>
      <c r="F3548" s="25">
        <v>1435</v>
      </c>
      <c r="G3548" s="28">
        <f>IF(LEFT(D3548,6)="CLIENT",IF(E3548=0,WORKDAY(A3548-1,1,Dias_Sem_Compensacao!$A$2:$A$500),WORKDAY(A3548,E3548,Dias_Sem_Compensacao!$A$2:$A$500)),"")</f>
        <v>46331</v>
      </c>
      <c r="H3548" s="25">
        <v>0</v>
      </c>
      <c r="I3548" s="28">
        <v>46330</v>
      </c>
      <c r="J3548" t="s">
        <v>3109</v>
      </c>
      <c r="K3548" t="s">
        <v>3110</v>
      </c>
    </row>
    <row r="3549" spans="1:11" hidden="1">
      <c r="A3549" s="28">
        <v>46330</v>
      </c>
      <c r="B3549" t="s">
        <v>186</v>
      </c>
      <c r="C3549" t="s">
        <v>203</v>
      </c>
      <c r="D3549" t="s">
        <v>217</v>
      </c>
      <c r="E3549">
        <f>IF(LEFT(D3549,6)="CLIENT",IFERROR(VLOOKUP(C3549,Config_Carteiras!$A:$B,2,FALSE),1),"")</f>
        <v>1</v>
      </c>
      <c r="F3549" s="25">
        <v>2988</v>
      </c>
      <c r="G3549" s="28">
        <f>IF(LEFT(D3549,6)="CLIENT",IF(E3549=0,WORKDAY(A3549-1,1,Dias_Sem_Compensacao!$A$2:$A$500),WORKDAY(A3549,E3549,Dias_Sem_Compensacao!$A$2:$A$500)),"")</f>
        <v>46331</v>
      </c>
      <c r="H3549" s="25">
        <v>0</v>
      </c>
      <c r="I3549" s="28">
        <v>46330</v>
      </c>
      <c r="J3549" t="s">
        <v>3111</v>
      </c>
      <c r="K3549" t="s">
        <v>3112</v>
      </c>
    </row>
    <row r="3550" spans="1:11" hidden="1">
      <c r="A3550" s="28">
        <v>46330</v>
      </c>
      <c r="B3550" t="s">
        <v>186</v>
      </c>
      <c r="C3550" t="s">
        <v>203</v>
      </c>
      <c r="D3550" t="s">
        <v>217</v>
      </c>
      <c r="E3550">
        <f>IF(LEFT(D3550,6)="CLIENT",IFERROR(VLOOKUP(C3550,Config_Carteiras!$A:$B,2,FALSE),1),"")</f>
        <v>1</v>
      </c>
      <c r="F3550" s="25">
        <v>419</v>
      </c>
      <c r="G3550" s="28">
        <f>IF(LEFT(D3550,6)="CLIENT",IF(E3550=0,WORKDAY(A3550-1,1,Dias_Sem_Compensacao!$A$2:$A$500),WORKDAY(A3550,E3550,Dias_Sem_Compensacao!$A$2:$A$500)),"")</f>
        <v>46331</v>
      </c>
      <c r="H3550" s="25">
        <v>0</v>
      </c>
      <c r="I3550" s="28">
        <v>46330</v>
      </c>
      <c r="J3550" t="s">
        <v>2091</v>
      </c>
      <c r="K3550" t="s">
        <v>2622</v>
      </c>
    </row>
    <row r="3551" spans="1:11" hidden="1">
      <c r="A3551" s="28">
        <v>46330</v>
      </c>
      <c r="B3551" t="s">
        <v>186</v>
      </c>
      <c r="C3551" t="s">
        <v>203</v>
      </c>
      <c r="D3551" t="s">
        <v>217</v>
      </c>
      <c r="E3551">
        <f>IF(LEFT(D3551,6)="CLIENT",IFERROR(VLOOKUP(C3551,Config_Carteiras!$A:$B,2,FALSE),1),"")</f>
        <v>1</v>
      </c>
      <c r="F3551" s="25">
        <v>734</v>
      </c>
      <c r="G3551" s="28">
        <f>IF(LEFT(D3551,6)="CLIENT",IF(E3551=0,WORKDAY(A3551-1,1,Dias_Sem_Compensacao!$A$2:$A$500),WORKDAY(A3551,E3551,Dias_Sem_Compensacao!$A$2:$A$500)),"")</f>
        <v>46331</v>
      </c>
      <c r="H3551" s="25">
        <v>0</v>
      </c>
      <c r="I3551" s="28">
        <v>46330</v>
      </c>
      <c r="J3551" t="s">
        <v>3115</v>
      </c>
      <c r="K3551" t="s">
        <v>3116</v>
      </c>
    </row>
    <row r="3552" spans="1:11" hidden="1">
      <c r="A3552" s="28">
        <v>46330</v>
      </c>
      <c r="B3552" t="s">
        <v>186</v>
      </c>
      <c r="C3552" t="s">
        <v>203</v>
      </c>
      <c r="D3552" t="s">
        <v>217</v>
      </c>
      <c r="E3552">
        <f>IF(LEFT(D3552,6)="CLIENT",IFERROR(VLOOKUP(C3552,Config_Carteiras!$A:$B,2,FALSE),1),"")</f>
        <v>1</v>
      </c>
      <c r="F3552" s="25">
        <v>1938.79</v>
      </c>
      <c r="G3552" s="28">
        <f>IF(LEFT(D3552,6)="CLIENT",IF(E3552=0,WORKDAY(A3552-1,1,Dias_Sem_Compensacao!$A$2:$A$500),WORKDAY(A3552,E3552,Dias_Sem_Compensacao!$A$2:$A$500)),"")</f>
        <v>46331</v>
      </c>
      <c r="H3552" s="25">
        <v>0</v>
      </c>
      <c r="I3552" s="28">
        <v>46330</v>
      </c>
      <c r="J3552" t="s">
        <v>3121</v>
      </c>
      <c r="K3552" t="s">
        <v>3122</v>
      </c>
    </row>
    <row r="3553" spans="1:11" hidden="1">
      <c r="A3553" s="28">
        <v>46330</v>
      </c>
      <c r="B3553" t="s">
        <v>186</v>
      </c>
      <c r="C3553" t="s">
        <v>203</v>
      </c>
      <c r="D3553" t="s">
        <v>217</v>
      </c>
      <c r="E3553">
        <f>IF(LEFT(D3553,6)="CLIENT",IFERROR(VLOOKUP(C3553,Config_Carteiras!$A:$B,2,FALSE),1),"")</f>
        <v>1</v>
      </c>
      <c r="F3553" s="25">
        <v>18240</v>
      </c>
      <c r="G3553" s="28">
        <f>IF(LEFT(D3553,6)="CLIENT",IF(E3553=0,WORKDAY(A3553-1,1,Dias_Sem_Compensacao!$A$2:$A$500),WORKDAY(A3553,E3553,Dias_Sem_Compensacao!$A$2:$A$500)),"")</f>
        <v>46331</v>
      </c>
      <c r="H3553" s="25">
        <v>0</v>
      </c>
      <c r="I3553" s="28">
        <v>46330</v>
      </c>
      <c r="J3553" t="s">
        <v>1392</v>
      </c>
      <c r="K3553" t="s">
        <v>2642</v>
      </c>
    </row>
    <row r="3554" spans="1:11" hidden="1">
      <c r="A3554" s="28">
        <v>46330</v>
      </c>
      <c r="B3554" t="s">
        <v>186</v>
      </c>
      <c r="C3554" t="s">
        <v>203</v>
      </c>
      <c r="D3554" t="s">
        <v>217</v>
      </c>
      <c r="E3554">
        <f>IF(LEFT(D3554,6)="CLIENT",IFERROR(VLOOKUP(C3554,Config_Carteiras!$A:$B,2,FALSE),1),"")</f>
        <v>1</v>
      </c>
      <c r="F3554" s="25">
        <v>18240</v>
      </c>
      <c r="G3554" s="28">
        <f>IF(LEFT(D3554,6)="CLIENT",IF(E3554=0,WORKDAY(A3554-1,1,Dias_Sem_Compensacao!$A$2:$A$500),WORKDAY(A3554,E3554,Dias_Sem_Compensacao!$A$2:$A$500)),"")</f>
        <v>46331</v>
      </c>
      <c r="H3554" s="25">
        <v>0</v>
      </c>
      <c r="I3554" s="28">
        <v>46330</v>
      </c>
      <c r="K3554" t="s">
        <v>3407</v>
      </c>
    </row>
    <row r="3555" spans="1:11" hidden="1">
      <c r="A3555" s="28">
        <v>46330</v>
      </c>
      <c r="B3555" t="s">
        <v>186</v>
      </c>
      <c r="C3555" t="s">
        <v>203</v>
      </c>
      <c r="D3555" t="s">
        <v>217</v>
      </c>
      <c r="E3555">
        <f>IF(LEFT(D3555,6)="CLIENT",IFERROR(VLOOKUP(C3555,Config_Carteiras!$A:$B,2,FALSE),1),"")</f>
        <v>1</v>
      </c>
      <c r="F3555" s="25">
        <v>659.67</v>
      </c>
      <c r="G3555" s="28">
        <f>IF(LEFT(D3555,6)="CLIENT",IF(E3555=0,WORKDAY(A3555-1,1,Dias_Sem_Compensacao!$A$2:$A$500),WORKDAY(A3555,E3555,Dias_Sem_Compensacao!$A$2:$A$500)),"")</f>
        <v>46331</v>
      </c>
      <c r="H3555" s="25">
        <v>0</v>
      </c>
      <c r="I3555" s="28">
        <v>46330</v>
      </c>
      <c r="J3555" t="s">
        <v>2647</v>
      </c>
      <c r="K3555" t="s">
        <v>2648</v>
      </c>
    </row>
    <row r="3556" spans="1:11" hidden="1">
      <c r="A3556" s="28">
        <v>46330</v>
      </c>
      <c r="B3556" t="s">
        <v>186</v>
      </c>
      <c r="C3556" t="s">
        <v>203</v>
      </c>
      <c r="D3556" t="s">
        <v>217</v>
      </c>
      <c r="E3556">
        <f>IF(LEFT(D3556,6)="CLIENT",IFERROR(VLOOKUP(C3556,Config_Carteiras!$A:$B,2,FALSE),1),"")</f>
        <v>1</v>
      </c>
      <c r="F3556" s="25">
        <v>923.7</v>
      </c>
      <c r="G3556" s="28">
        <f>IF(LEFT(D3556,6)="CLIENT",IF(E3556=0,WORKDAY(A3556-1,1,Dias_Sem_Compensacao!$A$2:$A$500),WORKDAY(A3556,E3556,Dias_Sem_Compensacao!$A$2:$A$500)),"")</f>
        <v>46331</v>
      </c>
      <c r="H3556" s="25">
        <v>0</v>
      </c>
      <c r="I3556" s="28">
        <v>46330</v>
      </c>
      <c r="J3556" t="s">
        <v>3127</v>
      </c>
      <c r="K3556" t="s">
        <v>3128</v>
      </c>
    </row>
    <row r="3557" spans="1:11" hidden="1">
      <c r="A3557" s="28">
        <v>46330</v>
      </c>
      <c r="B3557" t="s">
        <v>186</v>
      </c>
      <c r="C3557" t="s">
        <v>203</v>
      </c>
      <c r="D3557" t="s">
        <v>217</v>
      </c>
      <c r="E3557">
        <f>IF(LEFT(D3557,6)="CLIENT",IFERROR(VLOOKUP(C3557,Config_Carteiras!$A:$B,2,FALSE),1),"")</f>
        <v>1</v>
      </c>
      <c r="F3557" s="25">
        <v>923.7</v>
      </c>
      <c r="G3557" s="28">
        <f>IF(LEFT(D3557,6)="CLIENT",IF(E3557=0,WORKDAY(A3557-1,1,Dias_Sem_Compensacao!$A$2:$A$500),WORKDAY(A3557,E3557,Dias_Sem_Compensacao!$A$2:$A$500)),"")</f>
        <v>46331</v>
      </c>
      <c r="H3557" s="25">
        <v>0</v>
      </c>
      <c r="I3557" s="28">
        <v>46330</v>
      </c>
      <c r="J3557" t="s">
        <v>3129</v>
      </c>
      <c r="K3557" t="s">
        <v>3130</v>
      </c>
    </row>
    <row r="3558" spans="1:11" hidden="1">
      <c r="A3558" s="28">
        <v>46330</v>
      </c>
      <c r="B3558" t="s">
        <v>186</v>
      </c>
      <c r="C3558" t="s">
        <v>203</v>
      </c>
      <c r="D3558" t="s">
        <v>217</v>
      </c>
      <c r="E3558">
        <f>IF(LEFT(D3558,6)="CLIENT",IFERROR(VLOOKUP(C3558,Config_Carteiras!$A:$B,2,FALSE),1),"")</f>
        <v>1</v>
      </c>
      <c r="F3558" s="25">
        <v>1377.94</v>
      </c>
      <c r="G3558" s="28">
        <f>IF(LEFT(D3558,6)="CLIENT",IF(E3558=0,WORKDAY(A3558-1,1,Dias_Sem_Compensacao!$A$2:$A$500),WORKDAY(A3558,E3558,Dias_Sem_Compensacao!$A$2:$A$500)),"")</f>
        <v>46331</v>
      </c>
      <c r="H3558" s="25">
        <v>0</v>
      </c>
      <c r="I3558" s="28">
        <v>46330</v>
      </c>
      <c r="J3558" t="s">
        <v>2651</v>
      </c>
      <c r="K3558" t="s">
        <v>2652</v>
      </c>
    </row>
    <row r="3559" spans="1:11" hidden="1">
      <c r="A3559" s="28">
        <v>46330</v>
      </c>
      <c r="B3559" t="s">
        <v>186</v>
      </c>
      <c r="C3559" t="s">
        <v>203</v>
      </c>
      <c r="D3559" t="s">
        <v>217</v>
      </c>
      <c r="E3559">
        <f>IF(LEFT(D3559,6)="CLIENT",IFERROR(VLOOKUP(C3559,Config_Carteiras!$A:$B,2,FALSE),1),"")</f>
        <v>1</v>
      </c>
      <c r="F3559" s="25">
        <v>334</v>
      </c>
      <c r="G3559" s="28">
        <f>IF(LEFT(D3559,6)="CLIENT",IF(E3559=0,WORKDAY(A3559-1,1,Dias_Sem_Compensacao!$A$2:$A$500),WORKDAY(A3559,E3559,Dias_Sem_Compensacao!$A$2:$A$500)),"")</f>
        <v>46331</v>
      </c>
      <c r="H3559" s="25">
        <v>0</v>
      </c>
      <c r="I3559" s="28">
        <v>46330</v>
      </c>
      <c r="J3559" t="s">
        <v>2655</v>
      </c>
      <c r="K3559" t="s">
        <v>2656</v>
      </c>
    </row>
    <row r="3560" spans="1:11" hidden="1">
      <c r="A3560" s="28">
        <v>46330</v>
      </c>
      <c r="B3560" t="s">
        <v>186</v>
      </c>
      <c r="C3560" t="s">
        <v>203</v>
      </c>
      <c r="D3560" t="s">
        <v>217</v>
      </c>
      <c r="E3560">
        <f>IF(LEFT(D3560,6)="CLIENT",IFERROR(VLOOKUP(C3560,Config_Carteiras!$A:$B,2,FALSE),1),"")</f>
        <v>1</v>
      </c>
      <c r="F3560" s="25">
        <v>594.75</v>
      </c>
      <c r="G3560" s="28">
        <f>IF(LEFT(D3560,6)="CLIENT",IF(E3560=0,WORKDAY(A3560-1,1,Dias_Sem_Compensacao!$A$2:$A$500),WORKDAY(A3560,E3560,Dias_Sem_Compensacao!$A$2:$A$500)),"")</f>
        <v>46331</v>
      </c>
      <c r="H3560" s="25">
        <v>0</v>
      </c>
      <c r="I3560" s="28">
        <v>46330</v>
      </c>
      <c r="J3560" t="s">
        <v>2663</v>
      </c>
      <c r="K3560" t="s">
        <v>2664</v>
      </c>
    </row>
    <row r="3561" spans="1:11" hidden="1">
      <c r="A3561" s="28">
        <v>46330</v>
      </c>
      <c r="B3561" t="s">
        <v>186</v>
      </c>
      <c r="C3561" t="s">
        <v>203</v>
      </c>
      <c r="D3561" t="s">
        <v>217</v>
      </c>
      <c r="E3561">
        <f>IF(LEFT(D3561,6)="CLIENT",IFERROR(VLOOKUP(C3561,Config_Carteiras!$A:$B,2,FALSE),1),"")</f>
        <v>1</v>
      </c>
      <c r="F3561" s="25">
        <v>2410.73</v>
      </c>
      <c r="G3561" s="28">
        <f>IF(LEFT(D3561,6)="CLIENT",IF(E3561=0,WORKDAY(A3561-1,1,Dias_Sem_Compensacao!$A$2:$A$500),WORKDAY(A3561,E3561,Dias_Sem_Compensacao!$A$2:$A$500)),"")</f>
        <v>46331</v>
      </c>
      <c r="H3561" s="25">
        <v>0</v>
      </c>
      <c r="I3561" s="28">
        <v>46330</v>
      </c>
      <c r="J3561" t="s">
        <v>3142</v>
      </c>
      <c r="K3561" t="s">
        <v>3143</v>
      </c>
    </row>
    <row r="3562" spans="1:11" hidden="1">
      <c r="A3562" s="28">
        <v>46331</v>
      </c>
      <c r="B3562" t="s">
        <v>186</v>
      </c>
      <c r="C3562" t="s">
        <v>203</v>
      </c>
      <c r="D3562" t="s">
        <v>217</v>
      </c>
      <c r="E3562">
        <f>IF(LEFT(D3562,6)="CLIENT",IFERROR(VLOOKUP(C3562,Config_Carteiras!$A:$B,2,FALSE),1),"")</f>
        <v>1</v>
      </c>
      <c r="F3562" s="25">
        <v>1000</v>
      </c>
      <c r="G3562" s="28">
        <f>IF(LEFT(D3562,6)="CLIENT",IF(E3562=0,WORKDAY(A3562-1,1,Dias_Sem_Compensacao!$A$2:$A$500),WORKDAY(A3562,E3562,Dias_Sem_Compensacao!$A$2:$A$500)),"")</f>
        <v>46332</v>
      </c>
      <c r="H3562" s="25">
        <v>0</v>
      </c>
      <c r="I3562" s="28">
        <v>46331</v>
      </c>
      <c r="J3562" t="s">
        <v>3408</v>
      </c>
      <c r="K3562" t="s">
        <v>3409</v>
      </c>
    </row>
    <row r="3563" spans="1:11" hidden="1">
      <c r="A3563" s="28">
        <v>46331</v>
      </c>
      <c r="B3563" t="s">
        <v>186</v>
      </c>
      <c r="C3563" t="s">
        <v>203</v>
      </c>
      <c r="D3563" t="s">
        <v>217</v>
      </c>
      <c r="E3563">
        <f>IF(LEFT(D3563,6)="CLIENT",IFERROR(VLOOKUP(C3563,Config_Carteiras!$A:$B,2,FALSE),1),"")</f>
        <v>1</v>
      </c>
      <c r="F3563" s="25">
        <v>3079.37</v>
      </c>
      <c r="G3563" s="28">
        <f>IF(LEFT(D3563,6)="CLIENT",IF(E3563=0,WORKDAY(A3563-1,1,Dias_Sem_Compensacao!$A$2:$A$500),WORKDAY(A3563,E3563,Dias_Sem_Compensacao!$A$2:$A$500)),"")</f>
        <v>46332</v>
      </c>
      <c r="H3563" s="25">
        <v>0</v>
      </c>
      <c r="I3563" s="28">
        <v>46331</v>
      </c>
      <c r="J3563" t="s">
        <v>3144</v>
      </c>
      <c r="K3563" t="s">
        <v>3145</v>
      </c>
    </row>
    <row r="3564" spans="1:11" hidden="1">
      <c r="A3564" s="28">
        <v>46331</v>
      </c>
      <c r="B3564" t="s">
        <v>186</v>
      </c>
      <c r="C3564" t="s">
        <v>203</v>
      </c>
      <c r="D3564" t="s">
        <v>217</v>
      </c>
      <c r="E3564">
        <f>IF(LEFT(D3564,6)="CLIENT",IFERROR(VLOOKUP(C3564,Config_Carteiras!$A:$B,2,FALSE),1),"")</f>
        <v>1</v>
      </c>
      <c r="F3564" s="25">
        <v>552</v>
      </c>
      <c r="G3564" s="28">
        <f>IF(LEFT(D3564,6)="CLIENT",IF(E3564=0,WORKDAY(A3564-1,1,Dias_Sem_Compensacao!$A$2:$A$500),WORKDAY(A3564,E3564,Dias_Sem_Compensacao!$A$2:$A$500)),"")</f>
        <v>46332</v>
      </c>
      <c r="H3564" s="25">
        <v>0</v>
      </c>
      <c r="I3564" s="28">
        <v>46331</v>
      </c>
      <c r="J3564" t="s">
        <v>3146</v>
      </c>
      <c r="K3564" t="s">
        <v>3147</v>
      </c>
    </row>
    <row r="3565" spans="1:11" hidden="1">
      <c r="A3565" s="28">
        <v>46331</v>
      </c>
      <c r="B3565" t="s">
        <v>186</v>
      </c>
      <c r="C3565" t="s">
        <v>203</v>
      </c>
      <c r="D3565" t="s">
        <v>217</v>
      </c>
      <c r="E3565">
        <f>IF(LEFT(D3565,6)="CLIENT",IFERROR(VLOOKUP(C3565,Config_Carteiras!$A:$B,2,FALSE),1),"")</f>
        <v>1</v>
      </c>
      <c r="F3565" s="25">
        <v>14592</v>
      </c>
      <c r="G3565" s="28">
        <f>IF(LEFT(D3565,6)="CLIENT",IF(E3565=0,WORKDAY(A3565-1,1,Dias_Sem_Compensacao!$A$2:$A$500),WORKDAY(A3565,E3565,Dias_Sem_Compensacao!$A$2:$A$500)),"")</f>
        <v>46332</v>
      </c>
      <c r="H3565" s="25">
        <v>0</v>
      </c>
      <c r="I3565" s="28">
        <v>46331</v>
      </c>
      <c r="J3565" t="s">
        <v>2135</v>
      </c>
      <c r="K3565" t="s">
        <v>2136</v>
      </c>
    </row>
    <row r="3566" spans="1:11" hidden="1">
      <c r="A3566" s="28">
        <v>46331</v>
      </c>
      <c r="B3566" t="s">
        <v>186</v>
      </c>
      <c r="C3566" t="s">
        <v>203</v>
      </c>
      <c r="D3566" t="s">
        <v>217</v>
      </c>
      <c r="E3566">
        <f>IF(LEFT(D3566,6)="CLIENT",IFERROR(VLOOKUP(C3566,Config_Carteiras!$A:$B,2,FALSE),1),"")</f>
        <v>1</v>
      </c>
      <c r="F3566" s="25">
        <v>508.62</v>
      </c>
      <c r="G3566" s="28">
        <f>IF(LEFT(D3566,6)="CLIENT",IF(E3566=0,WORKDAY(A3566-1,1,Dias_Sem_Compensacao!$A$2:$A$500),WORKDAY(A3566,E3566,Dias_Sem_Compensacao!$A$2:$A$500)),"")</f>
        <v>46332</v>
      </c>
      <c r="H3566" s="25">
        <v>0</v>
      </c>
      <c r="I3566" s="28">
        <v>46331</v>
      </c>
      <c r="J3566" t="s">
        <v>2139</v>
      </c>
      <c r="K3566" t="s">
        <v>2140</v>
      </c>
    </row>
    <row r="3567" spans="1:11" hidden="1">
      <c r="A3567" s="28">
        <v>46331</v>
      </c>
      <c r="B3567" t="s">
        <v>186</v>
      </c>
      <c r="C3567" t="s">
        <v>203</v>
      </c>
      <c r="D3567" t="s">
        <v>217</v>
      </c>
      <c r="E3567">
        <f>IF(LEFT(D3567,6)="CLIENT",IFERROR(VLOOKUP(C3567,Config_Carteiras!$A:$B,2,FALSE),1),"")</f>
        <v>1</v>
      </c>
      <c r="F3567" s="25">
        <v>2083.25</v>
      </c>
      <c r="G3567" s="28">
        <f>IF(LEFT(D3567,6)="CLIENT",IF(E3567=0,WORKDAY(A3567-1,1,Dias_Sem_Compensacao!$A$2:$A$500),WORKDAY(A3567,E3567,Dias_Sem_Compensacao!$A$2:$A$500)),"")</f>
        <v>46332</v>
      </c>
      <c r="H3567" s="25">
        <v>0</v>
      </c>
      <c r="I3567" s="28">
        <v>46331</v>
      </c>
      <c r="J3567" t="s">
        <v>3150</v>
      </c>
      <c r="K3567" t="s">
        <v>3151</v>
      </c>
    </row>
    <row r="3568" spans="1:11" hidden="1">
      <c r="A3568" s="28">
        <v>46331</v>
      </c>
      <c r="B3568" t="s">
        <v>186</v>
      </c>
      <c r="C3568" t="s">
        <v>203</v>
      </c>
      <c r="D3568" t="s">
        <v>217</v>
      </c>
      <c r="E3568">
        <f>IF(LEFT(D3568,6)="CLIENT",IFERROR(VLOOKUP(C3568,Config_Carteiras!$A:$B,2,FALSE),1),"")</f>
        <v>1</v>
      </c>
      <c r="F3568" s="25">
        <v>935.13</v>
      </c>
      <c r="G3568" s="28">
        <f>IF(LEFT(D3568,6)="CLIENT",IF(E3568=0,WORKDAY(A3568-1,1,Dias_Sem_Compensacao!$A$2:$A$500),WORKDAY(A3568,E3568,Dias_Sem_Compensacao!$A$2:$A$500)),"")</f>
        <v>46332</v>
      </c>
      <c r="H3568" s="25">
        <v>0</v>
      </c>
      <c r="I3568" s="28">
        <v>46331</v>
      </c>
      <c r="J3568" t="s">
        <v>3154</v>
      </c>
      <c r="K3568" t="s">
        <v>3155</v>
      </c>
    </row>
    <row r="3569" spans="1:11" hidden="1">
      <c r="A3569" s="28">
        <v>46331</v>
      </c>
      <c r="B3569" t="s">
        <v>186</v>
      </c>
      <c r="C3569" t="s">
        <v>203</v>
      </c>
      <c r="D3569" t="s">
        <v>217</v>
      </c>
      <c r="E3569">
        <f>IF(LEFT(D3569,6)="CLIENT",IFERROR(VLOOKUP(C3569,Config_Carteiras!$A:$B,2,FALSE),1),"")</f>
        <v>1</v>
      </c>
      <c r="F3569" s="25">
        <v>777.61</v>
      </c>
      <c r="G3569" s="28">
        <f>IF(LEFT(D3569,6)="CLIENT",IF(E3569=0,WORKDAY(A3569-1,1,Dias_Sem_Compensacao!$A$2:$A$500),WORKDAY(A3569,E3569,Dias_Sem_Compensacao!$A$2:$A$500)),"")</f>
        <v>46332</v>
      </c>
      <c r="H3569" s="25">
        <v>0</v>
      </c>
      <c r="I3569" s="28">
        <v>46331</v>
      </c>
      <c r="J3569" t="s">
        <v>2687</v>
      </c>
      <c r="K3569" t="s">
        <v>2688</v>
      </c>
    </row>
    <row r="3570" spans="1:11" hidden="1">
      <c r="A3570" s="28">
        <v>46331</v>
      </c>
      <c r="B3570" t="s">
        <v>186</v>
      </c>
      <c r="C3570" t="s">
        <v>203</v>
      </c>
      <c r="D3570" t="s">
        <v>217</v>
      </c>
      <c r="E3570">
        <f>IF(LEFT(D3570,6)="CLIENT",IFERROR(VLOOKUP(C3570,Config_Carteiras!$A:$B,2,FALSE),1),"")</f>
        <v>1</v>
      </c>
      <c r="F3570" s="25">
        <v>1573.32</v>
      </c>
      <c r="G3570" s="28">
        <f>IF(LEFT(D3570,6)="CLIENT",IF(E3570=0,WORKDAY(A3570-1,1,Dias_Sem_Compensacao!$A$2:$A$500),WORKDAY(A3570,E3570,Dias_Sem_Compensacao!$A$2:$A$500)),"")</f>
        <v>46332</v>
      </c>
      <c r="H3570" s="25">
        <v>0</v>
      </c>
      <c r="I3570" s="28">
        <v>46331</v>
      </c>
      <c r="J3570" t="s">
        <v>3162</v>
      </c>
      <c r="K3570" t="s">
        <v>3163</v>
      </c>
    </row>
    <row r="3571" spans="1:11" hidden="1">
      <c r="A3571" s="28">
        <v>46331</v>
      </c>
      <c r="B3571" t="s">
        <v>186</v>
      </c>
      <c r="C3571" t="s">
        <v>203</v>
      </c>
      <c r="D3571" t="s">
        <v>217</v>
      </c>
      <c r="E3571">
        <f>IF(LEFT(D3571,6)="CLIENT",IFERROR(VLOOKUP(C3571,Config_Carteiras!$A:$B,2,FALSE),1),"")</f>
        <v>1</v>
      </c>
      <c r="F3571" s="25">
        <v>762.68</v>
      </c>
      <c r="G3571" s="28">
        <f>IF(LEFT(D3571,6)="CLIENT",IF(E3571=0,WORKDAY(A3571-1,1,Dias_Sem_Compensacao!$A$2:$A$500),WORKDAY(A3571,E3571,Dias_Sem_Compensacao!$A$2:$A$500)),"")</f>
        <v>46332</v>
      </c>
      <c r="H3571" s="25">
        <v>0</v>
      </c>
      <c r="I3571" s="28">
        <v>46331</v>
      </c>
      <c r="J3571" t="s">
        <v>1503</v>
      </c>
      <c r="K3571" t="s">
        <v>2170</v>
      </c>
    </row>
    <row r="3572" spans="1:11" hidden="1">
      <c r="A3572" s="28">
        <v>46331</v>
      </c>
      <c r="B3572" t="s">
        <v>186</v>
      </c>
      <c r="C3572" t="s">
        <v>203</v>
      </c>
      <c r="D3572" t="s">
        <v>217</v>
      </c>
      <c r="E3572">
        <f>IF(LEFT(D3572,6)="CLIENT",IFERROR(VLOOKUP(C3572,Config_Carteiras!$A:$B,2,FALSE),1),"")</f>
        <v>1</v>
      </c>
      <c r="F3572" s="25">
        <v>590</v>
      </c>
      <c r="G3572" s="28">
        <f>IF(LEFT(D3572,6)="CLIENT",IF(E3572=0,WORKDAY(A3572-1,1,Dias_Sem_Compensacao!$A$2:$A$500),WORKDAY(A3572,E3572,Dias_Sem_Compensacao!$A$2:$A$500)),"")</f>
        <v>46332</v>
      </c>
      <c r="H3572" s="25">
        <v>0</v>
      </c>
      <c r="I3572" s="28">
        <v>46331</v>
      </c>
      <c r="J3572" t="s">
        <v>3412</v>
      </c>
      <c r="K3572" t="s">
        <v>3413</v>
      </c>
    </row>
    <row r="3573" spans="1:11" hidden="1">
      <c r="A3573" s="28">
        <v>46331</v>
      </c>
      <c r="B3573" t="s">
        <v>186</v>
      </c>
      <c r="C3573" t="s">
        <v>203</v>
      </c>
      <c r="D3573" t="s">
        <v>217</v>
      </c>
      <c r="E3573">
        <f>IF(LEFT(D3573,6)="CLIENT",IFERROR(VLOOKUP(C3573,Config_Carteiras!$A:$B,2,FALSE),1),"")</f>
        <v>1</v>
      </c>
      <c r="F3573" s="25">
        <v>814.84</v>
      </c>
      <c r="G3573" s="28">
        <f>IF(LEFT(D3573,6)="CLIENT",IF(E3573=0,WORKDAY(A3573-1,1,Dias_Sem_Compensacao!$A$2:$A$500),WORKDAY(A3573,E3573,Dias_Sem_Compensacao!$A$2:$A$500)),"")</f>
        <v>46332</v>
      </c>
      <c r="H3573" s="25">
        <v>0</v>
      </c>
      <c r="I3573" s="28">
        <v>46331</v>
      </c>
      <c r="J3573" t="s">
        <v>3172</v>
      </c>
      <c r="K3573" t="s">
        <v>3173</v>
      </c>
    </row>
    <row r="3574" spans="1:11" hidden="1">
      <c r="A3574" s="28">
        <v>46331</v>
      </c>
      <c r="B3574" t="s">
        <v>186</v>
      </c>
      <c r="C3574" t="s">
        <v>203</v>
      </c>
      <c r="D3574" t="s">
        <v>217</v>
      </c>
      <c r="E3574">
        <f>IF(LEFT(D3574,6)="CLIENT",IFERROR(VLOOKUP(C3574,Config_Carteiras!$A:$B,2,FALSE),1),"")</f>
        <v>1</v>
      </c>
      <c r="F3574" s="25">
        <v>602</v>
      </c>
      <c r="G3574" s="28">
        <f>IF(LEFT(D3574,6)="CLIENT",IF(E3574=0,WORKDAY(A3574-1,1,Dias_Sem_Compensacao!$A$2:$A$500),WORKDAY(A3574,E3574,Dias_Sem_Compensacao!$A$2:$A$500)),"")</f>
        <v>46332</v>
      </c>
      <c r="H3574" s="25">
        <v>0</v>
      </c>
      <c r="I3574" s="28">
        <v>46331</v>
      </c>
      <c r="J3574" t="s">
        <v>3176</v>
      </c>
      <c r="K3574" t="s">
        <v>3177</v>
      </c>
    </row>
    <row r="3575" spans="1:11" hidden="1">
      <c r="A3575" s="28">
        <v>46331</v>
      </c>
      <c r="B3575" t="s">
        <v>186</v>
      </c>
      <c r="C3575" t="s">
        <v>203</v>
      </c>
      <c r="D3575" t="s">
        <v>217</v>
      </c>
      <c r="E3575">
        <f>IF(LEFT(D3575,6)="CLIENT",IFERROR(VLOOKUP(C3575,Config_Carteiras!$A:$B,2,FALSE),1),"")</f>
        <v>1</v>
      </c>
      <c r="F3575" s="25">
        <v>1173</v>
      </c>
      <c r="G3575" s="28">
        <f>IF(LEFT(D3575,6)="CLIENT",IF(E3575=0,WORKDAY(A3575-1,1,Dias_Sem_Compensacao!$A$2:$A$500),WORKDAY(A3575,E3575,Dias_Sem_Compensacao!$A$2:$A$500)),"")</f>
        <v>46332</v>
      </c>
      <c r="H3575" s="25">
        <v>0</v>
      </c>
      <c r="I3575" s="28">
        <v>46331</v>
      </c>
      <c r="J3575" t="s">
        <v>3414</v>
      </c>
      <c r="K3575" t="s">
        <v>3415</v>
      </c>
    </row>
    <row r="3576" spans="1:11" hidden="1">
      <c r="A3576" s="28">
        <v>46331</v>
      </c>
      <c r="B3576" t="s">
        <v>186</v>
      </c>
      <c r="C3576" t="s">
        <v>203</v>
      </c>
      <c r="D3576" t="s">
        <v>217</v>
      </c>
      <c r="E3576">
        <f>IF(LEFT(D3576,6)="CLIENT",IFERROR(VLOOKUP(C3576,Config_Carteiras!$A:$B,2,FALSE),1),"")</f>
        <v>1</v>
      </c>
      <c r="F3576" s="25">
        <v>517.55999999999995</v>
      </c>
      <c r="G3576" s="28">
        <f>IF(LEFT(D3576,6)="CLIENT",IF(E3576=0,WORKDAY(A3576-1,1,Dias_Sem_Compensacao!$A$2:$A$500),WORKDAY(A3576,E3576,Dias_Sem_Compensacao!$A$2:$A$500)),"")</f>
        <v>46332</v>
      </c>
      <c r="H3576" s="25">
        <v>0</v>
      </c>
      <c r="I3576" s="28">
        <v>46331</v>
      </c>
      <c r="J3576" t="s">
        <v>2186</v>
      </c>
      <c r="K3576" t="s">
        <v>2187</v>
      </c>
    </row>
    <row r="3577" spans="1:11" hidden="1">
      <c r="A3577" s="28">
        <v>46331</v>
      </c>
      <c r="B3577" t="s">
        <v>186</v>
      </c>
      <c r="C3577" t="s">
        <v>203</v>
      </c>
      <c r="D3577" t="s">
        <v>217</v>
      </c>
      <c r="E3577">
        <f>IF(LEFT(D3577,6)="CLIENT",IFERROR(VLOOKUP(C3577,Config_Carteiras!$A:$B,2,FALSE),1),"")</f>
        <v>1</v>
      </c>
      <c r="F3577" s="25">
        <v>2146.7800000000002</v>
      </c>
      <c r="G3577" s="28">
        <f>IF(LEFT(D3577,6)="CLIENT",IF(E3577=0,WORKDAY(A3577-1,1,Dias_Sem_Compensacao!$A$2:$A$500),WORKDAY(A3577,E3577,Dias_Sem_Compensacao!$A$2:$A$500)),"")</f>
        <v>46332</v>
      </c>
      <c r="H3577" s="25">
        <v>0</v>
      </c>
      <c r="I3577" s="28">
        <v>46331</v>
      </c>
      <c r="J3577" t="s">
        <v>3178</v>
      </c>
      <c r="K3577" t="s">
        <v>3179</v>
      </c>
    </row>
    <row r="3578" spans="1:11" hidden="1">
      <c r="A3578" s="28">
        <v>46331</v>
      </c>
      <c r="B3578" t="s">
        <v>186</v>
      </c>
      <c r="C3578" t="s">
        <v>203</v>
      </c>
      <c r="D3578" t="s">
        <v>217</v>
      </c>
      <c r="E3578">
        <f>IF(LEFT(D3578,6)="CLIENT",IFERROR(VLOOKUP(C3578,Config_Carteiras!$A:$B,2,FALSE),1),"")</f>
        <v>1</v>
      </c>
      <c r="F3578" s="25">
        <v>1579</v>
      </c>
      <c r="G3578" s="28">
        <f>IF(LEFT(D3578,6)="CLIENT",IF(E3578=0,WORKDAY(A3578-1,1,Dias_Sem_Compensacao!$A$2:$A$500),WORKDAY(A3578,E3578,Dias_Sem_Compensacao!$A$2:$A$500)),"")</f>
        <v>46332</v>
      </c>
      <c r="H3578" s="25">
        <v>0</v>
      </c>
      <c r="I3578" s="28">
        <v>46331</v>
      </c>
      <c r="J3578" t="s">
        <v>3416</v>
      </c>
      <c r="K3578" t="s">
        <v>3417</v>
      </c>
    </row>
    <row r="3579" spans="1:11" hidden="1">
      <c r="A3579" s="28">
        <v>46331</v>
      </c>
      <c r="B3579" t="s">
        <v>186</v>
      </c>
      <c r="C3579" t="s">
        <v>203</v>
      </c>
      <c r="D3579" t="s">
        <v>217</v>
      </c>
      <c r="E3579">
        <f>IF(LEFT(D3579,6)="CLIENT",IFERROR(VLOOKUP(C3579,Config_Carteiras!$A:$B,2,FALSE),1),"")</f>
        <v>1</v>
      </c>
      <c r="F3579" s="25">
        <v>1116.1199999999999</v>
      </c>
      <c r="G3579" s="28">
        <f>IF(LEFT(D3579,6)="CLIENT",IF(E3579=0,WORKDAY(A3579-1,1,Dias_Sem_Compensacao!$A$2:$A$500),WORKDAY(A3579,E3579,Dias_Sem_Compensacao!$A$2:$A$500)),"")</f>
        <v>46332</v>
      </c>
      <c r="H3579" s="25">
        <v>0</v>
      </c>
      <c r="I3579" s="28">
        <v>46331</v>
      </c>
      <c r="J3579" t="s">
        <v>3181</v>
      </c>
      <c r="K3579" t="s">
        <v>3182</v>
      </c>
    </row>
    <row r="3580" spans="1:11" hidden="1">
      <c r="A3580" s="28">
        <v>46331</v>
      </c>
      <c r="B3580" t="s">
        <v>186</v>
      </c>
      <c r="C3580" t="s">
        <v>203</v>
      </c>
      <c r="D3580" t="s">
        <v>217</v>
      </c>
      <c r="E3580">
        <f>IF(LEFT(D3580,6)="CLIENT",IFERROR(VLOOKUP(C3580,Config_Carteiras!$A:$B,2,FALSE),1),"")</f>
        <v>1</v>
      </c>
      <c r="F3580" s="25">
        <v>3840</v>
      </c>
      <c r="G3580" s="28">
        <f>IF(LEFT(D3580,6)="CLIENT",IF(E3580=0,WORKDAY(A3580-1,1,Dias_Sem_Compensacao!$A$2:$A$500),WORKDAY(A3580,E3580,Dias_Sem_Compensacao!$A$2:$A$500)),"")</f>
        <v>46332</v>
      </c>
      <c r="H3580" s="25">
        <v>0</v>
      </c>
      <c r="I3580" s="28">
        <v>46331</v>
      </c>
      <c r="J3580" t="s">
        <v>3418</v>
      </c>
      <c r="K3580" t="s">
        <v>3419</v>
      </c>
    </row>
    <row r="3581" spans="1:11" hidden="1">
      <c r="A3581" s="28">
        <v>46331</v>
      </c>
      <c r="B3581" t="s">
        <v>186</v>
      </c>
      <c r="C3581" t="s">
        <v>203</v>
      </c>
      <c r="D3581" t="s">
        <v>217</v>
      </c>
      <c r="E3581">
        <f>IF(LEFT(D3581,6)="CLIENT",IFERROR(VLOOKUP(C3581,Config_Carteiras!$A:$B,2,FALSE),1),"")</f>
        <v>1</v>
      </c>
      <c r="F3581" s="25">
        <v>2575</v>
      </c>
      <c r="G3581" s="28">
        <f>IF(LEFT(D3581,6)="CLIENT",IF(E3581=0,WORKDAY(A3581-1,1,Dias_Sem_Compensacao!$A$2:$A$500),WORKDAY(A3581,E3581,Dias_Sem_Compensacao!$A$2:$A$500)),"")</f>
        <v>46332</v>
      </c>
      <c r="H3581" s="25">
        <v>0</v>
      </c>
      <c r="I3581" s="28">
        <v>46331</v>
      </c>
      <c r="J3581" t="s">
        <v>2743</v>
      </c>
      <c r="K3581" t="s">
        <v>2744</v>
      </c>
    </row>
    <row r="3582" spans="1:11" hidden="1">
      <c r="A3582" s="28">
        <v>46331</v>
      </c>
      <c r="B3582" t="s">
        <v>186</v>
      </c>
      <c r="C3582" t="s">
        <v>203</v>
      </c>
      <c r="D3582" t="s">
        <v>217</v>
      </c>
      <c r="E3582">
        <f>IF(LEFT(D3582,6)="CLIENT",IFERROR(VLOOKUP(C3582,Config_Carteiras!$A:$B,2,FALSE),1),"")</f>
        <v>1</v>
      </c>
      <c r="F3582" s="25">
        <v>774.09</v>
      </c>
      <c r="G3582" s="28">
        <f>IF(LEFT(D3582,6)="CLIENT",IF(E3582=0,WORKDAY(A3582-1,1,Dias_Sem_Compensacao!$A$2:$A$500),WORKDAY(A3582,E3582,Dias_Sem_Compensacao!$A$2:$A$500)),"")</f>
        <v>46332</v>
      </c>
      <c r="H3582" s="25">
        <v>0</v>
      </c>
      <c r="I3582" s="28">
        <v>46331</v>
      </c>
      <c r="J3582" t="s">
        <v>3185</v>
      </c>
      <c r="K3582" t="s">
        <v>3186</v>
      </c>
    </row>
    <row r="3583" spans="1:11" hidden="1">
      <c r="A3583" s="28">
        <v>46331</v>
      </c>
      <c r="B3583" t="s">
        <v>186</v>
      </c>
      <c r="C3583" t="s">
        <v>203</v>
      </c>
      <c r="D3583" t="s">
        <v>217</v>
      </c>
      <c r="E3583">
        <f>IF(LEFT(D3583,6)="CLIENT",IFERROR(VLOOKUP(C3583,Config_Carteiras!$A:$B,2,FALSE),1),"")</f>
        <v>1</v>
      </c>
      <c r="F3583" s="25">
        <v>975.17</v>
      </c>
      <c r="G3583" s="28">
        <f>IF(LEFT(D3583,6)="CLIENT",IF(E3583=0,WORKDAY(A3583-1,1,Dias_Sem_Compensacao!$A$2:$A$500),WORKDAY(A3583,E3583,Dias_Sem_Compensacao!$A$2:$A$500)),"")</f>
        <v>46332</v>
      </c>
      <c r="H3583" s="25">
        <v>0</v>
      </c>
      <c r="I3583" s="28">
        <v>46331</v>
      </c>
      <c r="J3583" t="s">
        <v>3191</v>
      </c>
      <c r="K3583" t="s">
        <v>3192</v>
      </c>
    </row>
    <row r="3584" spans="1:11" hidden="1">
      <c r="A3584" s="28">
        <v>46331</v>
      </c>
      <c r="B3584" t="s">
        <v>186</v>
      </c>
      <c r="C3584" t="s">
        <v>203</v>
      </c>
      <c r="D3584" t="s">
        <v>217</v>
      </c>
      <c r="E3584">
        <f>IF(LEFT(D3584,6)="CLIENT",IFERROR(VLOOKUP(C3584,Config_Carteiras!$A:$B,2,FALSE),1),"")</f>
        <v>1</v>
      </c>
      <c r="F3584" s="25">
        <v>4085</v>
      </c>
      <c r="G3584" s="28">
        <f>IF(LEFT(D3584,6)="CLIENT",IF(E3584=0,WORKDAY(A3584-1,1,Dias_Sem_Compensacao!$A$2:$A$500),WORKDAY(A3584,E3584,Dias_Sem_Compensacao!$A$2:$A$500)),"")</f>
        <v>46332</v>
      </c>
      <c r="H3584" s="25">
        <v>0</v>
      </c>
      <c r="I3584" s="28">
        <v>46331</v>
      </c>
      <c r="J3584" t="s">
        <v>1229</v>
      </c>
      <c r="K3584" t="s">
        <v>3420</v>
      </c>
    </row>
    <row r="3585" spans="1:11" hidden="1">
      <c r="A3585" s="28">
        <v>46331</v>
      </c>
      <c r="B3585" t="s">
        <v>186</v>
      </c>
      <c r="C3585" t="s">
        <v>203</v>
      </c>
      <c r="D3585" t="s">
        <v>217</v>
      </c>
      <c r="E3585">
        <f>IF(LEFT(D3585,6)="CLIENT",IFERROR(VLOOKUP(C3585,Config_Carteiras!$A:$B,2,FALSE),1),"")</f>
        <v>1</v>
      </c>
      <c r="F3585" s="25">
        <v>1124.8800000000001</v>
      </c>
      <c r="G3585" s="28">
        <f>IF(LEFT(D3585,6)="CLIENT",IF(E3585=0,WORKDAY(A3585-1,1,Dias_Sem_Compensacao!$A$2:$A$500),WORKDAY(A3585,E3585,Dias_Sem_Compensacao!$A$2:$A$500)),"")</f>
        <v>46332</v>
      </c>
      <c r="H3585" s="25">
        <v>0</v>
      </c>
      <c r="I3585" s="28">
        <v>46331</v>
      </c>
      <c r="J3585" t="s">
        <v>3198</v>
      </c>
      <c r="K3585" t="s">
        <v>3199</v>
      </c>
    </row>
    <row r="3586" spans="1:11" hidden="1">
      <c r="A3586" s="28">
        <v>46331</v>
      </c>
      <c r="B3586" t="s">
        <v>186</v>
      </c>
      <c r="C3586" t="s">
        <v>203</v>
      </c>
      <c r="D3586" t="s">
        <v>217</v>
      </c>
      <c r="E3586">
        <f>IF(LEFT(D3586,6)="CLIENT",IFERROR(VLOOKUP(C3586,Config_Carteiras!$A:$B,2,FALSE),1),"")</f>
        <v>1</v>
      </c>
      <c r="F3586" s="25">
        <v>3118.22</v>
      </c>
      <c r="G3586" s="28">
        <f>IF(LEFT(D3586,6)="CLIENT",IF(E3586=0,WORKDAY(A3586-1,1,Dias_Sem_Compensacao!$A$2:$A$500),WORKDAY(A3586,E3586,Dias_Sem_Compensacao!$A$2:$A$500)),"")</f>
        <v>46332</v>
      </c>
      <c r="H3586" s="25">
        <v>0</v>
      </c>
      <c r="I3586" s="28">
        <v>46331</v>
      </c>
      <c r="J3586" t="s">
        <v>1584</v>
      </c>
      <c r="K3586" t="s">
        <v>1585</v>
      </c>
    </row>
    <row r="3587" spans="1:11" hidden="1">
      <c r="A3587" s="28">
        <v>46331</v>
      </c>
      <c r="B3587" t="s">
        <v>186</v>
      </c>
      <c r="C3587" t="s">
        <v>203</v>
      </c>
      <c r="D3587" t="s">
        <v>217</v>
      </c>
      <c r="E3587">
        <f>IF(LEFT(D3587,6)="CLIENT",IFERROR(VLOOKUP(C3587,Config_Carteiras!$A:$B,2,FALSE),1),"")</f>
        <v>1</v>
      </c>
      <c r="F3587" s="25">
        <v>998</v>
      </c>
      <c r="G3587" s="28">
        <f>IF(LEFT(D3587,6)="CLIENT",IF(E3587=0,WORKDAY(A3587-1,1,Dias_Sem_Compensacao!$A$2:$A$500),WORKDAY(A3587,E3587,Dias_Sem_Compensacao!$A$2:$A$500)),"")</f>
        <v>46332</v>
      </c>
      <c r="H3587" s="25">
        <v>0</v>
      </c>
      <c r="I3587" s="28">
        <v>46331</v>
      </c>
      <c r="J3587" t="s">
        <v>3421</v>
      </c>
      <c r="K3587" t="s">
        <v>3422</v>
      </c>
    </row>
    <row r="3588" spans="1:11" hidden="1">
      <c r="A3588" s="28">
        <v>46331</v>
      </c>
      <c r="B3588" t="s">
        <v>186</v>
      </c>
      <c r="C3588" t="s">
        <v>203</v>
      </c>
      <c r="D3588" t="s">
        <v>217</v>
      </c>
      <c r="E3588">
        <f>IF(LEFT(D3588,6)="CLIENT",IFERROR(VLOOKUP(C3588,Config_Carteiras!$A:$B,2,FALSE),1),"")</f>
        <v>1</v>
      </c>
      <c r="F3588" s="25">
        <v>519.91999999999996</v>
      </c>
      <c r="G3588" s="28">
        <f>IF(LEFT(D3588,6)="CLIENT",IF(E3588=0,WORKDAY(A3588-1,1,Dias_Sem_Compensacao!$A$2:$A$500),WORKDAY(A3588,E3588,Dias_Sem_Compensacao!$A$2:$A$500)),"")</f>
        <v>46332</v>
      </c>
      <c r="H3588" s="25">
        <v>0</v>
      </c>
      <c r="I3588" s="28">
        <v>46331</v>
      </c>
      <c r="K3588" t="s">
        <v>3423</v>
      </c>
    </row>
    <row r="3589" spans="1:11" hidden="1">
      <c r="A3589" s="28">
        <v>46331</v>
      </c>
      <c r="B3589" t="s">
        <v>186</v>
      </c>
      <c r="C3589" t="s">
        <v>203</v>
      </c>
      <c r="D3589" t="s">
        <v>217</v>
      </c>
      <c r="E3589">
        <f>IF(LEFT(D3589,6)="CLIENT",IFERROR(VLOOKUP(C3589,Config_Carteiras!$A:$B,2,FALSE),1),"")</f>
        <v>1</v>
      </c>
      <c r="F3589" s="25">
        <v>2858.86</v>
      </c>
      <c r="G3589" s="28">
        <f>IF(LEFT(D3589,6)="CLIENT",IF(E3589=0,WORKDAY(A3589-1,1,Dias_Sem_Compensacao!$A$2:$A$500),WORKDAY(A3589,E3589,Dias_Sem_Compensacao!$A$2:$A$500)),"")</f>
        <v>46332</v>
      </c>
      <c r="H3589" s="25">
        <v>0</v>
      </c>
      <c r="I3589" s="28">
        <v>46331</v>
      </c>
      <c r="J3589" t="s">
        <v>2220</v>
      </c>
      <c r="K3589" t="s">
        <v>2221</v>
      </c>
    </row>
    <row r="3590" spans="1:11" hidden="1">
      <c r="A3590" s="28">
        <v>46331</v>
      </c>
      <c r="B3590" t="s">
        <v>186</v>
      </c>
      <c r="C3590" t="s">
        <v>203</v>
      </c>
      <c r="D3590" t="s">
        <v>217</v>
      </c>
      <c r="E3590">
        <f>IF(LEFT(D3590,6)="CLIENT",IFERROR(VLOOKUP(C3590,Config_Carteiras!$A:$B,2,FALSE),1),"")</f>
        <v>1</v>
      </c>
      <c r="F3590" s="25">
        <v>3370</v>
      </c>
      <c r="G3590" s="28">
        <f>IF(LEFT(D3590,6)="CLIENT",IF(E3590=0,WORKDAY(A3590-1,1,Dias_Sem_Compensacao!$A$2:$A$500),WORKDAY(A3590,E3590,Dias_Sem_Compensacao!$A$2:$A$500)),"")</f>
        <v>46332</v>
      </c>
      <c r="H3590" s="25">
        <v>0</v>
      </c>
      <c r="I3590" s="28">
        <v>46331</v>
      </c>
      <c r="J3590" t="s">
        <v>3424</v>
      </c>
      <c r="K3590" t="s">
        <v>3425</v>
      </c>
    </row>
    <row r="3591" spans="1:11" hidden="1">
      <c r="A3591" s="28">
        <v>46331</v>
      </c>
      <c r="B3591" t="s">
        <v>186</v>
      </c>
      <c r="C3591" t="s">
        <v>203</v>
      </c>
      <c r="D3591" t="s">
        <v>217</v>
      </c>
      <c r="E3591">
        <f>IF(LEFT(D3591,6)="CLIENT",IFERROR(VLOOKUP(C3591,Config_Carteiras!$A:$B,2,FALSE),1),"")</f>
        <v>1</v>
      </c>
      <c r="F3591" s="25">
        <v>1004.22</v>
      </c>
      <c r="G3591" s="28">
        <f>IF(LEFT(D3591,6)="CLIENT",IF(E3591=0,WORKDAY(A3591-1,1,Dias_Sem_Compensacao!$A$2:$A$500),WORKDAY(A3591,E3591,Dias_Sem_Compensacao!$A$2:$A$500)),"")</f>
        <v>46332</v>
      </c>
      <c r="H3591" s="25">
        <v>0</v>
      </c>
      <c r="I3591" s="28">
        <v>46331</v>
      </c>
      <c r="J3591" t="s">
        <v>3208</v>
      </c>
      <c r="K3591" t="s">
        <v>3209</v>
      </c>
    </row>
    <row r="3592" spans="1:11" hidden="1">
      <c r="A3592" s="28">
        <v>46331</v>
      </c>
      <c r="B3592" t="s">
        <v>186</v>
      </c>
      <c r="C3592" t="s">
        <v>203</v>
      </c>
      <c r="D3592" t="s">
        <v>217</v>
      </c>
      <c r="E3592">
        <f>IF(LEFT(D3592,6)="CLIENT",IFERROR(VLOOKUP(C3592,Config_Carteiras!$A:$B,2,FALSE),1),"")</f>
        <v>1</v>
      </c>
      <c r="F3592" s="25">
        <v>864</v>
      </c>
      <c r="G3592" s="28">
        <f>IF(LEFT(D3592,6)="CLIENT",IF(E3592=0,WORKDAY(A3592-1,1,Dias_Sem_Compensacao!$A$2:$A$500),WORKDAY(A3592,E3592,Dias_Sem_Compensacao!$A$2:$A$500)),"")</f>
        <v>46332</v>
      </c>
      <c r="H3592" s="25">
        <v>0</v>
      </c>
      <c r="I3592" s="28">
        <v>46331</v>
      </c>
      <c r="J3592" t="s">
        <v>3426</v>
      </c>
      <c r="K3592" t="s">
        <v>3427</v>
      </c>
    </row>
    <row r="3593" spans="1:11" hidden="1">
      <c r="A3593" s="28">
        <v>46331</v>
      </c>
      <c r="B3593" t="s">
        <v>186</v>
      </c>
      <c r="C3593" t="s">
        <v>203</v>
      </c>
      <c r="D3593" t="s">
        <v>217</v>
      </c>
      <c r="E3593">
        <f>IF(LEFT(D3593,6)="CLIENT",IFERROR(VLOOKUP(C3593,Config_Carteiras!$A:$B,2,FALSE),1),"")</f>
        <v>1</v>
      </c>
      <c r="F3593" s="25">
        <v>1027.5999999999999</v>
      </c>
      <c r="G3593" s="28">
        <f>IF(LEFT(D3593,6)="CLIENT",IF(E3593=0,WORKDAY(A3593-1,1,Dias_Sem_Compensacao!$A$2:$A$500),WORKDAY(A3593,E3593,Dias_Sem_Compensacao!$A$2:$A$500)),"")</f>
        <v>46332</v>
      </c>
      <c r="H3593" s="25">
        <v>0</v>
      </c>
      <c r="I3593" s="28">
        <v>46331</v>
      </c>
      <c r="J3593" t="s">
        <v>3135</v>
      </c>
      <c r="K3593" t="s">
        <v>3136</v>
      </c>
    </row>
    <row r="3594" spans="1:11" hidden="1">
      <c r="A3594" s="28">
        <v>46331</v>
      </c>
      <c r="B3594" t="s">
        <v>186</v>
      </c>
      <c r="C3594" t="s">
        <v>203</v>
      </c>
      <c r="D3594" t="s">
        <v>217</v>
      </c>
      <c r="E3594">
        <f>IF(LEFT(D3594,6)="CLIENT",IFERROR(VLOOKUP(C3594,Config_Carteiras!$A:$B,2,FALSE),1),"")</f>
        <v>1</v>
      </c>
      <c r="F3594" s="25">
        <v>665.47</v>
      </c>
      <c r="G3594" s="28">
        <f>IF(LEFT(D3594,6)="CLIENT",IF(E3594=0,WORKDAY(A3594-1,1,Dias_Sem_Compensacao!$A$2:$A$500),WORKDAY(A3594,E3594,Dias_Sem_Compensacao!$A$2:$A$500)),"")</f>
        <v>46332</v>
      </c>
      <c r="H3594" s="25">
        <v>0</v>
      </c>
      <c r="I3594" s="28">
        <v>46331</v>
      </c>
      <c r="J3594" t="s">
        <v>2777</v>
      </c>
      <c r="K3594" t="s">
        <v>2778</v>
      </c>
    </row>
    <row r="3595" spans="1:11" hidden="1">
      <c r="A3595" s="28">
        <v>46332</v>
      </c>
      <c r="B3595" t="s">
        <v>186</v>
      </c>
      <c r="C3595" t="s">
        <v>203</v>
      </c>
      <c r="D3595" t="s">
        <v>217</v>
      </c>
      <c r="E3595">
        <f>IF(LEFT(D3595,6)="CLIENT",IFERROR(VLOOKUP(C3595,Config_Carteiras!$A:$B,2,FALSE),1),"")</f>
        <v>1</v>
      </c>
      <c r="F3595" s="25">
        <v>1142.5899999999999</v>
      </c>
      <c r="G3595" s="28">
        <f>IF(LEFT(D3595,6)="CLIENT",IF(E3595=0,WORKDAY(A3595-1,1,Dias_Sem_Compensacao!$A$2:$A$500),WORKDAY(A3595,E3595,Dias_Sem_Compensacao!$A$2:$A$500)),"")</f>
        <v>46335</v>
      </c>
      <c r="H3595" s="25">
        <v>0</v>
      </c>
      <c r="I3595" s="28">
        <v>46332</v>
      </c>
      <c r="J3595" t="s">
        <v>3213</v>
      </c>
      <c r="K3595" t="s">
        <v>3214</v>
      </c>
    </row>
    <row r="3596" spans="1:11" hidden="1">
      <c r="A3596" s="28">
        <v>46332</v>
      </c>
      <c r="B3596" t="s">
        <v>186</v>
      </c>
      <c r="C3596" t="s">
        <v>203</v>
      </c>
      <c r="D3596" t="s">
        <v>217</v>
      </c>
      <c r="E3596">
        <f>IF(LEFT(D3596,6)="CLIENT",IFERROR(VLOOKUP(C3596,Config_Carteiras!$A:$B,2,FALSE),1),"")</f>
        <v>1</v>
      </c>
      <c r="F3596" s="25">
        <v>1280.21</v>
      </c>
      <c r="G3596" s="28">
        <f>IF(LEFT(D3596,6)="CLIENT",IF(E3596=0,WORKDAY(A3596-1,1,Dias_Sem_Compensacao!$A$2:$A$500),WORKDAY(A3596,E3596,Dias_Sem_Compensacao!$A$2:$A$500)),"")</f>
        <v>46335</v>
      </c>
      <c r="H3596" s="25">
        <v>0</v>
      </c>
      <c r="I3596" s="28">
        <v>46332</v>
      </c>
      <c r="J3596" t="s">
        <v>3217</v>
      </c>
      <c r="K3596" t="s">
        <v>3218</v>
      </c>
    </row>
    <row r="3597" spans="1:11" hidden="1">
      <c r="A3597" s="28">
        <v>46332</v>
      </c>
      <c r="B3597" t="s">
        <v>186</v>
      </c>
      <c r="C3597" t="s">
        <v>203</v>
      </c>
      <c r="D3597" t="s">
        <v>217</v>
      </c>
      <c r="E3597">
        <f>IF(LEFT(D3597,6)="CLIENT",IFERROR(VLOOKUP(C3597,Config_Carteiras!$A:$B,2,FALSE),1),"")</f>
        <v>1</v>
      </c>
      <c r="F3597" s="25">
        <v>2857.95</v>
      </c>
      <c r="G3597" s="28">
        <f>IF(LEFT(D3597,6)="CLIENT",IF(E3597=0,WORKDAY(A3597-1,1,Dias_Sem_Compensacao!$A$2:$A$500),WORKDAY(A3597,E3597,Dias_Sem_Compensacao!$A$2:$A$500)),"")</f>
        <v>46335</v>
      </c>
      <c r="H3597" s="25">
        <v>0</v>
      </c>
      <c r="I3597" s="28">
        <v>46332</v>
      </c>
      <c r="J3597" t="s">
        <v>3219</v>
      </c>
      <c r="K3597" t="s">
        <v>3220</v>
      </c>
    </row>
    <row r="3598" spans="1:11" hidden="1">
      <c r="A3598" s="28">
        <v>46332</v>
      </c>
      <c r="B3598" t="s">
        <v>186</v>
      </c>
      <c r="C3598" t="s">
        <v>203</v>
      </c>
      <c r="D3598" t="s">
        <v>217</v>
      </c>
      <c r="E3598">
        <f>IF(LEFT(D3598,6)="CLIENT",IFERROR(VLOOKUP(C3598,Config_Carteiras!$A:$B,2,FALSE),1),"")</f>
        <v>1</v>
      </c>
      <c r="F3598" s="25">
        <v>25836.7</v>
      </c>
      <c r="G3598" s="28">
        <f>IF(LEFT(D3598,6)="CLIENT",IF(E3598=0,WORKDAY(A3598-1,1,Dias_Sem_Compensacao!$A$2:$A$500),WORKDAY(A3598,E3598,Dias_Sem_Compensacao!$A$2:$A$500)),"")</f>
        <v>46335</v>
      </c>
      <c r="H3598" s="25">
        <v>0</v>
      </c>
      <c r="I3598" s="28">
        <v>46332</v>
      </c>
      <c r="J3598" t="s">
        <v>1138</v>
      </c>
      <c r="K3598" t="s">
        <v>3225</v>
      </c>
    </row>
    <row r="3599" spans="1:11" hidden="1">
      <c r="A3599" s="28">
        <v>46332</v>
      </c>
      <c r="B3599" t="s">
        <v>186</v>
      </c>
      <c r="C3599" t="s">
        <v>203</v>
      </c>
      <c r="D3599" t="s">
        <v>217</v>
      </c>
      <c r="E3599">
        <f>IF(LEFT(D3599,6)="CLIENT",IFERROR(VLOOKUP(C3599,Config_Carteiras!$A:$B,2,FALSE),1),"")</f>
        <v>1</v>
      </c>
      <c r="F3599" s="25">
        <v>1911.29</v>
      </c>
      <c r="G3599" s="28">
        <f>IF(LEFT(D3599,6)="CLIENT",IF(E3599=0,WORKDAY(A3599-1,1,Dias_Sem_Compensacao!$A$2:$A$500),WORKDAY(A3599,E3599,Dias_Sem_Compensacao!$A$2:$A$500)),"")</f>
        <v>46335</v>
      </c>
      <c r="H3599" s="25">
        <v>0</v>
      </c>
      <c r="I3599" s="28">
        <v>46332</v>
      </c>
      <c r="J3599" t="s">
        <v>3152</v>
      </c>
      <c r="K3599" t="s">
        <v>3153</v>
      </c>
    </row>
    <row r="3600" spans="1:11" hidden="1">
      <c r="A3600" s="28">
        <v>46332</v>
      </c>
      <c r="B3600" t="s">
        <v>186</v>
      </c>
      <c r="C3600" t="s">
        <v>203</v>
      </c>
      <c r="D3600" t="s">
        <v>217</v>
      </c>
      <c r="E3600">
        <f>IF(LEFT(D3600,6)="CLIENT",IFERROR(VLOOKUP(C3600,Config_Carteiras!$A:$B,2,FALSE),1),"")</f>
        <v>1</v>
      </c>
      <c r="F3600" s="25">
        <v>522.32000000000005</v>
      </c>
      <c r="G3600" s="28">
        <f>IF(LEFT(D3600,6)="CLIENT",IF(E3600=0,WORKDAY(A3600-1,1,Dias_Sem_Compensacao!$A$2:$A$500),WORKDAY(A3600,E3600,Dias_Sem_Compensacao!$A$2:$A$500)),"")</f>
        <v>46335</v>
      </c>
      <c r="H3600" s="25">
        <v>0</v>
      </c>
      <c r="I3600" s="28">
        <v>46332</v>
      </c>
      <c r="J3600" t="s">
        <v>2810</v>
      </c>
      <c r="K3600" t="s">
        <v>2811</v>
      </c>
    </row>
    <row r="3601" spans="1:11" hidden="1">
      <c r="A3601" s="28">
        <v>46332</v>
      </c>
      <c r="B3601" t="s">
        <v>186</v>
      </c>
      <c r="C3601" t="s">
        <v>203</v>
      </c>
      <c r="D3601" t="s">
        <v>217</v>
      </c>
      <c r="E3601">
        <f>IF(LEFT(D3601,6)="CLIENT",IFERROR(VLOOKUP(C3601,Config_Carteiras!$A:$B,2,FALSE),1),"")</f>
        <v>1</v>
      </c>
      <c r="F3601" s="25">
        <v>727.86</v>
      </c>
      <c r="G3601" s="28">
        <f>IF(LEFT(D3601,6)="CLIENT",IF(E3601=0,WORKDAY(A3601-1,1,Dias_Sem_Compensacao!$A$2:$A$500),WORKDAY(A3601,E3601,Dias_Sem_Compensacao!$A$2:$A$500)),"")</f>
        <v>46335</v>
      </c>
      <c r="H3601" s="25">
        <v>0</v>
      </c>
      <c r="I3601" s="28">
        <v>46332</v>
      </c>
      <c r="J3601" t="s">
        <v>3226</v>
      </c>
      <c r="K3601" t="s">
        <v>3227</v>
      </c>
    </row>
    <row r="3602" spans="1:11" hidden="1">
      <c r="A3602" s="28">
        <v>46332</v>
      </c>
      <c r="B3602" t="s">
        <v>186</v>
      </c>
      <c r="C3602" t="s">
        <v>203</v>
      </c>
      <c r="D3602" t="s">
        <v>217</v>
      </c>
      <c r="E3602">
        <f>IF(LEFT(D3602,6)="CLIENT",IFERROR(VLOOKUP(C3602,Config_Carteiras!$A:$B,2,FALSE),1),"")</f>
        <v>1</v>
      </c>
      <c r="F3602" s="25">
        <v>1383.9</v>
      </c>
      <c r="G3602" s="28">
        <f>IF(LEFT(D3602,6)="CLIENT",IF(E3602=0,WORKDAY(A3602-1,1,Dias_Sem_Compensacao!$A$2:$A$500),WORKDAY(A3602,E3602,Dias_Sem_Compensacao!$A$2:$A$500)),"")</f>
        <v>46335</v>
      </c>
      <c r="H3602" s="25">
        <v>0</v>
      </c>
      <c r="I3602" s="28">
        <v>46332</v>
      </c>
      <c r="J3602" t="s">
        <v>3428</v>
      </c>
      <c r="K3602" t="s">
        <v>3429</v>
      </c>
    </row>
    <row r="3603" spans="1:11" hidden="1">
      <c r="A3603" s="28">
        <v>46332</v>
      </c>
      <c r="B3603" t="s">
        <v>186</v>
      </c>
      <c r="C3603" t="s">
        <v>203</v>
      </c>
      <c r="D3603" t="s">
        <v>217</v>
      </c>
      <c r="E3603">
        <f>IF(LEFT(D3603,6)="CLIENT",IFERROR(VLOOKUP(C3603,Config_Carteiras!$A:$B,2,FALSE),1),"")</f>
        <v>1</v>
      </c>
      <c r="F3603" s="25">
        <v>419.67</v>
      </c>
      <c r="G3603" s="28">
        <f>IF(LEFT(D3603,6)="CLIENT",IF(E3603=0,WORKDAY(A3603-1,1,Dias_Sem_Compensacao!$A$2:$A$500),WORKDAY(A3603,E3603,Dias_Sem_Compensacao!$A$2:$A$500)),"")</f>
        <v>46335</v>
      </c>
      <c r="H3603" s="25">
        <v>0</v>
      </c>
      <c r="I3603" s="28">
        <v>46332</v>
      </c>
      <c r="J3603" t="s">
        <v>3156</v>
      </c>
      <c r="K3603" t="s">
        <v>3157</v>
      </c>
    </row>
    <row r="3604" spans="1:11" hidden="1">
      <c r="A3604" s="28">
        <v>46332</v>
      </c>
      <c r="B3604" t="s">
        <v>186</v>
      </c>
      <c r="C3604" t="s">
        <v>203</v>
      </c>
      <c r="D3604" t="s">
        <v>217</v>
      </c>
      <c r="E3604">
        <f>IF(LEFT(D3604,6)="CLIENT",IFERROR(VLOOKUP(C3604,Config_Carteiras!$A:$B,2,FALSE),1),"")</f>
        <v>1</v>
      </c>
      <c r="F3604" s="25">
        <v>801.14</v>
      </c>
      <c r="G3604" s="28">
        <f>IF(LEFT(D3604,6)="CLIENT",IF(E3604=0,WORKDAY(A3604-1,1,Dias_Sem_Compensacao!$A$2:$A$500),WORKDAY(A3604,E3604,Dias_Sem_Compensacao!$A$2:$A$500)),"")</f>
        <v>46335</v>
      </c>
      <c r="H3604" s="25">
        <v>0</v>
      </c>
      <c r="I3604" s="28">
        <v>46332</v>
      </c>
      <c r="J3604" t="s">
        <v>3452</v>
      </c>
      <c r="K3604" t="s">
        <v>3453</v>
      </c>
    </row>
    <row r="3605" spans="1:11" hidden="1">
      <c r="A3605" s="28">
        <v>46332</v>
      </c>
      <c r="B3605" t="s">
        <v>186</v>
      </c>
      <c r="C3605" t="s">
        <v>203</v>
      </c>
      <c r="D3605" t="s">
        <v>217</v>
      </c>
      <c r="E3605">
        <f>IF(LEFT(D3605,6)="CLIENT",IFERROR(VLOOKUP(C3605,Config_Carteiras!$A:$B,2,FALSE),1),"")</f>
        <v>1</v>
      </c>
      <c r="F3605" s="25">
        <v>830</v>
      </c>
      <c r="G3605" s="28">
        <f>IF(LEFT(D3605,6)="CLIENT",IF(E3605=0,WORKDAY(A3605-1,1,Dias_Sem_Compensacao!$A$2:$A$500),WORKDAY(A3605,E3605,Dias_Sem_Compensacao!$A$2:$A$500)),"")</f>
        <v>46335</v>
      </c>
      <c r="H3605" s="25">
        <v>0</v>
      </c>
      <c r="I3605" s="28">
        <v>46332</v>
      </c>
      <c r="J3605" t="s">
        <v>2822</v>
      </c>
      <c r="K3605" t="s">
        <v>2823</v>
      </c>
    </row>
    <row r="3606" spans="1:11" hidden="1">
      <c r="A3606" s="28">
        <v>46332</v>
      </c>
      <c r="B3606" t="s">
        <v>186</v>
      </c>
      <c r="C3606" t="s">
        <v>203</v>
      </c>
      <c r="D3606" t="s">
        <v>217</v>
      </c>
      <c r="E3606">
        <f>IF(LEFT(D3606,6)="CLIENT",IFERROR(VLOOKUP(C3606,Config_Carteiras!$A:$B,2,FALSE),1),"")</f>
        <v>1</v>
      </c>
      <c r="F3606" s="25">
        <v>5641.25</v>
      </c>
      <c r="G3606" s="28">
        <f>IF(LEFT(D3606,6)="CLIENT",IF(E3606=0,WORKDAY(A3606-1,1,Dias_Sem_Compensacao!$A$2:$A$500),WORKDAY(A3606,E3606,Dias_Sem_Compensacao!$A$2:$A$500)),"")</f>
        <v>46335</v>
      </c>
      <c r="H3606" s="25">
        <v>0</v>
      </c>
      <c r="I3606" s="28">
        <v>46332</v>
      </c>
      <c r="J3606" t="s">
        <v>3164</v>
      </c>
      <c r="K3606" t="s">
        <v>3165</v>
      </c>
    </row>
    <row r="3607" spans="1:11" hidden="1">
      <c r="A3607" s="28">
        <v>46332</v>
      </c>
      <c r="B3607" t="s">
        <v>186</v>
      </c>
      <c r="C3607" t="s">
        <v>203</v>
      </c>
      <c r="D3607" t="s">
        <v>217</v>
      </c>
      <c r="E3607">
        <f>IF(LEFT(D3607,6)="CLIENT",IFERROR(VLOOKUP(C3607,Config_Carteiras!$A:$B,2,FALSE),1),"")</f>
        <v>1</v>
      </c>
      <c r="F3607" s="25">
        <v>866</v>
      </c>
      <c r="G3607" s="28">
        <f>IF(LEFT(D3607,6)="CLIENT",IF(E3607=0,WORKDAY(A3607-1,1,Dias_Sem_Compensacao!$A$2:$A$500),WORKDAY(A3607,E3607,Dias_Sem_Compensacao!$A$2:$A$500)),"")</f>
        <v>46335</v>
      </c>
      <c r="H3607" s="25">
        <v>0</v>
      </c>
      <c r="I3607" s="28">
        <v>46332</v>
      </c>
      <c r="J3607" t="s">
        <v>1485</v>
      </c>
      <c r="K3607" t="s">
        <v>3234</v>
      </c>
    </row>
    <row r="3608" spans="1:11" hidden="1">
      <c r="A3608" s="28">
        <v>46332</v>
      </c>
      <c r="B3608" t="s">
        <v>186</v>
      </c>
      <c r="C3608" t="s">
        <v>203</v>
      </c>
      <c r="D3608" t="s">
        <v>217</v>
      </c>
      <c r="E3608">
        <f>IF(LEFT(D3608,6)="CLIENT",IFERROR(VLOOKUP(C3608,Config_Carteiras!$A:$B,2,FALSE),1),"")</f>
        <v>1</v>
      </c>
      <c r="F3608" s="25">
        <v>1208</v>
      </c>
      <c r="G3608" s="28">
        <f>IF(LEFT(D3608,6)="CLIENT",IF(E3608=0,WORKDAY(A3608-1,1,Dias_Sem_Compensacao!$A$2:$A$500),WORKDAY(A3608,E3608,Dias_Sem_Compensacao!$A$2:$A$500)),"")</f>
        <v>46335</v>
      </c>
      <c r="H3608" s="25">
        <v>0</v>
      </c>
      <c r="I3608" s="28">
        <v>46332</v>
      </c>
      <c r="J3608" t="s">
        <v>3166</v>
      </c>
      <c r="K3608" t="s">
        <v>3167</v>
      </c>
    </row>
    <row r="3609" spans="1:11" hidden="1">
      <c r="A3609" s="28">
        <v>46332</v>
      </c>
      <c r="B3609" t="s">
        <v>186</v>
      </c>
      <c r="C3609" t="s">
        <v>203</v>
      </c>
      <c r="D3609" t="s">
        <v>217</v>
      </c>
      <c r="E3609">
        <f>IF(LEFT(D3609,6)="CLIENT",IFERROR(VLOOKUP(C3609,Config_Carteiras!$A:$B,2,FALSE),1),"")</f>
        <v>1</v>
      </c>
      <c r="F3609" s="25">
        <v>732</v>
      </c>
      <c r="G3609" s="28">
        <f>IF(LEFT(D3609,6)="CLIENT",IF(E3609=0,WORKDAY(A3609-1,1,Dias_Sem_Compensacao!$A$2:$A$500),WORKDAY(A3609,E3609,Dias_Sem_Compensacao!$A$2:$A$500)),"")</f>
        <v>46335</v>
      </c>
      <c r="H3609" s="25">
        <v>0</v>
      </c>
      <c r="I3609" s="28">
        <v>46332</v>
      </c>
      <c r="J3609" t="s">
        <v>3454</v>
      </c>
      <c r="K3609" t="s">
        <v>3455</v>
      </c>
    </row>
    <row r="3610" spans="1:11" hidden="1">
      <c r="A3610" s="28">
        <v>46332</v>
      </c>
      <c r="B3610" t="s">
        <v>186</v>
      </c>
      <c r="C3610" t="s">
        <v>203</v>
      </c>
      <c r="D3610" t="s">
        <v>217</v>
      </c>
      <c r="E3610">
        <f>IF(LEFT(D3610,6)="CLIENT",IFERROR(VLOOKUP(C3610,Config_Carteiras!$A:$B,2,FALSE),1),"")</f>
        <v>1</v>
      </c>
      <c r="F3610" s="25">
        <v>1301.29</v>
      </c>
      <c r="G3610" s="28">
        <f>IF(LEFT(D3610,6)="CLIENT",IF(E3610=0,WORKDAY(A3610-1,1,Dias_Sem_Compensacao!$A$2:$A$500),WORKDAY(A3610,E3610,Dias_Sem_Compensacao!$A$2:$A$500)),"")</f>
        <v>46335</v>
      </c>
      <c r="H3610" s="25">
        <v>0</v>
      </c>
      <c r="I3610" s="28">
        <v>46332</v>
      </c>
      <c r="J3610" t="s">
        <v>1822</v>
      </c>
      <c r="K3610" t="s">
        <v>2831</v>
      </c>
    </row>
    <row r="3611" spans="1:11" hidden="1">
      <c r="A3611" s="28">
        <v>46332</v>
      </c>
      <c r="B3611" t="s">
        <v>186</v>
      </c>
      <c r="C3611" t="s">
        <v>203</v>
      </c>
      <c r="D3611" t="s">
        <v>217</v>
      </c>
      <c r="E3611">
        <f>IF(LEFT(D3611,6)="CLIENT",IFERROR(VLOOKUP(C3611,Config_Carteiras!$A:$B,2,FALSE),1),"")</f>
        <v>1</v>
      </c>
      <c r="F3611" s="25">
        <v>722.57</v>
      </c>
      <c r="G3611" s="28">
        <f>IF(LEFT(D3611,6)="CLIENT",IF(E3611=0,WORKDAY(A3611-1,1,Dias_Sem_Compensacao!$A$2:$A$500),WORKDAY(A3611,E3611,Dias_Sem_Compensacao!$A$2:$A$500)),"")</f>
        <v>46335</v>
      </c>
      <c r="H3611" s="25">
        <v>0</v>
      </c>
      <c r="I3611" s="28">
        <v>46332</v>
      </c>
      <c r="J3611" t="s">
        <v>3237</v>
      </c>
      <c r="K3611" t="s">
        <v>3238</v>
      </c>
    </row>
    <row r="3612" spans="1:11" hidden="1">
      <c r="A3612" s="28">
        <v>46332</v>
      </c>
      <c r="B3612" t="s">
        <v>186</v>
      </c>
      <c r="C3612" t="s">
        <v>203</v>
      </c>
      <c r="D3612" t="s">
        <v>217</v>
      </c>
      <c r="E3612">
        <f>IF(LEFT(D3612,6)="CLIENT",IFERROR(VLOOKUP(C3612,Config_Carteiras!$A:$B,2,FALSE),1),"")</f>
        <v>1</v>
      </c>
      <c r="F3612" s="25">
        <v>2668.01</v>
      </c>
      <c r="G3612" s="28">
        <f>IF(LEFT(D3612,6)="CLIENT",IF(E3612=0,WORKDAY(A3612-1,1,Dias_Sem_Compensacao!$A$2:$A$500),WORKDAY(A3612,E3612,Dias_Sem_Compensacao!$A$2:$A$500)),"")</f>
        <v>46335</v>
      </c>
      <c r="H3612" s="25">
        <v>0</v>
      </c>
      <c r="I3612" s="28">
        <v>46332</v>
      </c>
      <c r="J3612" t="s">
        <v>3239</v>
      </c>
      <c r="K3612" t="s">
        <v>3240</v>
      </c>
    </row>
    <row r="3613" spans="1:11" hidden="1">
      <c r="A3613" s="28">
        <v>46332</v>
      </c>
      <c r="B3613" t="s">
        <v>186</v>
      </c>
      <c r="C3613" t="s">
        <v>203</v>
      </c>
      <c r="D3613" t="s">
        <v>217</v>
      </c>
      <c r="E3613">
        <f>IF(LEFT(D3613,6)="CLIENT",IFERROR(VLOOKUP(C3613,Config_Carteiras!$A:$B,2,FALSE),1),"")</f>
        <v>1</v>
      </c>
      <c r="F3613" s="25">
        <v>336.13</v>
      </c>
      <c r="G3613" s="28">
        <f>IF(LEFT(D3613,6)="CLIENT",IF(E3613=0,WORKDAY(A3613-1,1,Dias_Sem_Compensacao!$A$2:$A$500),WORKDAY(A3613,E3613,Dias_Sem_Compensacao!$A$2:$A$500)),"")</f>
        <v>46335</v>
      </c>
      <c r="H3613" s="25">
        <v>0</v>
      </c>
      <c r="I3613" s="28">
        <v>46332</v>
      </c>
      <c r="J3613" t="s">
        <v>2274</v>
      </c>
      <c r="K3613" t="s">
        <v>2275</v>
      </c>
    </row>
    <row r="3614" spans="1:11" hidden="1">
      <c r="A3614" s="28">
        <v>46332</v>
      </c>
      <c r="B3614" t="s">
        <v>186</v>
      </c>
      <c r="C3614" t="s">
        <v>203</v>
      </c>
      <c r="D3614" t="s">
        <v>217</v>
      </c>
      <c r="E3614">
        <f>IF(LEFT(D3614,6)="CLIENT",IFERROR(VLOOKUP(C3614,Config_Carteiras!$A:$B,2,FALSE),1),"")</f>
        <v>1</v>
      </c>
      <c r="F3614" s="25">
        <v>643.21</v>
      </c>
      <c r="G3614" s="28">
        <f>IF(LEFT(D3614,6)="CLIENT",IF(E3614=0,WORKDAY(A3614-1,1,Dias_Sem_Compensacao!$A$2:$A$500),WORKDAY(A3614,E3614,Dias_Sem_Compensacao!$A$2:$A$500)),"")</f>
        <v>46335</v>
      </c>
      <c r="H3614" s="25">
        <v>0</v>
      </c>
      <c r="I3614" s="28">
        <v>46332</v>
      </c>
      <c r="J3614" t="s">
        <v>1184</v>
      </c>
      <c r="K3614" t="s">
        <v>2276</v>
      </c>
    </row>
    <row r="3615" spans="1:11" hidden="1">
      <c r="A3615" s="28">
        <v>46332</v>
      </c>
      <c r="B3615" t="s">
        <v>186</v>
      </c>
      <c r="C3615" t="s">
        <v>203</v>
      </c>
      <c r="D3615" t="s">
        <v>217</v>
      </c>
      <c r="E3615">
        <f>IF(LEFT(D3615,6)="CLIENT",IFERROR(VLOOKUP(C3615,Config_Carteiras!$A:$B,2,FALSE),1),"")</f>
        <v>1</v>
      </c>
      <c r="F3615" s="25">
        <v>1025.1300000000001</v>
      </c>
      <c r="G3615" s="28">
        <f>IF(LEFT(D3615,6)="CLIENT",IF(E3615=0,WORKDAY(A3615-1,1,Dias_Sem_Compensacao!$A$2:$A$500),WORKDAY(A3615,E3615,Dias_Sem_Compensacao!$A$2:$A$500)),"")</f>
        <v>46335</v>
      </c>
      <c r="H3615" s="25">
        <v>0</v>
      </c>
      <c r="I3615" s="28">
        <v>46332</v>
      </c>
      <c r="J3615" t="s">
        <v>3241</v>
      </c>
      <c r="K3615" t="s">
        <v>3242</v>
      </c>
    </row>
    <row r="3616" spans="1:11" hidden="1">
      <c r="A3616" s="28">
        <v>46332</v>
      </c>
      <c r="B3616" t="s">
        <v>186</v>
      </c>
      <c r="C3616" t="s">
        <v>203</v>
      </c>
      <c r="D3616" t="s">
        <v>217</v>
      </c>
      <c r="E3616">
        <f>IF(LEFT(D3616,6)="CLIENT",IFERROR(VLOOKUP(C3616,Config_Carteiras!$A:$B,2,FALSE),1),"")</f>
        <v>1</v>
      </c>
      <c r="F3616" s="25">
        <v>1051.74</v>
      </c>
      <c r="G3616" s="28">
        <f>IF(LEFT(D3616,6)="CLIENT",IF(E3616=0,WORKDAY(A3616-1,1,Dias_Sem_Compensacao!$A$2:$A$500),WORKDAY(A3616,E3616,Dias_Sem_Compensacao!$A$2:$A$500)),"")</f>
        <v>46335</v>
      </c>
      <c r="H3616" s="25">
        <v>0</v>
      </c>
      <c r="I3616" s="28">
        <v>46332</v>
      </c>
      <c r="J3616" t="s">
        <v>3243</v>
      </c>
      <c r="K3616" t="s">
        <v>3244</v>
      </c>
    </row>
    <row r="3617" spans="1:11" hidden="1">
      <c r="A3617" s="28">
        <v>46332</v>
      </c>
      <c r="B3617" t="s">
        <v>186</v>
      </c>
      <c r="C3617" t="s">
        <v>203</v>
      </c>
      <c r="D3617" t="s">
        <v>217</v>
      </c>
      <c r="E3617">
        <f>IF(LEFT(D3617,6)="CLIENT",IFERROR(VLOOKUP(C3617,Config_Carteiras!$A:$B,2,FALSE),1),"")</f>
        <v>1</v>
      </c>
      <c r="F3617" s="25">
        <v>6413.44</v>
      </c>
      <c r="G3617" s="28">
        <f>IF(LEFT(D3617,6)="CLIENT",IF(E3617=0,WORKDAY(A3617-1,1,Dias_Sem_Compensacao!$A$2:$A$500),WORKDAY(A3617,E3617,Dias_Sem_Compensacao!$A$2:$A$500)),"")</f>
        <v>46335</v>
      </c>
      <c r="H3617" s="25">
        <v>0</v>
      </c>
      <c r="I3617" s="28">
        <v>46332</v>
      </c>
      <c r="J3617" t="s">
        <v>3245</v>
      </c>
      <c r="K3617" t="s">
        <v>3246</v>
      </c>
    </row>
    <row r="3618" spans="1:11" hidden="1">
      <c r="A3618" s="28">
        <v>46332</v>
      </c>
      <c r="B3618" t="s">
        <v>186</v>
      </c>
      <c r="C3618" t="s">
        <v>203</v>
      </c>
      <c r="D3618" t="s">
        <v>217</v>
      </c>
      <c r="E3618">
        <f>IF(LEFT(D3618,6)="CLIENT",IFERROR(VLOOKUP(C3618,Config_Carteiras!$A:$B,2,FALSE),1),"")</f>
        <v>1</v>
      </c>
      <c r="F3618" s="25">
        <v>1258.03</v>
      </c>
      <c r="G3618" s="28">
        <f>IF(LEFT(D3618,6)="CLIENT",IF(E3618=0,WORKDAY(A3618-1,1,Dias_Sem_Compensacao!$A$2:$A$500),WORKDAY(A3618,E3618,Dias_Sem_Compensacao!$A$2:$A$500)),"")</f>
        <v>46335</v>
      </c>
      <c r="H3618" s="25">
        <v>0</v>
      </c>
      <c r="I3618" s="28">
        <v>46332</v>
      </c>
      <c r="J3618" t="s">
        <v>2834</v>
      </c>
      <c r="K3618" t="s">
        <v>2835</v>
      </c>
    </row>
    <row r="3619" spans="1:11" hidden="1">
      <c r="A3619" s="28">
        <v>46332</v>
      </c>
      <c r="B3619" t="s">
        <v>186</v>
      </c>
      <c r="C3619" t="s">
        <v>203</v>
      </c>
      <c r="D3619" t="s">
        <v>217</v>
      </c>
      <c r="E3619">
        <f>IF(LEFT(D3619,6)="CLIENT",IFERROR(VLOOKUP(C3619,Config_Carteiras!$A:$B,2,FALSE),1),"")</f>
        <v>1</v>
      </c>
      <c r="F3619" s="25">
        <v>6560.77</v>
      </c>
      <c r="G3619" s="28">
        <f>IF(LEFT(D3619,6)="CLIENT",IF(E3619=0,WORKDAY(A3619-1,1,Dias_Sem_Compensacao!$A$2:$A$500),WORKDAY(A3619,E3619,Dias_Sem_Compensacao!$A$2:$A$500)),"")</f>
        <v>46335</v>
      </c>
      <c r="H3619" s="25">
        <v>0</v>
      </c>
      <c r="I3619" s="28">
        <v>46332</v>
      </c>
      <c r="J3619" t="s">
        <v>2721</v>
      </c>
      <c r="K3619" t="s">
        <v>3249</v>
      </c>
    </row>
    <row r="3620" spans="1:11" hidden="1">
      <c r="A3620" s="28">
        <v>46332</v>
      </c>
      <c r="B3620" t="s">
        <v>186</v>
      </c>
      <c r="C3620" t="s">
        <v>203</v>
      </c>
      <c r="D3620" t="s">
        <v>217</v>
      </c>
      <c r="E3620">
        <f>IF(LEFT(D3620,6)="CLIENT",IFERROR(VLOOKUP(C3620,Config_Carteiras!$A:$B,2,FALSE),1),"")</f>
        <v>1</v>
      </c>
      <c r="F3620" s="25">
        <v>1029.78</v>
      </c>
      <c r="G3620" s="28">
        <f>IF(LEFT(D3620,6)="CLIENT",IF(E3620=0,WORKDAY(A3620-1,1,Dias_Sem_Compensacao!$A$2:$A$500),WORKDAY(A3620,E3620,Dias_Sem_Compensacao!$A$2:$A$500)),"")</f>
        <v>46335</v>
      </c>
      <c r="H3620" s="25">
        <v>0</v>
      </c>
      <c r="I3620" s="28">
        <v>46332</v>
      </c>
      <c r="J3620" t="s">
        <v>3252</v>
      </c>
      <c r="K3620" t="s">
        <v>3253</v>
      </c>
    </row>
    <row r="3621" spans="1:11" hidden="1">
      <c r="A3621" s="28">
        <v>46332</v>
      </c>
      <c r="B3621" t="s">
        <v>186</v>
      </c>
      <c r="C3621" t="s">
        <v>203</v>
      </c>
      <c r="D3621" t="s">
        <v>217</v>
      </c>
      <c r="E3621">
        <f>IF(LEFT(D3621,6)="CLIENT",IFERROR(VLOOKUP(C3621,Config_Carteiras!$A:$B,2,FALSE),1),"")</f>
        <v>1</v>
      </c>
      <c r="F3621" s="25">
        <v>879.04</v>
      </c>
      <c r="G3621" s="28">
        <f>IF(LEFT(D3621,6)="CLIENT",IF(E3621=0,WORKDAY(A3621-1,1,Dias_Sem_Compensacao!$A$2:$A$500),WORKDAY(A3621,E3621,Dias_Sem_Compensacao!$A$2:$A$500)),"")</f>
        <v>46335</v>
      </c>
      <c r="H3621" s="25">
        <v>0</v>
      </c>
      <c r="I3621" s="28">
        <v>46332</v>
      </c>
      <c r="J3621" t="s">
        <v>3254</v>
      </c>
      <c r="K3621" t="s">
        <v>3255</v>
      </c>
    </row>
    <row r="3622" spans="1:11" hidden="1">
      <c r="A3622" s="28">
        <v>46332</v>
      </c>
      <c r="B3622" t="s">
        <v>186</v>
      </c>
      <c r="C3622" t="s">
        <v>203</v>
      </c>
      <c r="D3622" t="s">
        <v>217</v>
      </c>
      <c r="E3622">
        <f>IF(LEFT(D3622,6)="CLIENT",IFERROR(VLOOKUP(C3622,Config_Carteiras!$A:$B,2,FALSE),1),"")</f>
        <v>1</v>
      </c>
      <c r="F3622" s="25">
        <v>1346.61</v>
      </c>
      <c r="G3622" s="28">
        <f>IF(LEFT(D3622,6)="CLIENT",IF(E3622=0,WORKDAY(A3622-1,1,Dias_Sem_Compensacao!$A$2:$A$500),WORKDAY(A3622,E3622,Dias_Sem_Compensacao!$A$2:$A$500)),"")</f>
        <v>46335</v>
      </c>
      <c r="H3622" s="25">
        <v>0</v>
      </c>
      <c r="I3622" s="28">
        <v>46332</v>
      </c>
      <c r="J3622" t="s">
        <v>2286</v>
      </c>
      <c r="K3622" t="s">
        <v>2287</v>
      </c>
    </row>
    <row r="3623" spans="1:11" hidden="1">
      <c r="A3623" s="28">
        <v>46332</v>
      </c>
      <c r="B3623" t="s">
        <v>186</v>
      </c>
      <c r="C3623" t="s">
        <v>203</v>
      </c>
      <c r="D3623" t="s">
        <v>217</v>
      </c>
      <c r="E3623">
        <f>IF(LEFT(D3623,6)="CLIENT",IFERROR(VLOOKUP(C3623,Config_Carteiras!$A:$B,2,FALSE),1),"")</f>
        <v>1</v>
      </c>
      <c r="F3623" s="25">
        <v>10465</v>
      </c>
      <c r="G3623" s="28">
        <f>IF(LEFT(D3623,6)="CLIENT",IF(E3623=0,WORKDAY(A3623-1,1,Dias_Sem_Compensacao!$A$2:$A$500),WORKDAY(A3623,E3623,Dias_Sem_Compensacao!$A$2:$A$500)),"")</f>
        <v>46335</v>
      </c>
      <c r="H3623" s="25">
        <v>0</v>
      </c>
      <c r="I3623" s="28">
        <v>46332</v>
      </c>
      <c r="J3623" t="s">
        <v>3433</v>
      </c>
      <c r="K3623" t="s">
        <v>3434</v>
      </c>
    </row>
    <row r="3624" spans="1:11" hidden="1">
      <c r="A3624" s="28">
        <v>46332</v>
      </c>
      <c r="B3624" t="s">
        <v>186</v>
      </c>
      <c r="C3624" t="s">
        <v>203</v>
      </c>
      <c r="D3624" t="s">
        <v>217</v>
      </c>
      <c r="E3624">
        <f>IF(LEFT(D3624,6)="CLIENT",IFERROR(VLOOKUP(C3624,Config_Carteiras!$A:$B,2,FALSE),1),"")</f>
        <v>1</v>
      </c>
      <c r="F3624" s="25">
        <v>3905.69</v>
      </c>
      <c r="G3624" s="28">
        <f>IF(LEFT(D3624,6)="CLIENT",IF(E3624=0,WORKDAY(A3624-1,1,Dias_Sem_Compensacao!$A$2:$A$500),WORKDAY(A3624,E3624,Dias_Sem_Compensacao!$A$2:$A$500)),"")</f>
        <v>46335</v>
      </c>
      <c r="H3624" s="25">
        <v>0</v>
      </c>
      <c r="I3624" s="28">
        <v>46332</v>
      </c>
      <c r="J3624" t="s">
        <v>2295</v>
      </c>
      <c r="K3624" t="s">
        <v>2296</v>
      </c>
    </row>
    <row r="3625" spans="1:11" hidden="1">
      <c r="A3625" s="28">
        <v>46332</v>
      </c>
      <c r="B3625" t="s">
        <v>186</v>
      </c>
      <c r="C3625" t="s">
        <v>203</v>
      </c>
      <c r="D3625" t="s">
        <v>217</v>
      </c>
      <c r="E3625">
        <f>IF(LEFT(D3625,6)="CLIENT",IFERROR(VLOOKUP(C3625,Config_Carteiras!$A:$B,2,FALSE),1),"")</f>
        <v>1</v>
      </c>
      <c r="F3625" s="25">
        <v>599.71</v>
      </c>
      <c r="G3625" s="28">
        <f>IF(LEFT(D3625,6)="CLIENT",IF(E3625=0,WORKDAY(A3625-1,1,Dias_Sem_Compensacao!$A$2:$A$500),WORKDAY(A3625,E3625,Dias_Sem_Compensacao!$A$2:$A$500)),"")</f>
        <v>46335</v>
      </c>
      <c r="H3625" s="25">
        <v>0</v>
      </c>
      <c r="I3625" s="28">
        <v>46332</v>
      </c>
      <c r="J3625" t="s">
        <v>2299</v>
      </c>
      <c r="K3625" t="s">
        <v>2300</v>
      </c>
    </row>
    <row r="3626" spans="1:11" hidden="1">
      <c r="A3626" s="28">
        <v>46332</v>
      </c>
      <c r="B3626" t="s">
        <v>186</v>
      </c>
      <c r="C3626" t="s">
        <v>203</v>
      </c>
      <c r="D3626" t="s">
        <v>217</v>
      </c>
      <c r="E3626">
        <f>IF(LEFT(D3626,6)="CLIENT",IFERROR(VLOOKUP(C3626,Config_Carteiras!$A:$B,2,FALSE),1),"")</f>
        <v>1</v>
      </c>
      <c r="F3626" s="25">
        <v>1902</v>
      </c>
      <c r="G3626" s="28">
        <f>IF(LEFT(D3626,6)="CLIENT",IF(E3626=0,WORKDAY(A3626-1,1,Dias_Sem_Compensacao!$A$2:$A$500),WORKDAY(A3626,E3626,Dias_Sem_Compensacao!$A$2:$A$500)),"")</f>
        <v>46335</v>
      </c>
      <c r="H3626" s="25">
        <v>0</v>
      </c>
      <c r="I3626" s="28">
        <v>46332</v>
      </c>
      <c r="J3626" t="s">
        <v>3269</v>
      </c>
      <c r="K3626" t="s">
        <v>3270</v>
      </c>
    </row>
    <row r="3627" spans="1:11" hidden="1">
      <c r="A3627" s="28">
        <v>46332</v>
      </c>
      <c r="B3627" t="s">
        <v>186</v>
      </c>
      <c r="C3627" t="s">
        <v>203</v>
      </c>
      <c r="D3627" t="s">
        <v>217</v>
      </c>
      <c r="E3627">
        <f>IF(LEFT(D3627,6)="CLIENT",IFERROR(VLOOKUP(C3627,Config_Carteiras!$A:$B,2,FALSE),1),"")</f>
        <v>1</v>
      </c>
      <c r="F3627" s="25">
        <v>899.32</v>
      </c>
      <c r="G3627" s="28">
        <f>IF(LEFT(D3627,6)="CLIENT",IF(E3627=0,WORKDAY(A3627-1,1,Dias_Sem_Compensacao!$A$2:$A$500),WORKDAY(A3627,E3627,Dias_Sem_Compensacao!$A$2:$A$500)),"")</f>
        <v>46335</v>
      </c>
      <c r="H3627" s="25">
        <v>0</v>
      </c>
      <c r="I3627" s="28">
        <v>46332</v>
      </c>
      <c r="J3627" t="s">
        <v>3272</v>
      </c>
      <c r="K3627" t="s">
        <v>3273</v>
      </c>
    </row>
    <row r="3628" spans="1:11" hidden="1">
      <c r="A3628" s="28">
        <v>46332</v>
      </c>
      <c r="B3628" t="s">
        <v>186</v>
      </c>
      <c r="C3628" t="s">
        <v>203</v>
      </c>
      <c r="D3628" t="s">
        <v>217</v>
      </c>
      <c r="E3628">
        <f>IF(LEFT(D3628,6)="CLIENT",IFERROR(VLOOKUP(C3628,Config_Carteiras!$A:$B,2,FALSE),1),"")</f>
        <v>1</v>
      </c>
      <c r="F3628" s="25">
        <v>623.48</v>
      </c>
      <c r="G3628" s="28">
        <f>IF(LEFT(D3628,6)="CLIENT",IF(E3628=0,WORKDAY(A3628-1,1,Dias_Sem_Compensacao!$A$2:$A$500),WORKDAY(A3628,E3628,Dias_Sem_Compensacao!$A$2:$A$500)),"")</f>
        <v>46335</v>
      </c>
      <c r="H3628" s="25">
        <v>0</v>
      </c>
      <c r="I3628" s="28">
        <v>46332</v>
      </c>
      <c r="J3628" t="s">
        <v>3274</v>
      </c>
      <c r="K3628" t="s">
        <v>3275</v>
      </c>
    </row>
    <row r="3629" spans="1:11" hidden="1">
      <c r="A3629" s="28">
        <v>46332</v>
      </c>
      <c r="B3629" t="s">
        <v>186</v>
      </c>
      <c r="C3629" t="s">
        <v>203</v>
      </c>
      <c r="D3629" t="s">
        <v>217</v>
      </c>
      <c r="E3629">
        <f>IF(LEFT(D3629,6)="CLIENT",IFERROR(VLOOKUP(C3629,Config_Carteiras!$A:$B,2,FALSE),1),"")</f>
        <v>1</v>
      </c>
      <c r="F3629" s="25">
        <v>1600</v>
      </c>
      <c r="G3629" s="28">
        <f>IF(LEFT(D3629,6)="CLIENT",IF(E3629=0,WORKDAY(A3629-1,1,Dias_Sem_Compensacao!$A$2:$A$500),WORKDAY(A3629,E3629,Dias_Sem_Compensacao!$A$2:$A$500)),"")</f>
        <v>46335</v>
      </c>
      <c r="H3629" s="25">
        <v>0</v>
      </c>
      <c r="I3629" s="28">
        <v>46332</v>
      </c>
      <c r="J3629" t="s">
        <v>3278</v>
      </c>
      <c r="K3629" t="s">
        <v>3279</v>
      </c>
    </row>
    <row r="3630" spans="1:11" hidden="1">
      <c r="A3630" s="28">
        <v>46332</v>
      </c>
      <c r="B3630" t="s">
        <v>186</v>
      </c>
      <c r="C3630" t="s">
        <v>203</v>
      </c>
      <c r="D3630" t="s">
        <v>217</v>
      </c>
      <c r="E3630">
        <f>IF(LEFT(D3630,6)="CLIENT",IFERROR(VLOOKUP(C3630,Config_Carteiras!$A:$B,2,FALSE),1),"")</f>
        <v>1</v>
      </c>
      <c r="F3630" s="25">
        <v>659.89</v>
      </c>
      <c r="G3630" s="28">
        <f>IF(LEFT(D3630,6)="CLIENT",IF(E3630=0,WORKDAY(A3630-1,1,Dias_Sem_Compensacao!$A$2:$A$500),WORKDAY(A3630,E3630,Dias_Sem_Compensacao!$A$2:$A$500)),"")</f>
        <v>46335</v>
      </c>
      <c r="H3630" s="25">
        <v>0</v>
      </c>
      <c r="I3630" s="28">
        <v>46332</v>
      </c>
      <c r="J3630" t="s">
        <v>2859</v>
      </c>
      <c r="K3630" t="s">
        <v>2860</v>
      </c>
    </row>
    <row r="3631" spans="1:11" hidden="1">
      <c r="A3631" s="28">
        <v>46332</v>
      </c>
      <c r="B3631" t="s">
        <v>186</v>
      </c>
      <c r="C3631" t="s">
        <v>203</v>
      </c>
      <c r="D3631" t="s">
        <v>217</v>
      </c>
      <c r="E3631">
        <f>IF(LEFT(D3631,6)="CLIENT",IFERROR(VLOOKUP(C3631,Config_Carteiras!$A:$B,2,FALSE),1),"")</f>
        <v>1</v>
      </c>
      <c r="F3631" s="25">
        <v>495.99</v>
      </c>
      <c r="G3631" s="28">
        <f>IF(LEFT(D3631,6)="CLIENT",IF(E3631=0,WORKDAY(A3631-1,1,Dias_Sem_Compensacao!$A$2:$A$500),WORKDAY(A3631,E3631,Dias_Sem_Compensacao!$A$2:$A$500)),"")</f>
        <v>46335</v>
      </c>
      <c r="H3631" s="25">
        <v>0</v>
      </c>
      <c r="I3631" s="28">
        <v>46332</v>
      </c>
      <c r="J3631" t="s">
        <v>2862</v>
      </c>
      <c r="K3631" t="s">
        <v>2863</v>
      </c>
    </row>
    <row r="3632" spans="1:11" hidden="1">
      <c r="A3632" s="28">
        <v>46332</v>
      </c>
      <c r="B3632" t="s">
        <v>186</v>
      </c>
      <c r="C3632" t="s">
        <v>203</v>
      </c>
      <c r="D3632" t="s">
        <v>217</v>
      </c>
      <c r="E3632">
        <f>IF(LEFT(D3632,6)="CLIENT",IFERROR(VLOOKUP(C3632,Config_Carteiras!$A:$B,2,FALSE),1),"")</f>
        <v>1</v>
      </c>
      <c r="F3632" s="25">
        <v>360</v>
      </c>
      <c r="G3632" s="28">
        <f>IF(LEFT(D3632,6)="CLIENT",IF(E3632=0,WORKDAY(A3632-1,1,Dias_Sem_Compensacao!$A$2:$A$500),WORKDAY(A3632,E3632,Dias_Sem_Compensacao!$A$2:$A$500)),"")</f>
        <v>46335</v>
      </c>
      <c r="H3632" s="25">
        <v>0</v>
      </c>
      <c r="I3632" s="28">
        <v>46332</v>
      </c>
      <c r="J3632" t="s">
        <v>354</v>
      </c>
      <c r="K3632" t="s">
        <v>945</v>
      </c>
    </row>
    <row r="3633" spans="1:11" hidden="1">
      <c r="A3633" s="28">
        <v>46332</v>
      </c>
      <c r="B3633" t="s">
        <v>186</v>
      </c>
      <c r="C3633" t="s">
        <v>203</v>
      </c>
      <c r="D3633" t="s">
        <v>217</v>
      </c>
      <c r="E3633">
        <f>IF(LEFT(D3633,6)="CLIENT",IFERROR(VLOOKUP(C3633,Config_Carteiras!$A:$B,2,FALSE),1),"")</f>
        <v>1</v>
      </c>
      <c r="F3633" s="25">
        <v>626.42999999999995</v>
      </c>
      <c r="G3633" s="28">
        <f>IF(LEFT(D3633,6)="CLIENT",IF(E3633=0,WORKDAY(A3633-1,1,Dias_Sem_Compensacao!$A$2:$A$500),WORKDAY(A3633,E3633,Dias_Sem_Compensacao!$A$2:$A$500)),"")</f>
        <v>46335</v>
      </c>
      <c r="H3633" s="25">
        <v>0</v>
      </c>
      <c r="I3633" s="28">
        <v>46332</v>
      </c>
      <c r="J3633" t="s">
        <v>2893</v>
      </c>
      <c r="K3633" t="s">
        <v>2894</v>
      </c>
    </row>
    <row r="3634" spans="1:11" hidden="1">
      <c r="A3634" s="28">
        <v>46335</v>
      </c>
      <c r="B3634" t="s">
        <v>186</v>
      </c>
      <c r="C3634" t="s">
        <v>203</v>
      </c>
      <c r="D3634" t="s">
        <v>217</v>
      </c>
      <c r="E3634">
        <f>IF(LEFT(D3634,6)="CLIENT",IFERROR(VLOOKUP(C3634,Config_Carteiras!$A:$B,2,FALSE),1),"")</f>
        <v>1</v>
      </c>
      <c r="F3634" s="25">
        <v>1090</v>
      </c>
      <c r="G3634" s="28">
        <f>IF(LEFT(D3634,6)="CLIENT",IF(E3634=0,WORKDAY(A3634-1,1,Dias_Sem_Compensacao!$A$2:$A$500),WORKDAY(A3634,E3634,Dias_Sem_Compensacao!$A$2:$A$500)),"")</f>
        <v>46336</v>
      </c>
      <c r="H3634" s="25">
        <v>0</v>
      </c>
      <c r="I3634" s="28">
        <v>46335</v>
      </c>
      <c r="J3634" t="s">
        <v>3296</v>
      </c>
      <c r="K3634" t="s">
        <v>3297</v>
      </c>
    </row>
    <row r="3635" spans="1:11" hidden="1">
      <c r="A3635" s="28">
        <v>46335</v>
      </c>
      <c r="B3635" t="s">
        <v>186</v>
      </c>
      <c r="C3635" t="s">
        <v>203</v>
      </c>
      <c r="D3635" t="s">
        <v>217</v>
      </c>
      <c r="E3635">
        <f>IF(LEFT(D3635,6)="CLIENT",IFERROR(VLOOKUP(C3635,Config_Carteiras!$A:$B,2,FALSE),1),"")</f>
        <v>1</v>
      </c>
      <c r="F3635" s="25">
        <v>991.97</v>
      </c>
      <c r="G3635" s="28">
        <f>IF(LEFT(D3635,6)="CLIENT",IF(E3635=0,WORKDAY(A3635-1,1,Dias_Sem_Compensacao!$A$2:$A$500),WORKDAY(A3635,E3635,Dias_Sem_Compensacao!$A$2:$A$500)),"")</f>
        <v>46336</v>
      </c>
      <c r="H3635" s="25">
        <v>0</v>
      </c>
      <c r="I3635" s="28">
        <v>46335</v>
      </c>
      <c r="J3635" t="s">
        <v>3302</v>
      </c>
      <c r="K3635" t="s">
        <v>3303</v>
      </c>
    </row>
    <row r="3636" spans="1:11" hidden="1">
      <c r="A3636" s="28">
        <v>46335</v>
      </c>
      <c r="B3636" t="s">
        <v>186</v>
      </c>
      <c r="C3636" t="s">
        <v>203</v>
      </c>
      <c r="D3636" t="s">
        <v>217</v>
      </c>
      <c r="E3636">
        <f>IF(LEFT(D3636,6)="CLIENT",IFERROR(VLOOKUP(C3636,Config_Carteiras!$A:$B,2,FALSE),1),"")</f>
        <v>1</v>
      </c>
      <c r="F3636" s="25">
        <v>1172.32</v>
      </c>
      <c r="G3636" s="28">
        <f>IF(LEFT(D3636,6)="CLIENT",IF(E3636=0,WORKDAY(A3636-1,1,Dias_Sem_Compensacao!$A$2:$A$500),WORKDAY(A3636,E3636,Dias_Sem_Compensacao!$A$2:$A$500)),"")</f>
        <v>46336</v>
      </c>
      <c r="H3636" s="25">
        <v>0</v>
      </c>
      <c r="I3636" s="28">
        <v>46335</v>
      </c>
      <c r="K3636" t="s">
        <v>3304</v>
      </c>
    </row>
    <row r="3637" spans="1:11" hidden="1">
      <c r="A3637" s="28">
        <v>46335</v>
      </c>
      <c r="B3637" t="s">
        <v>186</v>
      </c>
      <c r="C3637" t="s">
        <v>203</v>
      </c>
      <c r="D3637" t="s">
        <v>217</v>
      </c>
      <c r="E3637">
        <f>IF(LEFT(D3637,6)="CLIENT",IFERROR(VLOOKUP(C3637,Config_Carteiras!$A:$B,2,FALSE),1),"")</f>
        <v>1</v>
      </c>
      <c r="F3637" s="25">
        <v>578.28</v>
      </c>
      <c r="G3637" s="28">
        <f>IF(LEFT(D3637,6)="CLIENT",IF(E3637=0,WORKDAY(A3637-1,1,Dias_Sem_Compensacao!$A$2:$A$500),WORKDAY(A3637,E3637,Dias_Sem_Compensacao!$A$2:$A$500)),"")</f>
        <v>46336</v>
      </c>
      <c r="H3637" s="25">
        <v>0</v>
      </c>
      <c r="I3637" s="28">
        <v>46335</v>
      </c>
      <c r="J3637" t="s">
        <v>2253</v>
      </c>
      <c r="K3637" t="s">
        <v>2254</v>
      </c>
    </row>
    <row r="3638" spans="1:11" hidden="1">
      <c r="A3638" s="28">
        <v>46335</v>
      </c>
      <c r="B3638" t="s">
        <v>186</v>
      </c>
      <c r="C3638" t="s">
        <v>203</v>
      </c>
      <c r="D3638" t="s">
        <v>217</v>
      </c>
      <c r="E3638">
        <f>IF(LEFT(D3638,6)="CLIENT",IFERROR(VLOOKUP(C3638,Config_Carteiras!$A:$B,2,FALSE),1),"")</f>
        <v>1</v>
      </c>
      <c r="F3638" s="25">
        <v>1047</v>
      </c>
      <c r="G3638" s="28">
        <f>IF(LEFT(D3638,6)="CLIENT",IF(E3638=0,WORKDAY(A3638-1,1,Dias_Sem_Compensacao!$A$2:$A$500),WORKDAY(A3638,E3638,Dias_Sem_Compensacao!$A$2:$A$500)),"")</f>
        <v>46336</v>
      </c>
      <c r="H3638" s="25">
        <v>0</v>
      </c>
      <c r="I3638" s="28">
        <v>46335</v>
      </c>
      <c r="J3638" t="s">
        <v>3437</v>
      </c>
      <c r="K3638" t="s">
        <v>3438</v>
      </c>
    </row>
    <row r="3639" spans="1:11" hidden="1">
      <c r="A3639" s="28">
        <v>46335</v>
      </c>
      <c r="B3639" t="s">
        <v>186</v>
      </c>
      <c r="C3639" t="s">
        <v>203</v>
      </c>
      <c r="D3639" t="s">
        <v>217</v>
      </c>
      <c r="E3639">
        <f>IF(LEFT(D3639,6)="CLIENT",IFERROR(VLOOKUP(C3639,Config_Carteiras!$A:$B,2,FALSE),1),"")</f>
        <v>1</v>
      </c>
      <c r="F3639" s="25">
        <v>2103.73</v>
      </c>
      <c r="G3639" s="28">
        <f>IF(LEFT(D3639,6)="CLIENT",IF(E3639=0,WORKDAY(A3639-1,1,Dias_Sem_Compensacao!$A$2:$A$500),WORKDAY(A3639,E3639,Dias_Sem_Compensacao!$A$2:$A$500)),"")</f>
        <v>46336</v>
      </c>
      <c r="H3639" s="25">
        <v>0</v>
      </c>
      <c r="I3639" s="28">
        <v>46335</v>
      </c>
      <c r="J3639" t="s">
        <v>3308</v>
      </c>
      <c r="K3639" t="s">
        <v>3309</v>
      </c>
    </row>
    <row r="3640" spans="1:11" hidden="1">
      <c r="A3640" s="28">
        <v>46335</v>
      </c>
      <c r="B3640" t="s">
        <v>186</v>
      </c>
      <c r="C3640" t="s">
        <v>203</v>
      </c>
      <c r="D3640" t="s">
        <v>217</v>
      </c>
      <c r="E3640">
        <f>IF(LEFT(D3640,6)="CLIENT",IFERROR(VLOOKUP(C3640,Config_Carteiras!$A:$B,2,FALSE),1),"")</f>
        <v>1</v>
      </c>
      <c r="F3640" s="25">
        <v>817</v>
      </c>
      <c r="G3640" s="28">
        <f>IF(LEFT(D3640,6)="CLIENT",IF(E3640=0,WORKDAY(A3640-1,1,Dias_Sem_Compensacao!$A$2:$A$500),WORKDAY(A3640,E3640,Dias_Sem_Compensacao!$A$2:$A$500)),"")</f>
        <v>46336</v>
      </c>
      <c r="H3640" s="25">
        <v>0</v>
      </c>
      <c r="I3640" s="28">
        <v>46335</v>
      </c>
      <c r="J3640" t="s">
        <v>3456</v>
      </c>
      <c r="K3640" t="s">
        <v>3457</v>
      </c>
    </row>
    <row r="3641" spans="1:11" hidden="1">
      <c r="A3641" s="28">
        <v>46335</v>
      </c>
      <c r="B3641" t="s">
        <v>186</v>
      </c>
      <c r="C3641" t="s">
        <v>203</v>
      </c>
      <c r="D3641" t="s">
        <v>217</v>
      </c>
      <c r="E3641">
        <f>IF(LEFT(D3641,6)="CLIENT",IFERROR(VLOOKUP(C3641,Config_Carteiras!$A:$B,2,FALSE),1),"")</f>
        <v>1</v>
      </c>
      <c r="F3641" s="25">
        <v>18976.3</v>
      </c>
      <c r="G3641" s="28">
        <f>IF(LEFT(D3641,6)="CLIENT",IF(E3641=0,WORKDAY(A3641-1,1,Dias_Sem_Compensacao!$A$2:$A$500),WORKDAY(A3641,E3641,Dias_Sem_Compensacao!$A$2:$A$500)),"")</f>
        <v>46336</v>
      </c>
      <c r="H3641" s="25">
        <v>0</v>
      </c>
      <c r="I3641" s="28">
        <v>46335</v>
      </c>
      <c r="J3641" t="s">
        <v>3310</v>
      </c>
      <c r="K3641" t="s">
        <v>3311</v>
      </c>
    </row>
    <row r="3642" spans="1:11" hidden="1">
      <c r="A3642" s="28">
        <v>46335</v>
      </c>
      <c r="B3642" t="s">
        <v>186</v>
      </c>
      <c r="C3642" t="s">
        <v>203</v>
      </c>
      <c r="D3642" t="s">
        <v>217</v>
      </c>
      <c r="E3642">
        <f>IF(LEFT(D3642,6)="CLIENT",IFERROR(VLOOKUP(C3642,Config_Carteiras!$A:$B,2,FALSE),1),"")</f>
        <v>1</v>
      </c>
      <c r="F3642" s="25">
        <v>3120</v>
      </c>
      <c r="G3642" s="28">
        <f>IF(LEFT(D3642,6)="CLIENT",IF(E3642=0,WORKDAY(A3642-1,1,Dias_Sem_Compensacao!$A$2:$A$500),WORKDAY(A3642,E3642,Dias_Sem_Compensacao!$A$2:$A$500)),"")</f>
        <v>46336</v>
      </c>
      <c r="H3642" s="25">
        <v>0</v>
      </c>
      <c r="I3642" s="28">
        <v>46335</v>
      </c>
      <c r="J3642" t="s">
        <v>387</v>
      </c>
      <c r="K3642" t="s">
        <v>2898</v>
      </c>
    </row>
    <row r="3643" spans="1:11" hidden="1">
      <c r="A3643" s="28">
        <v>46335</v>
      </c>
      <c r="B3643" t="s">
        <v>186</v>
      </c>
      <c r="C3643" t="s">
        <v>203</v>
      </c>
      <c r="D3643" t="s">
        <v>217</v>
      </c>
      <c r="E3643">
        <f>IF(LEFT(D3643,6)="CLIENT",IFERROR(VLOOKUP(C3643,Config_Carteiras!$A:$B,2,FALSE),1),"")</f>
        <v>1</v>
      </c>
      <c r="F3643" s="25">
        <v>979.06</v>
      </c>
      <c r="G3643" s="28">
        <f>IF(LEFT(D3643,6)="CLIENT",IF(E3643=0,WORKDAY(A3643-1,1,Dias_Sem_Compensacao!$A$2:$A$500),WORKDAY(A3643,E3643,Dias_Sem_Compensacao!$A$2:$A$500)),"")</f>
        <v>46336</v>
      </c>
      <c r="H3643" s="25">
        <v>0</v>
      </c>
      <c r="I3643" s="28">
        <v>46335</v>
      </c>
      <c r="J3643" t="s">
        <v>3313</v>
      </c>
      <c r="K3643" t="s">
        <v>3314</v>
      </c>
    </row>
    <row r="3644" spans="1:11" hidden="1">
      <c r="A3644" s="28">
        <v>46335</v>
      </c>
      <c r="B3644" t="s">
        <v>186</v>
      </c>
      <c r="C3644" t="s">
        <v>203</v>
      </c>
      <c r="D3644" t="s">
        <v>217</v>
      </c>
      <c r="E3644">
        <f>IF(LEFT(D3644,6)="CLIENT",IFERROR(VLOOKUP(C3644,Config_Carteiras!$A:$B,2,FALSE),1),"")</f>
        <v>1</v>
      </c>
      <c r="F3644" s="25">
        <v>2336.5</v>
      </c>
      <c r="G3644" s="28">
        <f>IF(LEFT(D3644,6)="CLIENT",IF(E3644=0,WORKDAY(A3644-1,1,Dias_Sem_Compensacao!$A$2:$A$500),WORKDAY(A3644,E3644,Dias_Sem_Compensacao!$A$2:$A$500)),"")</f>
        <v>46336</v>
      </c>
      <c r="H3644" s="25">
        <v>0</v>
      </c>
      <c r="I3644" s="28">
        <v>46335</v>
      </c>
      <c r="J3644" t="s">
        <v>2381</v>
      </c>
      <c r="K3644" t="s">
        <v>2382</v>
      </c>
    </row>
    <row r="3645" spans="1:11" hidden="1">
      <c r="A3645" s="28">
        <v>46335</v>
      </c>
      <c r="B3645" t="s">
        <v>186</v>
      </c>
      <c r="C3645" t="s">
        <v>203</v>
      </c>
      <c r="D3645" t="s">
        <v>217</v>
      </c>
      <c r="E3645">
        <f>IF(LEFT(D3645,6)="CLIENT",IFERROR(VLOOKUP(C3645,Config_Carteiras!$A:$B,2,FALSE),1),"")</f>
        <v>1</v>
      </c>
      <c r="F3645" s="25">
        <v>339.62</v>
      </c>
      <c r="G3645" s="28">
        <f>IF(LEFT(D3645,6)="CLIENT",IF(E3645=0,WORKDAY(A3645-1,1,Dias_Sem_Compensacao!$A$2:$A$500),WORKDAY(A3645,E3645,Dias_Sem_Compensacao!$A$2:$A$500)),"")</f>
        <v>46336</v>
      </c>
      <c r="H3645" s="25">
        <v>0</v>
      </c>
      <c r="I3645" s="28">
        <v>46335</v>
      </c>
      <c r="J3645" t="s">
        <v>2391</v>
      </c>
      <c r="K3645" t="s">
        <v>2392</v>
      </c>
    </row>
    <row r="3646" spans="1:11" hidden="1">
      <c r="A3646" s="28">
        <v>46335</v>
      </c>
      <c r="B3646" t="s">
        <v>186</v>
      </c>
      <c r="C3646" t="s">
        <v>203</v>
      </c>
      <c r="D3646" t="s">
        <v>217</v>
      </c>
      <c r="E3646">
        <f>IF(LEFT(D3646,6)="CLIENT",IFERROR(VLOOKUP(C3646,Config_Carteiras!$A:$B,2,FALSE),1),"")</f>
        <v>1</v>
      </c>
      <c r="F3646" s="25">
        <v>1717.45</v>
      </c>
      <c r="G3646" s="28">
        <f>IF(LEFT(D3646,6)="CLIENT",IF(E3646=0,WORKDAY(A3646-1,1,Dias_Sem_Compensacao!$A$2:$A$500),WORKDAY(A3646,E3646,Dias_Sem_Compensacao!$A$2:$A$500)),"")</f>
        <v>46336</v>
      </c>
      <c r="H3646" s="25">
        <v>0</v>
      </c>
      <c r="I3646" s="28">
        <v>46335</v>
      </c>
      <c r="J3646" t="s">
        <v>3235</v>
      </c>
      <c r="K3646" t="s">
        <v>3236</v>
      </c>
    </row>
    <row r="3647" spans="1:11" hidden="1">
      <c r="A3647" s="28">
        <v>46335</v>
      </c>
      <c r="B3647" t="s">
        <v>186</v>
      </c>
      <c r="C3647" t="s">
        <v>203</v>
      </c>
      <c r="D3647" t="s">
        <v>217</v>
      </c>
      <c r="E3647">
        <f>IF(LEFT(D3647,6)="CLIENT",IFERROR(VLOOKUP(C3647,Config_Carteiras!$A:$B,2,FALSE),1),"")</f>
        <v>1</v>
      </c>
      <c r="F3647" s="25">
        <v>659</v>
      </c>
      <c r="G3647" s="28">
        <f>IF(LEFT(D3647,6)="CLIENT",IF(E3647=0,WORKDAY(A3647-1,1,Dias_Sem_Compensacao!$A$2:$A$500),WORKDAY(A3647,E3647,Dias_Sem_Compensacao!$A$2:$A$500)),"")</f>
        <v>46336</v>
      </c>
      <c r="H3647" s="25">
        <v>0</v>
      </c>
      <c r="I3647" s="28">
        <v>46335</v>
      </c>
      <c r="J3647" t="s">
        <v>3443</v>
      </c>
      <c r="K3647" t="s">
        <v>3444</v>
      </c>
    </row>
    <row r="3648" spans="1:11" hidden="1">
      <c r="A3648" s="28">
        <v>46335</v>
      </c>
      <c r="B3648" t="s">
        <v>186</v>
      </c>
      <c r="C3648" t="s">
        <v>203</v>
      </c>
      <c r="D3648" t="s">
        <v>217</v>
      </c>
      <c r="E3648">
        <f>IF(LEFT(D3648,6)="CLIENT",IFERROR(VLOOKUP(C3648,Config_Carteiras!$A:$B,2,FALSE),1),"")</f>
        <v>1</v>
      </c>
      <c r="F3648" s="25">
        <v>2477</v>
      </c>
      <c r="G3648" s="28">
        <f>IF(LEFT(D3648,6)="CLIENT",IF(E3648=0,WORKDAY(A3648-1,1,Dias_Sem_Compensacao!$A$2:$A$500),WORKDAY(A3648,E3648,Dias_Sem_Compensacao!$A$2:$A$500)),"")</f>
        <v>46336</v>
      </c>
      <c r="H3648" s="25">
        <v>0</v>
      </c>
      <c r="I3648" s="28">
        <v>46335</v>
      </c>
      <c r="J3648" t="s">
        <v>1344</v>
      </c>
      <c r="K3648" t="s">
        <v>3327</v>
      </c>
    </row>
    <row r="3649" spans="1:11" hidden="1">
      <c r="A3649" s="28">
        <v>46335</v>
      </c>
      <c r="B3649" t="s">
        <v>186</v>
      </c>
      <c r="C3649" t="s">
        <v>203</v>
      </c>
      <c r="D3649" t="s">
        <v>217</v>
      </c>
      <c r="E3649">
        <f>IF(LEFT(D3649,6)="CLIENT",IFERROR(VLOOKUP(C3649,Config_Carteiras!$A:$B,2,FALSE),1),"")</f>
        <v>1</v>
      </c>
      <c r="F3649" s="25">
        <v>1626</v>
      </c>
      <c r="G3649" s="28">
        <f>IF(LEFT(D3649,6)="CLIENT",IF(E3649=0,WORKDAY(A3649-1,1,Dias_Sem_Compensacao!$A$2:$A$500),WORKDAY(A3649,E3649,Dias_Sem_Compensacao!$A$2:$A$500)),"")</f>
        <v>46336</v>
      </c>
      <c r="H3649" s="25">
        <v>0</v>
      </c>
      <c r="I3649" s="28">
        <v>46335</v>
      </c>
      <c r="K3649" t="s">
        <v>3328</v>
      </c>
    </row>
    <row r="3650" spans="1:11" hidden="1">
      <c r="A3650" s="28">
        <v>46335</v>
      </c>
      <c r="B3650" t="s">
        <v>186</v>
      </c>
      <c r="C3650" t="s">
        <v>203</v>
      </c>
      <c r="D3650" t="s">
        <v>217</v>
      </c>
      <c r="E3650">
        <f>IF(LEFT(D3650,6)="CLIENT",IFERROR(VLOOKUP(C3650,Config_Carteiras!$A:$B,2,FALSE),1),"")</f>
        <v>1</v>
      </c>
      <c r="F3650" s="25">
        <v>1363.93</v>
      </c>
      <c r="G3650" s="28">
        <f>IF(LEFT(D3650,6)="CLIENT",IF(E3650=0,WORKDAY(A3650-1,1,Dias_Sem_Compensacao!$A$2:$A$500),WORKDAY(A3650,E3650,Dias_Sem_Compensacao!$A$2:$A$500)),"")</f>
        <v>46336</v>
      </c>
      <c r="H3650" s="25">
        <v>0</v>
      </c>
      <c r="I3650" s="28">
        <v>46335</v>
      </c>
      <c r="J3650" t="s">
        <v>3239</v>
      </c>
      <c r="K3650" t="s">
        <v>3329</v>
      </c>
    </row>
    <row r="3651" spans="1:11" hidden="1">
      <c r="A3651" s="28">
        <v>46335</v>
      </c>
      <c r="B3651" t="s">
        <v>186</v>
      </c>
      <c r="C3651" t="s">
        <v>203</v>
      </c>
      <c r="D3651" t="s">
        <v>217</v>
      </c>
      <c r="E3651">
        <f>IF(LEFT(D3651,6)="CLIENT",IFERROR(VLOOKUP(C3651,Config_Carteiras!$A:$B,2,FALSE),1),"")</f>
        <v>1</v>
      </c>
      <c r="F3651" s="25">
        <v>1319.18</v>
      </c>
      <c r="G3651" s="28">
        <f>IF(LEFT(D3651,6)="CLIENT",IF(E3651=0,WORKDAY(A3651-1,1,Dias_Sem_Compensacao!$A$2:$A$500),WORKDAY(A3651,E3651,Dias_Sem_Compensacao!$A$2:$A$500)),"")</f>
        <v>46336</v>
      </c>
      <c r="H3651" s="25">
        <v>0</v>
      </c>
      <c r="I3651" s="28">
        <v>46335</v>
      </c>
      <c r="J3651" t="s">
        <v>3330</v>
      </c>
      <c r="K3651" t="s">
        <v>3331</v>
      </c>
    </row>
    <row r="3652" spans="1:11" hidden="1">
      <c r="A3652" s="28">
        <v>46335</v>
      </c>
      <c r="B3652" t="s">
        <v>186</v>
      </c>
      <c r="C3652" t="s">
        <v>203</v>
      </c>
      <c r="D3652" t="s">
        <v>217</v>
      </c>
      <c r="E3652">
        <f>IF(LEFT(D3652,6)="CLIENT",IFERROR(VLOOKUP(C3652,Config_Carteiras!$A:$B,2,FALSE),1),"")</f>
        <v>1</v>
      </c>
      <c r="F3652" s="25">
        <v>639</v>
      </c>
      <c r="G3652" s="28">
        <f>IF(LEFT(D3652,6)="CLIENT",IF(E3652=0,WORKDAY(A3652-1,1,Dias_Sem_Compensacao!$A$2:$A$500),WORKDAY(A3652,E3652,Dias_Sem_Compensacao!$A$2:$A$500)),"")</f>
        <v>46336</v>
      </c>
      <c r="H3652" s="25">
        <v>0</v>
      </c>
      <c r="I3652" s="28">
        <v>46335</v>
      </c>
      <c r="J3652" t="s">
        <v>401</v>
      </c>
      <c r="K3652" t="s">
        <v>2418</v>
      </c>
    </row>
    <row r="3653" spans="1:11" hidden="1">
      <c r="A3653" s="28">
        <v>46335</v>
      </c>
      <c r="B3653" t="s">
        <v>186</v>
      </c>
      <c r="C3653" t="s">
        <v>203</v>
      </c>
      <c r="D3653" t="s">
        <v>217</v>
      </c>
      <c r="E3653">
        <f>IF(LEFT(D3653,6)="CLIENT",IFERROR(VLOOKUP(C3653,Config_Carteiras!$A:$B,2,FALSE),1),"")</f>
        <v>1</v>
      </c>
      <c r="F3653" s="25">
        <v>1702</v>
      </c>
      <c r="G3653" s="28">
        <f>IF(LEFT(D3653,6)="CLIENT",IF(E3653=0,WORKDAY(A3653-1,1,Dias_Sem_Compensacao!$A$2:$A$500),WORKDAY(A3653,E3653,Dias_Sem_Compensacao!$A$2:$A$500)),"")</f>
        <v>46336</v>
      </c>
      <c r="H3653" s="25">
        <v>0</v>
      </c>
      <c r="I3653" s="28">
        <v>46335</v>
      </c>
      <c r="J3653" t="s">
        <v>1711</v>
      </c>
      <c r="K3653" t="s">
        <v>2931</v>
      </c>
    </row>
    <row r="3654" spans="1:11" hidden="1">
      <c r="A3654" s="28">
        <v>46335</v>
      </c>
      <c r="B3654" t="s">
        <v>186</v>
      </c>
      <c r="C3654" t="s">
        <v>203</v>
      </c>
      <c r="D3654" t="s">
        <v>217</v>
      </c>
      <c r="E3654">
        <f>IF(LEFT(D3654,6)="CLIENT",IFERROR(VLOOKUP(C3654,Config_Carteiras!$A:$B,2,FALSE),1),"")</f>
        <v>1</v>
      </c>
      <c r="F3654" s="25">
        <v>2061.9899999999998</v>
      </c>
      <c r="G3654" s="28">
        <f>IF(LEFT(D3654,6)="CLIENT",IF(E3654=0,WORKDAY(A3654-1,1,Dias_Sem_Compensacao!$A$2:$A$500),WORKDAY(A3654,E3654,Dias_Sem_Compensacao!$A$2:$A$500)),"")</f>
        <v>46336</v>
      </c>
      <c r="H3654" s="25">
        <v>0</v>
      </c>
      <c r="I3654" s="28">
        <v>46335</v>
      </c>
      <c r="J3654" t="s">
        <v>3335</v>
      </c>
      <c r="K3654" t="s">
        <v>3336</v>
      </c>
    </row>
    <row r="3655" spans="1:11" hidden="1">
      <c r="A3655" s="28">
        <v>46335</v>
      </c>
      <c r="B3655" t="s">
        <v>186</v>
      </c>
      <c r="C3655" t="s">
        <v>203</v>
      </c>
      <c r="D3655" t="s">
        <v>217</v>
      </c>
      <c r="E3655">
        <f>IF(LEFT(D3655,6)="CLIENT",IFERROR(VLOOKUP(C3655,Config_Carteiras!$A:$B,2,FALSE),1),"")</f>
        <v>1</v>
      </c>
      <c r="F3655" s="25">
        <v>1119.1099999999999</v>
      </c>
      <c r="G3655" s="28">
        <f>IF(LEFT(D3655,6)="CLIENT",IF(E3655=0,WORKDAY(A3655-1,1,Dias_Sem_Compensacao!$A$2:$A$500),WORKDAY(A3655,E3655,Dias_Sem_Compensacao!$A$2:$A$500)),"")</f>
        <v>46336</v>
      </c>
      <c r="H3655" s="25">
        <v>0</v>
      </c>
      <c r="I3655" s="28">
        <v>46335</v>
      </c>
      <c r="J3655" t="s">
        <v>3247</v>
      </c>
      <c r="K3655" t="s">
        <v>3248</v>
      </c>
    </row>
    <row r="3656" spans="1:11" hidden="1">
      <c r="A3656" s="28">
        <v>46335</v>
      </c>
      <c r="B3656" t="s">
        <v>186</v>
      </c>
      <c r="C3656" t="s">
        <v>203</v>
      </c>
      <c r="D3656" t="s">
        <v>217</v>
      </c>
      <c r="E3656">
        <f>IF(LEFT(D3656,6)="CLIENT",IFERROR(VLOOKUP(C3656,Config_Carteiras!$A:$B,2,FALSE),1),"")</f>
        <v>1</v>
      </c>
      <c r="F3656" s="25">
        <v>16250</v>
      </c>
      <c r="G3656" s="28">
        <f>IF(LEFT(D3656,6)="CLIENT",IF(E3656=0,WORKDAY(A3656-1,1,Dias_Sem_Compensacao!$A$2:$A$500),WORKDAY(A3656,E3656,Dias_Sem_Compensacao!$A$2:$A$500)),"")</f>
        <v>46336</v>
      </c>
      <c r="H3656" s="25">
        <v>0</v>
      </c>
      <c r="I3656" s="28">
        <v>46335</v>
      </c>
      <c r="J3656" t="s">
        <v>1201</v>
      </c>
      <c r="K3656" t="s">
        <v>3339</v>
      </c>
    </row>
    <row r="3657" spans="1:11" hidden="1">
      <c r="A3657" s="28">
        <v>46335</v>
      </c>
      <c r="B3657" t="s">
        <v>186</v>
      </c>
      <c r="C3657" t="s">
        <v>203</v>
      </c>
      <c r="D3657" t="s">
        <v>217</v>
      </c>
      <c r="E3657">
        <f>IF(LEFT(D3657,6)="CLIENT",IFERROR(VLOOKUP(C3657,Config_Carteiras!$A:$B,2,FALSE),1),"")</f>
        <v>1</v>
      </c>
      <c r="F3657" s="25">
        <v>643.55999999999995</v>
      </c>
      <c r="G3657" s="28">
        <f>IF(LEFT(D3657,6)="CLIENT",IF(E3657=0,WORKDAY(A3657-1,1,Dias_Sem_Compensacao!$A$2:$A$500),WORKDAY(A3657,E3657,Dias_Sem_Compensacao!$A$2:$A$500)),"")</f>
        <v>46336</v>
      </c>
      <c r="H3657" s="25">
        <v>0</v>
      </c>
      <c r="I3657" s="28">
        <v>46335</v>
      </c>
      <c r="J3657" t="s">
        <v>1862</v>
      </c>
      <c r="K3657" t="s">
        <v>2946</v>
      </c>
    </row>
    <row r="3658" spans="1:11" hidden="1">
      <c r="A3658" s="28">
        <v>46335</v>
      </c>
      <c r="B3658" t="s">
        <v>186</v>
      </c>
      <c r="C3658" t="s">
        <v>203</v>
      </c>
      <c r="D3658" t="s">
        <v>217</v>
      </c>
      <c r="E3658">
        <f>IF(LEFT(D3658,6)="CLIENT",IFERROR(VLOOKUP(C3658,Config_Carteiras!$A:$B,2,FALSE),1),"")</f>
        <v>1</v>
      </c>
      <c r="F3658" s="25">
        <v>541.87</v>
      </c>
      <c r="G3658" s="28">
        <f>IF(LEFT(D3658,6)="CLIENT",IF(E3658=0,WORKDAY(A3658-1,1,Dias_Sem_Compensacao!$A$2:$A$500),WORKDAY(A3658,E3658,Dias_Sem_Compensacao!$A$2:$A$500)),"")</f>
        <v>46336</v>
      </c>
      <c r="H3658" s="25">
        <v>0</v>
      </c>
      <c r="I3658" s="28">
        <v>46335</v>
      </c>
      <c r="J3658" t="s">
        <v>2947</v>
      </c>
      <c r="K3658" t="s">
        <v>2948</v>
      </c>
    </row>
    <row r="3659" spans="1:11" hidden="1">
      <c r="A3659" s="28">
        <v>46335</v>
      </c>
      <c r="B3659" t="s">
        <v>186</v>
      </c>
      <c r="C3659" t="s">
        <v>203</v>
      </c>
      <c r="D3659" t="s">
        <v>217</v>
      </c>
      <c r="E3659">
        <f>IF(LEFT(D3659,6)="CLIENT",IFERROR(VLOOKUP(C3659,Config_Carteiras!$A:$B,2,FALSE),1),"")</f>
        <v>1</v>
      </c>
      <c r="F3659" s="25">
        <v>587</v>
      </c>
      <c r="G3659" s="28">
        <f>IF(LEFT(D3659,6)="CLIENT",IF(E3659=0,WORKDAY(A3659-1,1,Dias_Sem_Compensacao!$A$2:$A$500),WORKDAY(A3659,E3659,Dias_Sem_Compensacao!$A$2:$A$500)),"")</f>
        <v>46336</v>
      </c>
      <c r="H3659" s="25">
        <v>0</v>
      </c>
      <c r="I3659" s="28">
        <v>46335</v>
      </c>
      <c r="J3659" t="s">
        <v>3344</v>
      </c>
      <c r="K3659" t="s">
        <v>3345</v>
      </c>
    </row>
    <row r="3660" spans="1:11" hidden="1">
      <c r="A3660" s="28">
        <v>46335</v>
      </c>
      <c r="B3660" t="s">
        <v>186</v>
      </c>
      <c r="C3660" t="s">
        <v>203</v>
      </c>
      <c r="D3660" t="s">
        <v>217</v>
      </c>
      <c r="E3660">
        <f>IF(LEFT(D3660,6)="CLIENT",IFERROR(VLOOKUP(C3660,Config_Carteiras!$A:$B,2,FALSE),1),"")</f>
        <v>1</v>
      </c>
      <c r="F3660" s="25">
        <v>2201.58</v>
      </c>
      <c r="G3660" s="28">
        <f>IF(LEFT(D3660,6)="CLIENT",IF(E3660=0,WORKDAY(A3660-1,1,Dias_Sem_Compensacao!$A$2:$A$500),WORKDAY(A3660,E3660,Dias_Sem_Compensacao!$A$2:$A$500)),"")</f>
        <v>46336</v>
      </c>
      <c r="H3660" s="25">
        <v>0</v>
      </c>
      <c r="I3660" s="28">
        <v>46335</v>
      </c>
      <c r="J3660" t="s">
        <v>3346</v>
      </c>
      <c r="K3660" t="s">
        <v>3347</v>
      </c>
    </row>
    <row r="3661" spans="1:11" hidden="1">
      <c r="A3661" s="28">
        <v>46335</v>
      </c>
      <c r="B3661" t="s">
        <v>186</v>
      </c>
      <c r="C3661" t="s">
        <v>203</v>
      </c>
      <c r="D3661" t="s">
        <v>217</v>
      </c>
      <c r="E3661">
        <f>IF(LEFT(D3661,6)="CLIENT",IFERROR(VLOOKUP(C3661,Config_Carteiras!$A:$B,2,FALSE),1),"")</f>
        <v>1</v>
      </c>
      <c r="F3661" s="25">
        <v>1280</v>
      </c>
      <c r="G3661" s="28">
        <f>IF(LEFT(D3661,6)="CLIENT",IF(E3661=0,WORKDAY(A3661-1,1,Dias_Sem_Compensacao!$A$2:$A$500),WORKDAY(A3661,E3661,Dias_Sem_Compensacao!$A$2:$A$500)),"")</f>
        <v>46336</v>
      </c>
      <c r="H3661" s="25">
        <v>0</v>
      </c>
      <c r="I3661" s="28">
        <v>46335</v>
      </c>
      <c r="J3661" t="s">
        <v>554</v>
      </c>
      <c r="K3661" t="s">
        <v>2464</v>
      </c>
    </row>
    <row r="3662" spans="1:11" hidden="1">
      <c r="A3662" s="28">
        <v>46335</v>
      </c>
      <c r="B3662" t="s">
        <v>186</v>
      </c>
      <c r="C3662" t="s">
        <v>203</v>
      </c>
      <c r="D3662" t="s">
        <v>217</v>
      </c>
      <c r="E3662">
        <f>IF(LEFT(D3662,6)="CLIENT",IFERROR(VLOOKUP(C3662,Config_Carteiras!$A:$B,2,FALSE),1),"")</f>
        <v>1</v>
      </c>
      <c r="F3662" s="25">
        <v>2814.39</v>
      </c>
      <c r="G3662" s="28">
        <f>IF(LEFT(D3662,6)="CLIENT",IF(E3662=0,WORKDAY(A3662-1,1,Dias_Sem_Compensacao!$A$2:$A$500),WORKDAY(A3662,E3662,Dias_Sem_Compensacao!$A$2:$A$500)),"")</f>
        <v>46336</v>
      </c>
      <c r="H3662" s="25">
        <v>0</v>
      </c>
      <c r="I3662" s="28">
        <v>46335</v>
      </c>
      <c r="J3662" t="s">
        <v>3354</v>
      </c>
      <c r="K3662" t="s">
        <v>3355</v>
      </c>
    </row>
    <row r="3663" spans="1:11" hidden="1">
      <c r="A3663" s="28">
        <v>46335</v>
      </c>
      <c r="B3663" t="s">
        <v>186</v>
      </c>
      <c r="C3663" t="s">
        <v>203</v>
      </c>
      <c r="D3663" t="s">
        <v>217</v>
      </c>
      <c r="E3663">
        <f>IF(LEFT(D3663,6)="CLIENT",IFERROR(VLOOKUP(C3663,Config_Carteiras!$A:$B,2,FALSE),1),"")</f>
        <v>1</v>
      </c>
      <c r="F3663" s="25">
        <v>1381</v>
      </c>
      <c r="G3663" s="28">
        <f>IF(LEFT(D3663,6)="CLIENT",IF(E3663=0,WORKDAY(A3663-1,1,Dias_Sem_Compensacao!$A$2:$A$500),WORKDAY(A3663,E3663,Dias_Sem_Compensacao!$A$2:$A$500)),"")</f>
        <v>46336</v>
      </c>
      <c r="H3663" s="25">
        <v>0</v>
      </c>
      <c r="I3663" s="28">
        <v>46335</v>
      </c>
      <c r="J3663" t="s">
        <v>1572</v>
      </c>
      <c r="K3663" t="s">
        <v>3447</v>
      </c>
    </row>
    <row r="3664" spans="1:11" hidden="1">
      <c r="A3664" s="28">
        <v>46335</v>
      </c>
      <c r="B3664" t="s">
        <v>186</v>
      </c>
      <c r="C3664" t="s">
        <v>203</v>
      </c>
      <c r="D3664" t="s">
        <v>217</v>
      </c>
      <c r="E3664">
        <f>IF(LEFT(D3664,6)="CLIENT",IFERROR(VLOOKUP(C3664,Config_Carteiras!$A:$B,2,FALSE),1),"")</f>
        <v>1</v>
      </c>
      <c r="F3664" s="25">
        <v>60825</v>
      </c>
      <c r="G3664" s="28">
        <f>IF(LEFT(D3664,6)="CLIENT",IF(E3664=0,WORKDAY(A3664-1,1,Dias_Sem_Compensacao!$A$2:$A$500),WORKDAY(A3664,E3664,Dias_Sem_Compensacao!$A$2:$A$500)),"")</f>
        <v>46336</v>
      </c>
      <c r="H3664" s="25">
        <v>0</v>
      </c>
      <c r="I3664" s="28">
        <v>46335</v>
      </c>
      <c r="J3664" t="s">
        <v>3458</v>
      </c>
      <c r="K3664" t="s">
        <v>3459</v>
      </c>
    </row>
    <row r="3665" spans="1:11" hidden="1">
      <c r="A3665" s="28">
        <v>46335</v>
      </c>
      <c r="B3665" t="s">
        <v>186</v>
      </c>
      <c r="C3665" t="s">
        <v>203</v>
      </c>
      <c r="D3665" t="s">
        <v>217</v>
      </c>
      <c r="E3665">
        <f>IF(LEFT(D3665,6)="CLIENT",IFERROR(VLOOKUP(C3665,Config_Carteiras!$A:$B,2,FALSE),1),"")</f>
        <v>1</v>
      </c>
      <c r="F3665" s="25">
        <v>575.44000000000005</v>
      </c>
      <c r="G3665" s="28">
        <f>IF(LEFT(D3665,6)="CLIENT",IF(E3665=0,WORKDAY(A3665-1,1,Dias_Sem_Compensacao!$A$2:$A$500),WORKDAY(A3665,E3665,Dias_Sem_Compensacao!$A$2:$A$500)),"")</f>
        <v>46336</v>
      </c>
      <c r="H3665" s="25">
        <v>0</v>
      </c>
      <c r="I3665" s="28">
        <v>46335</v>
      </c>
      <c r="J3665" t="s">
        <v>2962</v>
      </c>
      <c r="K3665" t="s">
        <v>2963</v>
      </c>
    </row>
    <row r="3666" spans="1:11" hidden="1">
      <c r="A3666" s="28">
        <v>46335</v>
      </c>
      <c r="B3666" t="s">
        <v>186</v>
      </c>
      <c r="C3666" t="s">
        <v>203</v>
      </c>
      <c r="D3666" t="s">
        <v>217</v>
      </c>
      <c r="E3666">
        <f>IF(LEFT(D3666,6)="CLIENT",IFERROR(VLOOKUP(C3666,Config_Carteiras!$A:$B,2,FALSE),1),"")</f>
        <v>1</v>
      </c>
      <c r="F3666" s="25">
        <v>666</v>
      </c>
      <c r="G3666" s="28">
        <f>IF(LEFT(D3666,6)="CLIENT",IF(E3666=0,WORKDAY(A3666-1,1,Dias_Sem_Compensacao!$A$2:$A$500),WORKDAY(A3666,E3666,Dias_Sem_Compensacao!$A$2:$A$500)),"")</f>
        <v>46336</v>
      </c>
      <c r="H3666" s="25">
        <v>0</v>
      </c>
      <c r="I3666" s="28">
        <v>46335</v>
      </c>
      <c r="J3666" t="s">
        <v>1592</v>
      </c>
      <c r="K3666" t="s">
        <v>3366</v>
      </c>
    </row>
    <row r="3667" spans="1:11" hidden="1">
      <c r="A3667" s="28">
        <v>46335</v>
      </c>
      <c r="B3667" t="s">
        <v>186</v>
      </c>
      <c r="C3667" t="s">
        <v>203</v>
      </c>
      <c r="D3667" t="s">
        <v>217</v>
      </c>
      <c r="E3667">
        <f>IF(LEFT(D3667,6)="CLIENT",IFERROR(VLOOKUP(C3667,Config_Carteiras!$A:$B,2,FALSE),1),"")</f>
        <v>1</v>
      </c>
      <c r="F3667" s="25">
        <v>1709</v>
      </c>
      <c r="G3667" s="28">
        <f>IF(LEFT(D3667,6)="CLIENT",IF(E3667=0,WORKDAY(A3667-1,1,Dias_Sem_Compensacao!$A$2:$A$500),WORKDAY(A3667,E3667,Dias_Sem_Compensacao!$A$2:$A$500)),"")</f>
        <v>46336</v>
      </c>
      <c r="H3667" s="25">
        <v>0</v>
      </c>
      <c r="I3667" s="28">
        <v>46335</v>
      </c>
      <c r="J3667" t="s">
        <v>1401</v>
      </c>
      <c r="K3667" t="s">
        <v>2973</v>
      </c>
    </row>
    <row r="3668" spans="1:11" hidden="1">
      <c r="A3668" s="28">
        <v>46335</v>
      </c>
      <c r="B3668" t="s">
        <v>186</v>
      </c>
      <c r="C3668" t="s">
        <v>203</v>
      </c>
      <c r="D3668" t="s">
        <v>217</v>
      </c>
      <c r="E3668">
        <f>IF(LEFT(D3668,6)="CLIENT",IFERROR(VLOOKUP(C3668,Config_Carteiras!$A:$B,2,FALSE),1),"")</f>
        <v>1</v>
      </c>
      <c r="F3668" s="25">
        <v>848.71</v>
      </c>
      <c r="G3668" s="28">
        <f>IF(LEFT(D3668,6)="CLIENT",IF(E3668=0,WORKDAY(A3668-1,1,Dias_Sem_Compensacao!$A$2:$A$500),WORKDAY(A3668,E3668,Dias_Sem_Compensacao!$A$2:$A$500)),"")</f>
        <v>46336</v>
      </c>
      <c r="H3668" s="25">
        <v>0</v>
      </c>
      <c r="I3668" s="28">
        <v>46335</v>
      </c>
      <c r="J3668" t="s">
        <v>3450</v>
      </c>
      <c r="K3668" t="s">
        <v>3451</v>
      </c>
    </row>
    <row r="3669" spans="1:11" hidden="1">
      <c r="A3669" s="28">
        <v>46335</v>
      </c>
      <c r="B3669" t="s">
        <v>186</v>
      </c>
      <c r="C3669" t="s">
        <v>203</v>
      </c>
      <c r="D3669" t="s">
        <v>217</v>
      </c>
      <c r="E3669">
        <f>IF(LEFT(D3669,6)="CLIENT",IFERROR(VLOOKUP(C3669,Config_Carteiras!$A:$B,2,FALSE),1),"")</f>
        <v>1</v>
      </c>
      <c r="F3669" s="25">
        <v>800</v>
      </c>
      <c r="G3669" s="28">
        <f>IF(LEFT(D3669,6)="CLIENT",IF(E3669=0,WORKDAY(A3669-1,1,Dias_Sem_Compensacao!$A$2:$A$500),WORKDAY(A3669,E3669,Dias_Sem_Compensacao!$A$2:$A$500)),"")</f>
        <v>46336</v>
      </c>
      <c r="H3669" s="25">
        <v>0</v>
      </c>
      <c r="I3669" s="28">
        <v>46335</v>
      </c>
      <c r="J3669" t="s">
        <v>1918</v>
      </c>
      <c r="K3669" t="s">
        <v>3460</v>
      </c>
    </row>
    <row r="3670" spans="1:11" hidden="1">
      <c r="A3670" s="28">
        <v>46335</v>
      </c>
      <c r="B3670" t="s">
        <v>186</v>
      </c>
      <c r="C3670" t="s">
        <v>203</v>
      </c>
      <c r="D3670" t="s">
        <v>217</v>
      </c>
      <c r="E3670">
        <f>IF(LEFT(D3670,6)="CLIENT",IFERROR(VLOOKUP(C3670,Config_Carteiras!$A:$B,2,FALSE),1),"")</f>
        <v>1</v>
      </c>
      <c r="F3670" s="25">
        <v>537.73</v>
      </c>
      <c r="G3670" s="28">
        <f>IF(LEFT(D3670,6)="CLIENT",IF(E3670=0,WORKDAY(A3670-1,1,Dias_Sem_Compensacao!$A$2:$A$500),WORKDAY(A3670,E3670,Dias_Sem_Compensacao!$A$2:$A$500)),"")</f>
        <v>46336</v>
      </c>
      <c r="H3670" s="25">
        <v>0</v>
      </c>
      <c r="I3670" s="28">
        <v>46335</v>
      </c>
      <c r="J3670" t="s">
        <v>2987</v>
      </c>
      <c r="K3670" t="s">
        <v>2988</v>
      </c>
    </row>
    <row r="3671" spans="1:11" hidden="1">
      <c r="A3671" s="28">
        <v>46335</v>
      </c>
      <c r="B3671" t="s">
        <v>186</v>
      </c>
      <c r="C3671" t="s">
        <v>203</v>
      </c>
      <c r="D3671" t="s">
        <v>217</v>
      </c>
      <c r="E3671">
        <f>IF(LEFT(D3671,6)="CLIENT",IFERROR(VLOOKUP(C3671,Config_Carteiras!$A:$B,2,FALSE),1),"")</f>
        <v>1</v>
      </c>
      <c r="F3671" s="25">
        <v>307.45</v>
      </c>
      <c r="G3671" s="28">
        <f>IF(LEFT(D3671,6)="CLIENT",IF(E3671=0,WORKDAY(A3671-1,1,Dias_Sem_Compensacao!$A$2:$A$500),WORKDAY(A3671,E3671,Dias_Sem_Compensacao!$A$2:$A$500)),"")</f>
        <v>46336</v>
      </c>
      <c r="H3671" s="25">
        <v>0</v>
      </c>
      <c r="I3671" s="28">
        <v>46335</v>
      </c>
      <c r="J3671" t="s">
        <v>2991</v>
      </c>
      <c r="K3671" t="s">
        <v>2992</v>
      </c>
    </row>
    <row r="3672" spans="1:11" hidden="1">
      <c r="A3672" s="28">
        <v>46335</v>
      </c>
      <c r="B3672" t="s">
        <v>186</v>
      </c>
      <c r="C3672" t="s">
        <v>203</v>
      </c>
      <c r="D3672" t="s">
        <v>217</v>
      </c>
      <c r="E3672">
        <f>IF(LEFT(D3672,6)="CLIENT",IFERROR(VLOOKUP(C3672,Config_Carteiras!$A:$B,2,FALSE),1),"")</f>
        <v>1</v>
      </c>
      <c r="F3672" s="25">
        <v>602.34</v>
      </c>
      <c r="G3672" s="28">
        <f>IF(LEFT(D3672,6)="CLIENT",IF(E3672=0,WORKDAY(A3672-1,1,Dias_Sem_Compensacao!$A$2:$A$500),WORKDAY(A3672,E3672,Dias_Sem_Compensacao!$A$2:$A$500)),"")</f>
        <v>46336</v>
      </c>
      <c r="H3672" s="25">
        <v>0</v>
      </c>
      <c r="I3672" s="28">
        <v>46335</v>
      </c>
      <c r="J3672" t="s">
        <v>1635</v>
      </c>
      <c r="K3672" t="s">
        <v>3375</v>
      </c>
    </row>
    <row r="3673" spans="1:11" hidden="1">
      <c r="A3673" s="28">
        <v>46335</v>
      </c>
      <c r="B3673" t="s">
        <v>186</v>
      </c>
      <c r="C3673" t="s">
        <v>203</v>
      </c>
      <c r="D3673" t="s">
        <v>217</v>
      </c>
      <c r="E3673">
        <f>IF(LEFT(D3673,6)="CLIENT",IFERROR(VLOOKUP(C3673,Config_Carteiras!$A:$B,2,FALSE),1),"")</f>
        <v>1</v>
      </c>
      <c r="F3673" s="25">
        <v>592</v>
      </c>
      <c r="G3673" s="28">
        <f>IF(LEFT(D3673,6)="CLIENT",IF(E3673=0,WORKDAY(A3673-1,1,Dias_Sem_Compensacao!$A$2:$A$500),WORKDAY(A3673,E3673,Dias_Sem_Compensacao!$A$2:$A$500)),"")</f>
        <v>46336</v>
      </c>
      <c r="H3673" s="25">
        <v>0</v>
      </c>
      <c r="I3673" s="28">
        <v>46335</v>
      </c>
      <c r="J3673" t="s">
        <v>3379</v>
      </c>
      <c r="K3673" t="s">
        <v>3380</v>
      </c>
    </row>
    <row r="3674" spans="1:11" hidden="1">
      <c r="A3674" s="28">
        <v>46335</v>
      </c>
      <c r="B3674" t="s">
        <v>186</v>
      </c>
      <c r="C3674" t="s">
        <v>203</v>
      </c>
      <c r="D3674" t="s">
        <v>217</v>
      </c>
      <c r="E3674">
        <f>IF(LEFT(D3674,6)="CLIENT",IFERROR(VLOOKUP(C3674,Config_Carteiras!$A:$B,2,FALSE),1),"")</f>
        <v>1</v>
      </c>
      <c r="F3674" s="25">
        <v>1035</v>
      </c>
      <c r="G3674" s="28">
        <f>IF(LEFT(D3674,6)="CLIENT",IF(E3674=0,WORKDAY(A3674-1,1,Dias_Sem_Compensacao!$A$2:$A$500),WORKDAY(A3674,E3674,Dias_Sem_Compensacao!$A$2:$A$500)),"")</f>
        <v>46336</v>
      </c>
      <c r="H3674" s="25">
        <v>0</v>
      </c>
      <c r="I3674" s="28">
        <v>46335</v>
      </c>
      <c r="J3674" t="s">
        <v>3383</v>
      </c>
      <c r="K3674" t="s">
        <v>3384</v>
      </c>
    </row>
    <row r="3675" spans="1:11" hidden="1">
      <c r="A3675" s="28">
        <v>46336</v>
      </c>
      <c r="B3675" t="s">
        <v>186</v>
      </c>
      <c r="C3675" t="s">
        <v>203</v>
      </c>
      <c r="D3675" t="s">
        <v>217</v>
      </c>
      <c r="E3675">
        <f>IF(LEFT(D3675,6)="CLIENT",IFERROR(VLOOKUP(C3675,Config_Carteiras!$A:$B,2,FALSE),1),"")</f>
        <v>1</v>
      </c>
      <c r="F3675" s="25">
        <v>5834.88</v>
      </c>
      <c r="G3675" s="28">
        <f>IF(LEFT(D3675,6)="CLIENT",IF(E3675=0,WORKDAY(A3675-1,1,Dias_Sem_Compensacao!$A$2:$A$500),WORKDAY(A3675,E3675,Dias_Sem_Compensacao!$A$2:$A$500)),"")</f>
        <v>46337</v>
      </c>
      <c r="H3675" s="25">
        <v>0</v>
      </c>
      <c r="I3675" s="28">
        <v>46336</v>
      </c>
      <c r="J3675" t="s">
        <v>1058</v>
      </c>
      <c r="K3675" t="s">
        <v>3385</v>
      </c>
    </row>
    <row r="3676" spans="1:11" hidden="1">
      <c r="A3676" s="28">
        <v>46336</v>
      </c>
      <c r="B3676" t="s">
        <v>186</v>
      </c>
      <c r="C3676" t="s">
        <v>203</v>
      </c>
      <c r="D3676" t="s">
        <v>217</v>
      </c>
      <c r="E3676">
        <f>IF(LEFT(D3676,6)="CLIENT",IFERROR(VLOOKUP(C3676,Config_Carteiras!$A:$B,2,FALSE),1),"")</f>
        <v>1</v>
      </c>
      <c r="F3676" s="25">
        <v>2238</v>
      </c>
      <c r="G3676" s="28">
        <f>IF(LEFT(D3676,6)="CLIENT",IF(E3676=0,WORKDAY(A3676-1,1,Dias_Sem_Compensacao!$A$2:$A$500),WORKDAY(A3676,E3676,Dias_Sem_Compensacao!$A$2:$A$500)),"")</f>
        <v>46337</v>
      </c>
      <c r="H3676" s="25">
        <v>0</v>
      </c>
      <c r="I3676" s="28">
        <v>46336</v>
      </c>
      <c r="J3676" t="s">
        <v>3004</v>
      </c>
      <c r="K3676" t="s">
        <v>3005</v>
      </c>
    </row>
    <row r="3677" spans="1:11" hidden="1">
      <c r="A3677" s="28">
        <v>46336</v>
      </c>
      <c r="B3677" t="s">
        <v>186</v>
      </c>
      <c r="C3677" t="s">
        <v>203</v>
      </c>
      <c r="D3677" t="s">
        <v>217</v>
      </c>
      <c r="E3677">
        <f>IF(LEFT(D3677,6)="CLIENT",IFERROR(VLOOKUP(C3677,Config_Carteiras!$A:$B,2,FALSE),1),"")</f>
        <v>1</v>
      </c>
      <c r="F3677" s="25">
        <v>1275.9000000000001</v>
      </c>
      <c r="G3677" s="28">
        <f>IF(LEFT(D3677,6)="CLIENT",IF(E3677=0,WORKDAY(A3677-1,1,Dias_Sem_Compensacao!$A$2:$A$500),WORKDAY(A3677,E3677,Dias_Sem_Compensacao!$A$2:$A$500)),"")</f>
        <v>46337</v>
      </c>
      <c r="H3677" s="25">
        <v>0</v>
      </c>
      <c r="I3677" s="28">
        <v>46336</v>
      </c>
      <c r="J3677" t="s">
        <v>3386</v>
      </c>
      <c r="K3677" t="s">
        <v>3387</v>
      </c>
    </row>
    <row r="3678" spans="1:11" hidden="1">
      <c r="A3678" s="28">
        <v>46336</v>
      </c>
      <c r="B3678" t="s">
        <v>186</v>
      </c>
      <c r="C3678" t="s">
        <v>203</v>
      </c>
      <c r="D3678" t="s">
        <v>217</v>
      </c>
      <c r="E3678">
        <f>IF(LEFT(D3678,6)="CLIENT",IFERROR(VLOOKUP(C3678,Config_Carteiras!$A:$B,2,FALSE),1),"")</f>
        <v>1</v>
      </c>
      <c r="F3678" s="25">
        <v>1278.72</v>
      </c>
      <c r="G3678" s="28">
        <f>IF(LEFT(D3678,6)="CLIENT",IF(E3678=0,WORKDAY(A3678-1,1,Dias_Sem_Compensacao!$A$2:$A$500),WORKDAY(A3678,E3678,Dias_Sem_Compensacao!$A$2:$A$500)),"")</f>
        <v>46337</v>
      </c>
      <c r="H3678" s="25">
        <v>0</v>
      </c>
      <c r="I3678" s="28">
        <v>46336</v>
      </c>
      <c r="J3678" t="s">
        <v>2697</v>
      </c>
      <c r="K3678" t="s">
        <v>3390</v>
      </c>
    </row>
    <row r="3679" spans="1:11" hidden="1">
      <c r="A3679" s="28">
        <v>46336</v>
      </c>
      <c r="B3679" t="s">
        <v>186</v>
      </c>
      <c r="C3679" t="s">
        <v>203</v>
      </c>
      <c r="D3679" t="s">
        <v>217</v>
      </c>
      <c r="E3679">
        <f>IF(LEFT(D3679,6)="CLIENT",IFERROR(VLOOKUP(C3679,Config_Carteiras!$A:$B,2,FALSE),1),"")</f>
        <v>1</v>
      </c>
      <c r="F3679" s="25">
        <v>1446</v>
      </c>
      <c r="G3679" s="28">
        <f>IF(LEFT(D3679,6)="CLIENT",IF(E3679=0,WORKDAY(A3679-1,1,Dias_Sem_Compensacao!$A$2:$A$500),WORKDAY(A3679,E3679,Dias_Sem_Compensacao!$A$2:$A$500)),"")</f>
        <v>46337</v>
      </c>
      <c r="H3679" s="25">
        <v>0</v>
      </c>
      <c r="I3679" s="28">
        <v>46336</v>
      </c>
      <c r="J3679" t="s">
        <v>3020</v>
      </c>
      <c r="K3679" t="s">
        <v>3021</v>
      </c>
    </row>
    <row r="3680" spans="1:11" hidden="1">
      <c r="A3680" s="28">
        <v>46336</v>
      </c>
      <c r="B3680" t="s">
        <v>186</v>
      </c>
      <c r="C3680" t="s">
        <v>203</v>
      </c>
      <c r="D3680" t="s">
        <v>217</v>
      </c>
      <c r="E3680">
        <f>IF(LEFT(D3680,6)="CLIENT",IFERROR(VLOOKUP(C3680,Config_Carteiras!$A:$B,2,FALSE),1),"")</f>
        <v>1</v>
      </c>
      <c r="F3680" s="25">
        <v>843.91</v>
      </c>
      <c r="G3680" s="28">
        <f>IF(LEFT(D3680,6)="CLIENT",IF(E3680=0,WORKDAY(A3680-1,1,Dias_Sem_Compensacao!$A$2:$A$500),WORKDAY(A3680,E3680,Dias_Sem_Compensacao!$A$2:$A$500)),"")</f>
        <v>46337</v>
      </c>
      <c r="H3680" s="25">
        <v>0</v>
      </c>
      <c r="I3680" s="28">
        <v>46336</v>
      </c>
      <c r="J3680" t="s">
        <v>3391</v>
      </c>
      <c r="K3680" t="s">
        <v>3392</v>
      </c>
    </row>
    <row r="3681" spans="1:11" hidden="1">
      <c r="A3681" s="28">
        <v>46336</v>
      </c>
      <c r="B3681" t="s">
        <v>186</v>
      </c>
      <c r="C3681" t="s">
        <v>203</v>
      </c>
      <c r="D3681" t="s">
        <v>217</v>
      </c>
      <c r="E3681">
        <f>IF(LEFT(D3681,6)="CLIENT",IFERROR(VLOOKUP(C3681,Config_Carteiras!$A:$B,2,FALSE),1),"")</f>
        <v>1</v>
      </c>
      <c r="F3681" s="25">
        <v>680.3</v>
      </c>
      <c r="G3681" s="28">
        <f>IF(LEFT(D3681,6)="CLIENT",IF(E3681=0,WORKDAY(A3681-1,1,Dias_Sem_Compensacao!$A$2:$A$500),WORKDAY(A3681,E3681,Dias_Sem_Compensacao!$A$2:$A$500)),"")</f>
        <v>46337</v>
      </c>
      <c r="H3681" s="25">
        <v>0</v>
      </c>
      <c r="I3681" s="28">
        <v>46336</v>
      </c>
      <c r="J3681" t="s">
        <v>2437</v>
      </c>
      <c r="K3681" t="s">
        <v>2438</v>
      </c>
    </row>
    <row r="3682" spans="1:11" hidden="1">
      <c r="A3682" s="28">
        <v>46336</v>
      </c>
      <c r="B3682" t="s">
        <v>186</v>
      </c>
      <c r="C3682" t="s">
        <v>203</v>
      </c>
      <c r="D3682" t="s">
        <v>217</v>
      </c>
      <c r="E3682">
        <f>IF(LEFT(D3682,6)="CLIENT",IFERROR(VLOOKUP(C3682,Config_Carteiras!$A:$B,2,FALSE),1),"")</f>
        <v>1</v>
      </c>
      <c r="F3682" s="25">
        <v>16850</v>
      </c>
      <c r="G3682" s="28">
        <f>IF(LEFT(D3682,6)="CLIENT",IF(E3682=0,WORKDAY(A3682-1,1,Dias_Sem_Compensacao!$A$2:$A$500),WORKDAY(A3682,E3682,Dias_Sem_Compensacao!$A$2:$A$500)),"")</f>
        <v>46337</v>
      </c>
      <c r="H3682" s="25">
        <v>0</v>
      </c>
      <c r="I3682" s="28">
        <v>46336</v>
      </c>
      <c r="J3682" t="s">
        <v>1201</v>
      </c>
      <c r="K3682" t="s">
        <v>3033</v>
      </c>
    </row>
    <row r="3683" spans="1:11" hidden="1">
      <c r="A3683" s="28">
        <v>46336</v>
      </c>
      <c r="B3683" t="s">
        <v>186</v>
      </c>
      <c r="C3683" t="s">
        <v>203</v>
      </c>
      <c r="D3683" t="s">
        <v>217</v>
      </c>
      <c r="E3683">
        <f>IF(LEFT(D3683,6)="CLIENT",IFERROR(VLOOKUP(C3683,Config_Carteiras!$A:$B,2,FALSE),1),"")</f>
        <v>1</v>
      </c>
      <c r="F3683" s="25">
        <v>557.49</v>
      </c>
      <c r="G3683" s="28">
        <f>IF(LEFT(D3683,6)="CLIENT",IF(E3683=0,WORKDAY(A3683-1,1,Dias_Sem_Compensacao!$A$2:$A$500),WORKDAY(A3683,E3683,Dias_Sem_Compensacao!$A$2:$A$500)),"")</f>
        <v>46337</v>
      </c>
      <c r="H3683" s="25">
        <v>0</v>
      </c>
      <c r="I3683" s="28">
        <v>46336</v>
      </c>
      <c r="J3683" t="s">
        <v>1255</v>
      </c>
      <c r="K3683" t="s">
        <v>2498</v>
      </c>
    </row>
    <row r="3684" spans="1:11" hidden="1">
      <c r="A3684" s="28">
        <v>46336</v>
      </c>
      <c r="B3684" t="s">
        <v>186</v>
      </c>
      <c r="C3684" t="s">
        <v>203</v>
      </c>
      <c r="D3684" t="s">
        <v>217</v>
      </c>
      <c r="E3684">
        <f>IF(LEFT(D3684,6)="CLIENT",IFERROR(VLOOKUP(C3684,Config_Carteiras!$A:$B,2,FALSE),1),"")</f>
        <v>1</v>
      </c>
      <c r="F3684" s="25">
        <v>1067.04</v>
      </c>
      <c r="G3684" s="28">
        <f>IF(LEFT(D3684,6)="CLIENT",IF(E3684=0,WORKDAY(A3684-1,1,Dias_Sem_Compensacao!$A$2:$A$500),WORKDAY(A3684,E3684,Dias_Sem_Compensacao!$A$2:$A$500)),"")</f>
        <v>46337</v>
      </c>
      <c r="H3684" s="25">
        <v>0</v>
      </c>
      <c r="I3684" s="28">
        <v>46336</v>
      </c>
      <c r="J3684" t="s">
        <v>3396</v>
      </c>
      <c r="K3684" t="s">
        <v>3397</v>
      </c>
    </row>
    <row r="3685" spans="1:11" hidden="1">
      <c r="A3685" s="28">
        <v>46336</v>
      </c>
      <c r="B3685" t="s">
        <v>186</v>
      </c>
      <c r="C3685" t="s">
        <v>203</v>
      </c>
      <c r="D3685" t="s">
        <v>217</v>
      </c>
      <c r="E3685">
        <f>IF(LEFT(D3685,6)="CLIENT",IFERROR(VLOOKUP(C3685,Config_Carteiras!$A:$B,2,FALSE),1),"")</f>
        <v>1</v>
      </c>
      <c r="F3685" s="25">
        <v>1199.3</v>
      </c>
      <c r="G3685" s="28">
        <f>IF(LEFT(D3685,6)="CLIENT",IF(E3685=0,WORKDAY(A3685-1,1,Dias_Sem_Compensacao!$A$2:$A$500),WORKDAY(A3685,E3685,Dias_Sem_Compensacao!$A$2:$A$500)),"")</f>
        <v>46337</v>
      </c>
      <c r="H3685" s="25">
        <v>0</v>
      </c>
      <c r="I3685" s="28">
        <v>46336</v>
      </c>
      <c r="J3685" t="s">
        <v>3398</v>
      </c>
      <c r="K3685" t="s">
        <v>3399</v>
      </c>
    </row>
    <row r="3686" spans="1:11" hidden="1">
      <c r="A3686" s="28">
        <v>46336</v>
      </c>
      <c r="B3686" t="s">
        <v>186</v>
      </c>
      <c r="C3686" t="s">
        <v>203</v>
      </c>
      <c r="D3686" t="s">
        <v>217</v>
      </c>
      <c r="E3686">
        <f>IF(LEFT(D3686,6)="CLIENT",IFERROR(VLOOKUP(C3686,Config_Carteiras!$A:$B,2,FALSE),1),"")</f>
        <v>1</v>
      </c>
      <c r="F3686" s="25">
        <v>6657.59</v>
      </c>
      <c r="G3686" s="28">
        <f>IF(LEFT(D3686,6)="CLIENT",IF(E3686=0,WORKDAY(A3686-1,1,Dias_Sem_Compensacao!$A$2:$A$500),WORKDAY(A3686,E3686,Dias_Sem_Compensacao!$A$2:$A$500)),"")</f>
        <v>46337</v>
      </c>
      <c r="H3686" s="25">
        <v>0</v>
      </c>
      <c r="I3686" s="28">
        <v>46336</v>
      </c>
      <c r="J3686" t="s">
        <v>1279</v>
      </c>
      <c r="K3686" t="s">
        <v>3400</v>
      </c>
    </row>
    <row r="3687" spans="1:11" hidden="1">
      <c r="A3687" s="28">
        <v>46336</v>
      </c>
      <c r="B3687" t="s">
        <v>186</v>
      </c>
      <c r="C3687" t="s">
        <v>203</v>
      </c>
      <c r="D3687" t="s">
        <v>217</v>
      </c>
      <c r="E3687">
        <f>IF(LEFT(D3687,6)="CLIENT",IFERROR(VLOOKUP(C3687,Config_Carteiras!$A:$B,2,FALSE),1),"")</f>
        <v>1</v>
      </c>
      <c r="F3687" s="25">
        <v>521.07000000000005</v>
      </c>
      <c r="G3687" s="28">
        <f>IF(LEFT(D3687,6)="CLIENT",IF(E3687=0,WORKDAY(A3687-1,1,Dias_Sem_Compensacao!$A$2:$A$500),WORKDAY(A3687,E3687,Dias_Sem_Compensacao!$A$2:$A$500)),"")</f>
        <v>46337</v>
      </c>
      <c r="H3687" s="25">
        <v>0</v>
      </c>
      <c r="I3687" s="28">
        <v>46336</v>
      </c>
      <c r="J3687" t="s">
        <v>1929</v>
      </c>
      <c r="K3687" t="s">
        <v>2551</v>
      </c>
    </row>
    <row r="3688" spans="1:11" hidden="1">
      <c r="A3688" s="28">
        <v>46337</v>
      </c>
      <c r="B3688" t="s">
        <v>186</v>
      </c>
      <c r="C3688" t="s">
        <v>203</v>
      </c>
      <c r="D3688" t="s">
        <v>217</v>
      </c>
      <c r="E3688">
        <f>IF(LEFT(D3688,6)="CLIENT",IFERROR(VLOOKUP(C3688,Config_Carteiras!$A:$B,2,FALSE),1),"")</f>
        <v>1</v>
      </c>
      <c r="F3688" s="25">
        <v>642.20000000000005</v>
      </c>
      <c r="G3688" s="28">
        <f>IF(LEFT(D3688,6)="CLIENT",IF(E3688=0,WORKDAY(A3688-1,1,Dias_Sem_Compensacao!$A$2:$A$500),WORKDAY(A3688,E3688,Dias_Sem_Compensacao!$A$2:$A$500)),"")</f>
        <v>46338</v>
      </c>
      <c r="H3688" s="25">
        <v>0</v>
      </c>
      <c r="I3688" s="28">
        <v>46337</v>
      </c>
      <c r="J3688" t="s">
        <v>2552</v>
      </c>
      <c r="K3688" t="s">
        <v>2553</v>
      </c>
    </row>
    <row r="3689" spans="1:11" hidden="1">
      <c r="A3689" s="28">
        <v>46337</v>
      </c>
      <c r="B3689" t="s">
        <v>186</v>
      </c>
      <c r="C3689" t="s">
        <v>203</v>
      </c>
      <c r="D3689" t="s">
        <v>217</v>
      </c>
      <c r="E3689">
        <f>IF(LEFT(D3689,6)="CLIENT",IFERROR(VLOOKUP(C3689,Config_Carteiras!$A:$B,2,FALSE),1),"")</f>
        <v>1</v>
      </c>
      <c r="F3689" s="25">
        <v>1768</v>
      </c>
      <c r="G3689" s="28">
        <f>IF(LEFT(D3689,6)="CLIENT",IF(E3689=0,WORKDAY(A3689-1,1,Dias_Sem_Compensacao!$A$2:$A$500),WORKDAY(A3689,E3689,Dias_Sem_Compensacao!$A$2:$A$500)),"")</f>
        <v>46338</v>
      </c>
      <c r="H3689" s="25">
        <v>0</v>
      </c>
      <c r="I3689" s="28">
        <v>46337</v>
      </c>
      <c r="J3689" t="s">
        <v>3074</v>
      </c>
      <c r="K3689" t="s">
        <v>3075</v>
      </c>
    </row>
    <row r="3690" spans="1:11" hidden="1">
      <c r="A3690" s="28">
        <v>46337</v>
      </c>
      <c r="B3690" t="s">
        <v>186</v>
      </c>
      <c r="C3690" t="s">
        <v>203</v>
      </c>
      <c r="D3690" t="s">
        <v>217</v>
      </c>
      <c r="E3690">
        <f>IF(LEFT(D3690,6)="CLIENT",IFERROR(VLOOKUP(C3690,Config_Carteiras!$A:$B,2,FALSE),1),"")</f>
        <v>1</v>
      </c>
      <c r="F3690" s="25">
        <v>646.55999999999995</v>
      </c>
      <c r="G3690" s="28">
        <f>IF(LEFT(D3690,6)="CLIENT",IF(E3690=0,WORKDAY(A3690-1,1,Dias_Sem_Compensacao!$A$2:$A$500),WORKDAY(A3690,E3690,Dias_Sem_Compensacao!$A$2:$A$500)),"")</f>
        <v>46338</v>
      </c>
      <c r="H3690" s="25">
        <v>0</v>
      </c>
      <c r="I3690" s="28">
        <v>46337</v>
      </c>
      <c r="J3690" t="s">
        <v>2577</v>
      </c>
      <c r="K3690" t="s">
        <v>2578</v>
      </c>
    </row>
    <row r="3691" spans="1:11" hidden="1">
      <c r="A3691" s="28">
        <v>46337</v>
      </c>
      <c r="B3691" t="s">
        <v>186</v>
      </c>
      <c r="C3691" t="s">
        <v>203</v>
      </c>
      <c r="D3691" t="s">
        <v>217</v>
      </c>
      <c r="E3691">
        <f>IF(LEFT(D3691,6)="CLIENT",IFERROR(VLOOKUP(C3691,Config_Carteiras!$A:$B,2,FALSE),1),"")</f>
        <v>1</v>
      </c>
      <c r="F3691" s="25">
        <v>2009</v>
      </c>
      <c r="G3691" s="28">
        <f>IF(LEFT(D3691,6)="CLIENT",IF(E3691=0,WORKDAY(A3691-1,1,Dias_Sem_Compensacao!$A$2:$A$500),WORKDAY(A3691,E3691,Dias_Sem_Compensacao!$A$2:$A$500)),"")</f>
        <v>46338</v>
      </c>
      <c r="H3691" s="25">
        <v>0</v>
      </c>
      <c r="I3691" s="28">
        <v>46337</v>
      </c>
      <c r="J3691" t="s">
        <v>1176</v>
      </c>
      <c r="K3691" t="s">
        <v>3406</v>
      </c>
    </row>
    <row r="3692" spans="1:11" hidden="1">
      <c r="A3692" s="28">
        <v>46337</v>
      </c>
      <c r="B3692" t="s">
        <v>186</v>
      </c>
      <c r="C3692" t="s">
        <v>203</v>
      </c>
      <c r="D3692" t="s">
        <v>217</v>
      </c>
      <c r="E3692">
        <f>IF(LEFT(D3692,6)="CLIENT",IFERROR(VLOOKUP(C3692,Config_Carteiras!$A:$B,2,FALSE),1),"")</f>
        <v>1</v>
      </c>
      <c r="F3692" s="25">
        <v>1276.22</v>
      </c>
      <c r="G3692" s="28">
        <f>IF(LEFT(D3692,6)="CLIENT",IF(E3692=0,WORKDAY(A3692-1,1,Dias_Sem_Compensacao!$A$2:$A$500),WORKDAY(A3692,E3692,Dias_Sem_Compensacao!$A$2:$A$500)),"")</f>
        <v>46338</v>
      </c>
      <c r="H3692" s="25">
        <v>0</v>
      </c>
      <c r="I3692" s="28">
        <v>46337</v>
      </c>
      <c r="J3692" t="s">
        <v>3086</v>
      </c>
      <c r="K3692" t="s">
        <v>3087</v>
      </c>
    </row>
    <row r="3693" spans="1:11" hidden="1">
      <c r="A3693" s="28">
        <v>46337</v>
      </c>
      <c r="B3693" t="s">
        <v>186</v>
      </c>
      <c r="C3693" t="s">
        <v>203</v>
      </c>
      <c r="D3693" t="s">
        <v>217</v>
      </c>
      <c r="E3693">
        <f>IF(LEFT(D3693,6)="CLIENT",IFERROR(VLOOKUP(C3693,Config_Carteiras!$A:$B,2,FALSE),1),"")</f>
        <v>1</v>
      </c>
      <c r="F3693" s="25">
        <v>315.26</v>
      </c>
      <c r="G3693" s="28">
        <f>IF(LEFT(D3693,6)="CLIENT",IF(E3693=0,WORKDAY(A3693-1,1,Dias_Sem_Compensacao!$A$2:$A$500),WORKDAY(A3693,E3693,Dias_Sem_Compensacao!$A$2:$A$500)),"")</f>
        <v>46338</v>
      </c>
      <c r="H3693" s="25">
        <v>0</v>
      </c>
      <c r="I3693" s="28">
        <v>46337</v>
      </c>
      <c r="J3693" t="s">
        <v>2071</v>
      </c>
      <c r="K3693" t="s">
        <v>2072</v>
      </c>
    </row>
    <row r="3694" spans="1:11" hidden="1">
      <c r="A3694" s="28">
        <v>46337</v>
      </c>
      <c r="B3694" t="s">
        <v>186</v>
      </c>
      <c r="C3694" t="s">
        <v>203</v>
      </c>
      <c r="D3694" t="s">
        <v>217</v>
      </c>
      <c r="E3694">
        <f>IF(LEFT(D3694,6)="CLIENT",IFERROR(VLOOKUP(C3694,Config_Carteiras!$A:$B,2,FALSE),1),"")</f>
        <v>1</v>
      </c>
      <c r="F3694" s="25">
        <v>1435</v>
      </c>
      <c r="G3694" s="28">
        <f>IF(LEFT(D3694,6)="CLIENT",IF(E3694=0,WORKDAY(A3694-1,1,Dias_Sem_Compensacao!$A$2:$A$500),WORKDAY(A3694,E3694,Dias_Sem_Compensacao!$A$2:$A$500)),"")</f>
        <v>46338</v>
      </c>
      <c r="H3694" s="25">
        <v>0</v>
      </c>
      <c r="I3694" s="28">
        <v>46337</v>
      </c>
      <c r="J3694" t="s">
        <v>3109</v>
      </c>
      <c r="K3694" t="s">
        <v>3110</v>
      </c>
    </row>
    <row r="3695" spans="1:11" hidden="1">
      <c r="A3695" s="28">
        <v>46337</v>
      </c>
      <c r="B3695" t="s">
        <v>186</v>
      </c>
      <c r="C3695" t="s">
        <v>203</v>
      </c>
      <c r="D3695" t="s">
        <v>217</v>
      </c>
      <c r="E3695">
        <f>IF(LEFT(D3695,6)="CLIENT",IFERROR(VLOOKUP(C3695,Config_Carteiras!$A:$B,2,FALSE),1),"")</f>
        <v>1</v>
      </c>
      <c r="F3695" s="25">
        <v>2988</v>
      </c>
      <c r="G3695" s="28">
        <f>IF(LEFT(D3695,6)="CLIENT",IF(E3695=0,WORKDAY(A3695-1,1,Dias_Sem_Compensacao!$A$2:$A$500),WORKDAY(A3695,E3695,Dias_Sem_Compensacao!$A$2:$A$500)),"")</f>
        <v>46338</v>
      </c>
      <c r="H3695" s="25">
        <v>0</v>
      </c>
      <c r="I3695" s="28">
        <v>46337</v>
      </c>
      <c r="J3695" t="s">
        <v>3111</v>
      </c>
      <c r="K3695" t="s">
        <v>3112</v>
      </c>
    </row>
    <row r="3696" spans="1:11" hidden="1">
      <c r="A3696" s="28">
        <v>46337</v>
      </c>
      <c r="B3696" t="s">
        <v>186</v>
      </c>
      <c r="C3696" t="s">
        <v>203</v>
      </c>
      <c r="D3696" t="s">
        <v>217</v>
      </c>
      <c r="E3696">
        <f>IF(LEFT(D3696,6)="CLIENT",IFERROR(VLOOKUP(C3696,Config_Carteiras!$A:$B,2,FALSE),1),"")</f>
        <v>1</v>
      </c>
      <c r="F3696" s="25">
        <v>421.02</v>
      </c>
      <c r="G3696" s="28">
        <f>IF(LEFT(D3696,6)="CLIENT",IF(E3696=0,WORKDAY(A3696-1,1,Dias_Sem_Compensacao!$A$2:$A$500),WORKDAY(A3696,E3696,Dias_Sem_Compensacao!$A$2:$A$500)),"")</f>
        <v>46338</v>
      </c>
      <c r="H3696" s="25">
        <v>0</v>
      </c>
      <c r="I3696" s="28">
        <v>46337</v>
      </c>
      <c r="J3696" t="s">
        <v>2091</v>
      </c>
      <c r="K3696" t="s">
        <v>2622</v>
      </c>
    </row>
    <row r="3697" spans="1:11" hidden="1">
      <c r="A3697" s="28">
        <v>46337</v>
      </c>
      <c r="B3697" t="s">
        <v>186</v>
      </c>
      <c r="C3697" t="s">
        <v>203</v>
      </c>
      <c r="D3697" t="s">
        <v>217</v>
      </c>
      <c r="E3697">
        <f>IF(LEFT(D3697,6)="CLIENT",IFERROR(VLOOKUP(C3697,Config_Carteiras!$A:$B,2,FALSE),1),"")</f>
        <v>1</v>
      </c>
      <c r="F3697" s="25">
        <v>735.77</v>
      </c>
      <c r="G3697" s="28">
        <f>IF(LEFT(D3697,6)="CLIENT",IF(E3697=0,WORKDAY(A3697-1,1,Dias_Sem_Compensacao!$A$2:$A$500),WORKDAY(A3697,E3697,Dias_Sem_Compensacao!$A$2:$A$500)),"")</f>
        <v>46338</v>
      </c>
      <c r="H3697" s="25">
        <v>0</v>
      </c>
      <c r="I3697" s="28">
        <v>46337</v>
      </c>
      <c r="J3697" t="s">
        <v>3115</v>
      </c>
      <c r="K3697" t="s">
        <v>3116</v>
      </c>
    </row>
    <row r="3698" spans="1:11" hidden="1">
      <c r="A3698" s="28">
        <v>46337</v>
      </c>
      <c r="B3698" t="s">
        <v>186</v>
      </c>
      <c r="C3698" t="s">
        <v>203</v>
      </c>
      <c r="D3698" t="s">
        <v>217</v>
      </c>
      <c r="E3698">
        <f>IF(LEFT(D3698,6)="CLIENT",IFERROR(VLOOKUP(C3698,Config_Carteiras!$A:$B,2,FALSE),1),"")</f>
        <v>1</v>
      </c>
      <c r="F3698" s="25">
        <v>18240</v>
      </c>
      <c r="G3698" s="28">
        <f>IF(LEFT(D3698,6)="CLIENT",IF(E3698=0,WORKDAY(A3698-1,1,Dias_Sem_Compensacao!$A$2:$A$500),WORKDAY(A3698,E3698,Dias_Sem_Compensacao!$A$2:$A$500)),"")</f>
        <v>46338</v>
      </c>
      <c r="H3698" s="25">
        <v>0</v>
      </c>
      <c r="I3698" s="28">
        <v>46337</v>
      </c>
      <c r="J3698" t="s">
        <v>1392</v>
      </c>
      <c r="K3698" t="s">
        <v>3407</v>
      </c>
    </row>
    <row r="3699" spans="1:11" hidden="1">
      <c r="A3699" s="28">
        <v>46337</v>
      </c>
      <c r="B3699" t="s">
        <v>186</v>
      </c>
      <c r="C3699" t="s">
        <v>203</v>
      </c>
      <c r="D3699" t="s">
        <v>217</v>
      </c>
      <c r="E3699">
        <f>IF(LEFT(D3699,6)="CLIENT",IFERROR(VLOOKUP(C3699,Config_Carteiras!$A:$B,2,FALSE),1),"")</f>
        <v>1</v>
      </c>
      <c r="F3699" s="25">
        <v>332.01</v>
      </c>
      <c r="G3699" s="28">
        <f>IF(LEFT(D3699,6)="CLIENT",IF(E3699=0,WORKDAY(A3699-1,1,Dias_Sem_Compensacao!$A$2:$A$500),WORKDAY(A3699,E3699,Dias_Sem_Compensacao!$A$2:$A$500)),"")</f>
        <v>46338</v>
      </c>
      <c r="H3699" s="25">
        <v>0</v>
      </c>
      <c r="I3699" s="28">
        <v>46337</v>
      </c>
      <c r="J3699" t="s">
        <v>2655</v>
      </c>
      <c r="K3699" t="s">
        <v>2656</v>
      </c>
    </row>
    <row r="3700" spans="1:11" hidden="1">
      <c r="A3700" s="28">
        <v>46338</v>
      </c>
      <c r="B3700" t="s">
        <v>186</v>
      </c>
      <c r="C3700" t="s">
        <v>203</v>
      </c>
      <c r="D3700" t="s">
        <v>217</v>
      </c>
      <c r="E3700">
        <f>IF(LEFT(D3700,6)="CLIENT",IFERROR(VLOOKUP(C3700,Config_Carteiras!$A:$B,2,FALSE),1),"")</f>
        <v>1</v>
      </c>
      <c r="F3700" s="25">
        <v>1000.8</v>
      </c>
      <c r="G3700" s="28">
        <f>IF(LEFT(D3700,6)="CLIENT",IF(E3700=0,WORKDAY(A3700-1,1,Dias_Sem_Compensacao!$A$2:$A$500),WORKDAY(A3700,E3700,Dias_Sem_Compensacao!$A$2:$A$500)),"")</f>
        <v>46339</v>
      </c>
      <c r="H3700" s="25">
        <v>0</v>
      </c>
      <c r="I3700" s="28">
        <v>46338</v>
      </c>
      <c r="J3700" t="s">
        <v>3408</v>
      </c>
      <c r="K3700" t="s">
        <v>3409</v>
      </c>
    </row>
    <row r="3701" spans="1:11" hidden="1">
      <c r="A3701" s="28">
        <v>46338</v>
      </c>
      <c r="B3701" t="s">
        <v>186</v>
      </c>
      <c r="C3701" t="s">
        <v>203</v>
      </c>
      <c r="D3701" t="s">
        <v>217</v>
      </c>
      <c r="E3701">
        <f>IF(LEFT(D3701,6)="CLIENT",IFERROR(VLOOKUP(C3701,Config_Carteiras!$A:$B,2,FALSE),1),"")</f>
        <v>1</v>
      </c>
      <c r="F3701" s="25">
        <v>552.75</v>
      </c>
      <c r="G3701" s="28">
        <f>IF(LEFT(D3701,6)="CLIENT",IF(E3701=0,WORKDAY(A3701-1,1,Dias_Sem_Compensacao!$A$2:$A$500),WORKDAY(A3701,E3701,Dias_Sem_Compensacao!$A$2:$A$500)),"")</f>
        <v>46339</v>
      </c>
      <c r="H3701" s="25">
        <v>0</v>
      </c>
      <c r="I3701" s="28">
        <v>46338</v>
      </c>
      <c r="J3701" t="s">
        <v>3146</v>
      </c>
      <c r="K3701" t="s">
        <v>3147</v>
      </c>
    </row>
    <row r="3702" spans="1:11" hidden="1">
      <c r="A3702" s="28">
        <v>46338</v>
      </c>
      <c r="B3702" t="s">
        <v>186</v>
      </c>
      <c r="C3702" t="s">
        <v>203</v>
      </c>
      <c r="D3702" t="s">
        <v>217</v>
      </c>
      <c r="E3702">
        <f>IF(LEFT(D3702,6)="CLIENT",IFERROR(VLOOKUP(C3702,Config_Carteiras!$A:$B,2,FALSE),1),"")</f>
        <v>1</v>
      </c>
      <c r="F3702" s="25">
        <v>590.1</v>
      </c>
      <c r="G3702" s="28">
        <f>IF(LEFT(D3702,6)="CLIENT",IF(E3702=0,WORKDAY(A3702-1,1,Dias_Sem_Compensacao!$A$2:$A$500),WORKDAY(A3702,E3702,Dias_Sem_Compensacao!$A$2:$A$500)),"")</f>
        <v>46339</v>
      </c>
      <c r="H3702" s="25">
        <v>0</v>
      </c>
      <c r="I3702" s="28">
        <v>46338</v>
      </c>
      <c r="J3702" t="s">
        <v>3412</v>
      </c>
      <c r="K3702" t="s">
        <v>3413</v>
      </c>
    </row>
    <row r="3703" spans="1:11" hidden="1">
      <c r="A3703" s="28">
        <v>46338</v>
      </c>
      <c r="B3703" t="s">
        <v>186</v>
      </c>
      <c r="C3703" t="s">
        <v>203</v>
      </c>
      <c r="D3703" t="s">
        <v>217</v>
      </c>
      <c r="E3703">
        <f>IF(LEFT(D3703,6)="CLIENT",IFERROR(VLOOKUP(C3703,Config_Carteiras!$A:$B,2,FALSE),1),"")</f>
        <v>1</v>
      </c>
      <c r="F3703" s="25">
        <v>600.12</v>
      </c>
      <c r="G3703" s="28">
        <f>IF(LEFT(D3703,6)="CLIENT",IF(E3703=0,WORKDAY(A3703-1,1,Dias_Sem_Compensacao!$A$2:$A$500),WORKDAY(A3703,E3703,Dias_Sem_Compensacao!$A$2:$A$500)),"")</f>
        <v>46339</v>
      </c>
      <c r="H3703" s="25">
        <v>0</v>
      </c>
      <c r="I3703" s="28">
        <v>46338</v>
      </c>
      <c r="J3703" t="s">
        <v>3176</v>
      </c>
      <c r="K3703" t="s">
        <v>3177</v>
      </c>
    </row>
    <row r="3704" spans="1:11" hidden="1">
      <c r="A3704" s="28">
        <v>46338</v>
      </c>
      <c r="B3704" t="s">
        <v>186</v>
      </c>
      <c r="C3704" t="s">
        <v>203</v>
      </c>
      <c r="D3704" t="s">
        <v>217</v>
      </c>
      <c r="E3704">
        <f>IF(LEFT(D3704,6)="CLIENT",IFERROR(VLOOKUP(C3704,Config_Carteiras!$A:$B,2,FALSE),1),"")</f>
        <v>1</v>
      </c>
      <c r="F3704" s="25">
        <v>1173.05</v>
      </c>
      <c r="G3704" s="28">
        <f>IF(LEFT(D3704,6)="CLIENT",IF(E3704=0,WORKDAY(A3704-1,1,Dias_Sem_Compensacao!$A$2:$A$500),WORKDAY(A3704,E3704,Dias_Sem_Compensacao!$A$2:$A$500)),"")</f>
        <v>46339</v>
      </c>
      <c r="H3704" s="25">
        <v>0</v>
      </c>
      <c r="I3704" s="28">
        <v>46338</v>
      </c>
      <c r="J3704" t="s">
        <v>3414</v>
      </c>
      <c r="K3704" t="s">
        <v>3415</v>
      </c>
    </row>
    <row r="3705" spans="1:11" hidden="1">
      <c r="A3705" s="28">
        <v>46338</v>
      </c>
      <c r="B3705" t="s">
        <v>186</v>
      </c>
      <c r="C3705" t="s">
        <v>203</v>
      </c>
      <c r="D3705" t="s">
        <v>217</v>
      </c>
      <c r="E3705">
        <f>IF(LEFT(D3705,6)="CLIENT",IFERROR(VLOOKUP(C3705,Config_Carteiras!$A:$B,2,FALSE),1),"")</f>
        <v>1</v>
      </c>
      <c r="F3705" s="25">
        <v>1580.86</v>
      </c>
      <c r="G3705" s="28">
        <f>IF(LEFT(D3705,6)="CLIENT",IF(E3705=0,WORKDAY(A3705-1,1,Dias_Sem_Compensacao!$A$2:$A$500),WORKDAY(A3705,E3705,Dias_Sem_Compensacao!$A$2:$A$500)),"")</f>
        <v>46339</v>
      </c>
      <c r="H3705" s="25">
        <v>0</v>
      </c>
      <c r="I3705" s="28">
        <v>46338</v>
      </c>
      <c r="J3705" t="s">
        <v>3416</v>
      </c>
      <c r="K3705" t="s">
        <v>3417</v>
      </c>
    </row>
    <row r="3706" spans="1:11" hidden="1">
      <c r="A3706" s="28">
        <v>46338</v>
      </c>
      <c r="B3706" t="s">
        <v>186</v>
      </c>
      <c r="C3706" t="s">
        <v>203</v>
      </c>
      <c r="D3706" t="s">
        <v>217</v>
      </c>
      <c r="E3706">
        <f>IF(LEFT(D3706,6)="CLIENT",IFERROR(VLOOKUP(C3706,Config_Carteiras!$A:$B,2,FALSE),1),"")</f>
        <v>1</v>
      </c>
      <c r="F3706" s="25">
        <v>3841.36</v>
      </c>
      <c r="G3706" s="28">
        <f>IF(LEFT(D3706,6)="CLIENT",IF(E3706=0,WORKDAY(A3706-1,1,Dias_Sem_Compensacao!$A$2:$A$500),WORKDAY(A3706,E3706,Dias_Sem_Compensacao!$A$2:$A$500)),"")</f>
        <v>46339</v>
      </c>
      <c r="H3706" s="25">
        <v>0</v>
      </c>
      <c r="I3706" s="28">
        <v>46338</v>
      </c>
      <c r="J3706" t="s">
        <v>3418</v>
      </c>
      <c r="K3706" t="s">
        <v>3419</v>
      </c>
    </row>
    <row r="3707" spans="1:11" hidden="1">
      <c r="A3707" s="28">
        <v>46338</v>
      </c>
      <c r="B3707" t="s">
        <v>186</v>
      </c>
      <c r="C3707" t="s">
        <v>203</v>
      </c>
      <c r="D3707" t="s">
        <v>217</v>
      </c>
      <c r="E3707">
        <f>IF(LEFT(D3707,6)="CLIENT",IFERROR(VLOOKUP(C3707,Config_Carteiras!$A:$B,2,FALSE),1),"")</f>
        <v>1</v>
      </c>
      <c r="F3707" s="25">
        <v>2573.83</v>
      </c>
      <c r="G3707" s="28">
        <f>IF(LEFT(D3707,6)="CLIENT",IF(E3707=0,WORKDAY(A3707-1,1,Dias_Sem_Compensacao!$A$2:$A$500),WORKDAY(A3707,E3707,Dias_Sem_Compensacao!$A$2:$A$500)),"")</f>
        <v>46339</v>
      </c>
      <c r="H3707" s="25">
        <v>0</v>
      </c>
      <c r="I3707" s="28">
        <v>46338</v>
      </c>
      <c r="J3707" t="s">
        <v>2743</v>
      </c>
      <c r="K3707" t="s">
        <v>2744</v>
      </c>
    </row>
    <row r="3708" spans="1:11" hidden="1">
      <c r="A3708" s="28">
        <v>46338</v>
      </c>
      <c r="B3708" t="s">
        <v>186</v>
      </c>
      <c r="C3708" t="s">
        <v>203</v>
      </c>
      <c r="D3708" t="s">
        <v>217</v>
      </c>
      <c r="E3708">
        <f>IF(LEFT(D3708,6)="CLIENT",IFERROR(VLOOKUP(C3708,Config_Carteiras!$A:$B,2,FALSE),1),"")</f>
        <v>1</v>
      </c>
      <c r="F3708" s="25">
        <v>4086.5</v>
      </c>
      <c r="G3708" s="28">
        <f>IF(LEFT(D3708,6)="CLIENT",IF(E3708=0,WORKDAY(A3708-1,1,Dias_Sem_Compensacao!$A$2:$A$500),WORKDAY(A3708,E3708,Dias_Sem_Compensacao!$A$2:$A$500)),"")</f>
        <v>46339</v>
      </c>
      <c r="H3708" s="25">
        <v>0</v>
      </c>
      <c r="I3708" s="28">
        <v>46338</v>
      </c>
      <c r="J3708" t="s">
        <v>1229</v>
      </c>
      <c r="K3708" t="s">
        <v>3420</v>
      </c>
    </row>
    <row r="3709" spans="1:11" hidden="1">
      <c r="A3709" s="28">
        <v>46338</v>
      </c>
      <c r="B3709" t="s">
        <v>186</v>
      </c>
      <c r="C3709" t="s">
        <v>203</v>
      </c>
      <c r="D3709" t="s">
        <v>217</v>
      </c>
      <c r="E3709">
        <f>IF(LEFT(D3709,6)="CLIENT",IFERROR(VLOOKUP(C3709,Config_Carteiras!$A:$B,2,FALSE),1),"")</f>
        <v>1</v>
      </c>
      <c r="F3709" s="25">
        <v>997.07</v>
      </c>
      <c r="G3709" s="28">
        <f>IF(LEFT(D3709,6)="CLIENT",IF(E3709=0,WORKDAY(A3709-1,1,Dias_Sem_Compensacao!$A$2:$A$500),WORKDAY(A3709,E3709,Dias_Sem_Compensacao!$A$2:$A$500)),"")</f>
        <v>46339</v>
      </c>
      <c r="H3709" s="25">
        <v>0</v>
      </c>
      <c r="I3709" s="28">
        <v>46338</v>
      </c>
      <c r="J3709" t="s">
        <v>3421</v>
      </c>
      <c r="K3709" t="s">
        <v>3422</v>
      </c>
    </row>
    <row r="3710" spans="1:11" hidden="1">
      <c r="A3710" s="28">
        <v>46338</v>
      </c>
      <c r="B3710" t="s">
        <v>186</v>
      </c>
      <c r="C3710" t="s">
        <v>203</v>
      </c>
      <c r="D3710" t="s">
        <v>217</v>
      </c>
      <c r="E3710">
        <f>IF(LEFT(D3710,6)="CLIENT",IFERROR(VLOOKUP(C3710,Config_Carteiras!$A:$B,2,FALSE),1),"")</f>
        <v>1</v>
      </c>
      <c r="F3710" s="25">
        <v>2865.7</v>
      </c>
      <c r="G3710" s="28">
        <f>IF(LEFT(D3710,6)="CLIENT",IF(E3710=0,WORKDAY(A3710-1,1,Dias_Sem_Compensacao!$A$2:$A$500),WORKDAY(A3710,E3710,Dias_Sem_Compensacao!$A$2:$A$500)),"")</f>
        <v>46339</v>
      </c>
      <c r="H3710" s="25">
        <v>0</v>
      </c>
      <c r="I3710" s="28">
        <v>46338</v>
      </c>
      <c r="J3710" t="s">
        <v>2220</v>
      </c>
      <c r="K3710" t="s">
        <v>2221</v>
      </c>
    </row>
    <row r="3711" spans="1:11" hidden="1">
      <c r="A3711" s="28">
        <v>46338</v>
      </c>
      <c r="B3711" t="s">
        <v>186</v>
      </c>
      <c r="C3711" t="s">
        <v>203</v>
      </c>
      <c r="D3711" t="s">
        <v>217</v>
      </c>
      <c r="E3711">
        <f>IF(LEFT(D3711,6)="CLIENT",IFERROR(VLOOKUP(C3711,Config_Carteiras!$A:$B,2,FALSE),1),"")</f>
        <v>1</v>
      </c>
      <c r="F3711" s="25">
        <v>3372.5</v>
      </c>
      <c r="G3711" s="28">
        <f>IF(LEFT(D3711,6)="CLIENT",IF(E3711=0,WORKDAY(A3711-1,1,Dias_Sem_Compensacao!$A$2:$A$500),WORKDAY(A3711,E3711,Dias_Sem_Compensacao!$A$2:$A$500)),"")</f>
        <v>46339</v>
      </c>
      <c r="H3711" s="25">
        <v>0</v>
      </c>
      <c r="I3711" s="28">
        <v>46338</v>
      </c>
      <c r="J3711" t="s">
        <v>3424</v>
      </c>
      <c r="K3711" t="s">
        <v>3425</v>
      </c>
    </row>
    <row r="3712" spans="1:11" hidden="1">
      <c r="A3712" s="28">
        <v>46338</v>
      </c>
      <c r="B3712" t="s">
        <v>186</v>
      </c>
      <c r="C3712" t="s">
        <v>203</v>
      </c>
      <c r="D3712" t="s">
        <v>217</v>
      </c>
      <c r="E3712">
        <f>IF(LEFT(D3712,6)="CLIENT",IFERROR(VLOOKUP(C3712,Config_Carteiras!$A:$B,2,FALSE),1),"")</f>
        <v>1</v>
      </c>
      <c r="F3712" s="25">
        <v>865.62</v>
      </c>
      <c r="G3712" s="28">
        <f>IF(LEFT(D3712,6)="CLIENT",IF(E3712=0,WORKDAY(A3712-1,1,Dias_Sem_Compensacao!$A$2:$A$500),WORKDAY(A3712,E3712,Dias_Sem_Compensacao!$A$2:$A$500)),"")</f>
        <v>46339</v>
      </c>
      <c r="H3712" s="25">
        <v>0</v>
      </c>
      <c r="I3712" s="28">
        <v>46338</v>
      </c>
      <c r="J3712" t="s">
        <v>3426</v>
      </c>
      <c r="K3712" t="s">
        <v>3427</v>
      </c>
    </row>
    <row r="3713" spans="1:11" hidden="1">
      <c r="A3713" s="28">
        <v>46339</v>
      </c>
      <c r="B3713" t="s">
        <v>186</v>
      </c>
      <c r="C3713" t="s">
        <v>203</v>
      </c>
      <c r="D3713" t="s">
        <v>217</v>
      </c>
      <c r="E3713">
        <f>IF(LEFT(D3713,6)="CLIENT",IFERROR(VLOOKUP(C3713,Config_Carteiras!$A:$B,2,FALSE),1),"")</f>
        <v>1</v>
      </c>
      <c r="F3713" s="25">
        <v>830.21</v>
      </c>
      <c r="G3713" s="28">
        <f>IF(LEFT(D3713,6)="CLIENT",IF(E3713=0,WORKDAY(A3713-1,1,Dias_Sem_Compensacao!$A$2:$A$500),WORKDAY(A3713,E3713,Dias_Sem_Compensacao!$A$2:$A$500)),"")</f>
        <v>46342</v>
      </c>
      <c r="H3713" s="25">
        <v>0</v>
      </c>
      <c r="I3713" s="28">
        <v>46339</v>
      </c>
      <c r="J3713" t="s">
        <v>2822</v>
      </c>
      <c r="K3713" t="s">
        <v>2823</v>
      </c>
    </row>
    <row r="3714" spans="1:11" hidden="1">
      <c r="A3714" s="28">
        <v>46339</v>
      </c>
      <c r="B3714" t="s">
        <v>186</v>
      </c>
      <c r="C3714" t="s">
        <v>203</v>
      </c>
      <c r="D3714" t="s">
        <v>217</v>
      </c>
      <c r="E3714">
        <f>IF(LEFT(D3714,6)="CLIENT",IFERROR(VLOOKUP(C3714,Config_Carteiras!$A:$B,2,FALSE),1),"")</f>
        <v>1</v>
      </c>
      <c r="F3714" s="25">
        <v>865</v>
      </c>
      <c r="G3714" s="28">
        <f>IF(LEFT(D3714,6)="CLIENT",IF(E3714=0,WORKDAY(A3714-1,1,Dias_Sem_Compensacao!$A$2:$A$500),WORKDAY(A3714,E3714,Dias_Sem_Compensacao!$A$2:$A$500)),"")</f>
        <v>46342</v>
      </c>
      <c r="H3714" s="25">
        <v>0</v>
      </c>
      <c r="I3714" s="28">
        <v>46339</v>
      </c>
      <c r="J3714" t="s">
        <v>1485</v>
      </c>
      <c r="K3714" t="s">
        <v>3234</v>
      </c>
    </row>
    <row r="3715" spans="1:11" hidden="1">
      <c r="A3715" s="28">
        <v>46339</v>
      </c>
      <c r="B3715" t="s">
        <v>186</v>
      </c>
      <c r="C3715" t="s">
        <v>203</v>
      </c>
      <c r="D3715" t="s">
        <v>217</v>
      </c>
      <c r="E3715">
        <f>IF(LEFT(D3715,6)="CLIENT",IFERROR(VLOOKUP(C3715,Config_Carteiras!$A:$B,2,FALSE),1),"")</f>
        <v>1</v>
      </c>
      <c r="F3715" s="25">
        <v>3945</v>
      </c>
      <c r="G3715" s="28">
        <f>IF(LEFT(D3715,6)="CLIENT",IF(E3715=0,WORKDAY(A3715-1,1,Dias_Sem_Compensacao!$A$2:$A$500),WORKDAY(A3715,E3715,Dias_Sem_Compensacao!$A$2:$A$500)),"")</f>
        <v>46342</v>
      </c>
      <c r="H3715" s="25">
        <v>0</v>
      </c>
      <c r="I3715" s="28">
        <v>46339</v>
      </c>
      <c r="J3715" t="s">
        <v>1016</v>
      </c>
      <c r="K3715" t="s">
        <v>2613</v>
      </c>
    </row>
    <row r="3716" spans="1:11" hidden="1">
      <c r="A3716" s="28">
        <v>46339</v>
      </c>
      <c r="B3716" t="s">
        <v>186</v>
      </c>
      <c r="C3716" t="s">
        <v>203</v>
      </c>
      <c r="D3716" t="s">
        <v>217</v>
      </c>
      <c r="E3716">
        <f>IF(LEFT(D3716,6)="CLIENT",IFERROR(VLOOKUP(C3716,Config_Carteiras!$A:$B,2,FALSE),1),"")</f>
        <v>1</v>
      </c>
      <c r="F3716" s="25">
        <v>830.75</v>
      </c>
      <c r="G3716" s="28">
        <f>IF(LEFT(D3716,6)="CLIENT",IF(E3716=0,WORKDAY(A3716-1,1,Dias_Sem_Compensacao!$A$2:$A$500),WORKDAY(A3716,E3716,Dias_Sem_Compensacao!$A$2:$A$500)),"")</f>
        <v>46342</v>
      </c>
      <c r="H3716" s="25">
        <v>0</v>
      </c>
      <c r="I3716" s="28">
        <v>46339</v>
      </c>
      <c r="J3716" t="s">
        <v>2847</v>
      </c>
      <c r="K3716" t="s">
        <v>2848</v>
      </c>
    </row>
    <row r="3717" spans="1:11" hidden="1">
      <c r="A3717" s="28">
        <v>46339</v>
      </c>
      <c r="B3717" t="s">
        <v>186</v>
      </c>
      <c r="C3717" t="s">
        <v>203</v>
      </c>
      <c r="D3717" t="s">
        <v>217</v>
      </c>
      <c r="E3717">
        <f>IF(LEFT(D3717,6)="CLIENT",IFERROR(VLOOKUP(C3717,Config_Carteiras!$A:$B,2,FALSE),1),"")</f>
        <v>1</v>
      </c>
      <c r="F3717" s="25">
        <v>10469.36</v>
      </c>
      <c r="G3717" s="28">
        <f>IF(LEFT(D3717,6)="CLIENT",IF(E3717=0,WORKDAY(A3717-1,1,Dias_Sem_Compensacao!$A$2:$A$500),WORKDAY(A3717,E3717,Dias_Sem_Compensacao!$A$2:$A$500)),"")</f>
        <v>46342</v>
      </c>
      <c r="H3717" s="25">
        <v>0</v>
      </c>
      <c r="I3717" s="28">
        <v>46339</v>
      </c>
      <c r="J3717" t="s">
        <v>3433</v>
      </c>
      <c r="K3717" t="s">
        <v>3434</v>
      </c>
    </row>
    <row r="3718" spans="1:11" hidden="1">
      <c r="A3718" s="28">
        <v>46339</v>
      </c>
      <c r="B3718" t="s">
        <v>186</v>
      </c>
      <c r="C3718" t="s">
        <v>203</v>
      </c>
      <c r="D3718" t="s">
        <v>217</v>
      </c>
      <c r="E3718">
        <f>IF(LEFT(D3718,6)="CLIENT",IFERROR(VLOOKUP(C3718,Config_Carteiras!$A:$B,2,FALSE),1),"")</f>
        <v>1</v>
      </c>
      <c r="F3718" s="25">
        <v>1902.45</v>
      </c>
      <c r="G3718" s="28">
        <f>IF(LEFT(D3718,6)="CLIENT",IF(E3718=0,WORKDAY(A3718-1,1,Dias_Sem_Compensacao!$A$2:$A$500),WORKDAY(A3718,E3718,Dias_Sem_Compensacao!$A$2:$A$500)),"")</f>
        <v>46342</v>
      </c>
      <c r="H3718" s="25">
        <v>0</v>
      </c>
      <c r="I3718" s="28">
        <v>46339</v>
      </c>
      <c r="J3718" t="s">
        <v>3269</v>
      </c>
      <c r="K3718" t="s">
        <v>3270</v>
      </c>
    </row>
    <row r="3719" spans="1:11" hidden="1">
      <c r="A3719" s="28">
        <v>46339</v>
      </c>
      <c r="B3719" t="s">
        <v>186</v>
      </c>
      <c r="C3719" t="s">
        <v>203</v>
      </c>
      <c r="D3719" t="s">
        <v>217</v>
      </c>
      <c r="E3719">
        <f>IF(LEFT(D3719,6)="CLIENT",IFERROR(VLOOKUP(C3719,Config_Carteiras!$A:$B,2,FALSE),1),"")</f>
        <v>1</v>
      </c>
      <c r="F3719" s="25">
        <v>1600.52</v>
      </c>
      <c r="G3719" s="28">
        <f>IF(LEFT(D3719,6)="CLIENT",IF(E3719=0,WORKDAY(A3719-1,1,Dias_Sem_Compensacao!$A$2:$A$500),WORKDAY(A3719,E3719,Dias_Sem_Compensacao!$A$2:$A$500)),"")</f>
        <v>46342</v>
      </c>
      <c r="H3719" s="25">
        <v>0</v>
      </c>
      <c r="I3719" s="28">
        <v>46339</v>
      </c>
      <c r="J3719" t="s">
        <v>3278</v>
      </c>
      <c r="K3719" t="s">
        <v>3279</v>
      </c>
    </row>
    <row r="3720" spans="1:11" hidden="1">
      <c r="A3720" s="28">
        <v>46339</v>
      </c>
      <c r="B3720" t="s">
        <v>186</v>
      </c>
      <c r="C3720" t="s">
        <v>203</v>
      </c>
      <c r="D3720" t="s">
        <v>217</v>
      </c>
      <c r="E3720">
        <f>IF(LEFT(D3720,6)="CLIENT",IFERROR(VLOOKUP(C3720,Config_Carteiras!$A:$B,2,FALSE),1),"")</f>
        <v>1</v>
      </c>
      <c r="F3720" s="25">
        <v>360</v>
      </c>
      <c r="G3720" s="28">
        <f>IF(LEFT(D3720,6)="CLIENT",IF(E3720=0,WORKDAY(A3720-1,1,Dias_Sem_Compensacao!$A$2:$A$500),WORKDAY(A3720,E3720,Dias_Sem_Compensacao!$A$2:$A$500)),"")</f>
        <v>46342</v>
      </c>
      <c r="H3720" s="25">
        <v>0</v>
      </c>
      <c r="I3720" s="28">
        <v>46339</v>
      </c>
      <c r="J3720" t="s">
        <v>354</v>
      </c>
      <c r="K3720" t="s">
        <v>945</v>
      </c>
    </row>
    <row r="3721" spans="1:11" hidden="1">
      <c r="A3721" s="28">
        <v>46342</v>
      </c>
      <c r="B3721" t="s">
        <v>186</v>
      </c>
      <c r="C3721" t="s">
        <v>203</v>
      </c>
      <c r="D3721" t="s">
        <v>217</v>
      </c>
      <c r="E3721">
        <f>IF(LEFT(D3721,6)="CLIENT",IFERROR(VLOOKUP(C3721,Config_Carteiras!$A:$B,2,FALSE),1),"")</f>
        <v>1</v>
      </c>
      <c r="F3721" s="25">
        <v>1090.76</v>
      </c>
      <c r="G3721" s="28">
        <f>IF(LEFT(D3721,6)="CLIENT",IF(E3721=0,WORKDAY(A3721-1,1,Dias_Sem_Compensacao!$A$2:$A$500),WORKDAY(A3721,E3721,Dias_Sem_Compensacao!$A$2:$A$500)),"")</f>
        <v>46343</v>
      </c>
      <c r="H3721" s="25">
        <v>0</v>
      </c>
      <c r="I3721" s="28">
        <v>46342</v>
      </c>
      <c r="J3721" t="s">
        <v>3296</v>
      </c>
      <c r="K3721" t="s">
        <v>3297</v>
      </c>
    </row>
    <row r="3722" spans="1:11" hidden="1">
      <c r="A3722" s="28">
        <v>46342</v>
      </c>
      <c r="B3722" t="s">
        <v>186</v>
      </c>
      <c r="C3722" t="s">
        <v>203</v>
      </c>
      <c r="D3722" t="s">
        <v>217</v>
      </c>
      <c r="E3722">
        <f>IF(LEFT(D3722,6)="CLIENT",IFERROR(VLOOKUP(C3722,Config_Carteiras!$A:$B,2,FALSE),1),"")</f>
        <v>1</v>
      </c>
      <c r="F3722" s="25">
        <v>1047.77</v>
      </c>
      <c r="G3722" s="28">
        <f>IF(LEFT(D3722,6)="CLIENT",IF(E3722=0,WORKDAY(A3722-1,1,Dias_Sem_Compensacao!$A$2:$A$500),WORKDAY(A3722,E3722,Dias_Sem_Compensacao!$A$2:$A$500)),"")</f>
        <v>46343</v>
      </c>
      <c r="H3722" s="25">
        <v>0</v>
      </c>
      <c r="I3722" s="28">
        <v>46342</v>
      </c>
      <c r="J3722" t="s">
        <v>3437</v>
      </c>
      <c r="K3722" t="s">
        <v>3438</v>
      </c>
    </row>
    <row r="3723" spans="1:11" hidden="1">
      <c r="A3723" s="28">
        <v>46342</v>
      </c>
      <c r="B3723" t="s">
        <v>186</v>
      </c>
      <c r="C3723" t="s">
        <v>203</v>
      </c>
      <c r="D3723" t="s">
        <v>217</v>
      </c>
      <c r="E3723">
        <f>IF(LEFT(D3723,6)="CLIENT",IFERROR(VLOOKUP(C3723,Config_Carteiras!$A:$B,2,FALSE),1),"")</f>
        <v>1</v>
      </c>
      <c r="F3723" s="25">
        <v>660.33</v>
      </c>
      <c r="G3723" s="28">
        <f>IF(LEFT(D3723,6)="CLIENT",IF(E3723=0,WORKDAY(A3723-1,1,Dias_Sem_Compensacao!$A$2:$A$500),WORKDAY(A3723,E3723,Dias_Sem_Compensacao!$A$2:$A$500)),"")</f>
        <v>46343</v>
      </c>
      <c r="H3723" s="25">
        <v>0</v>
      </c>
      <c r="I3723" s="28">
        <v>46342</v>
      </c>
      <c r="J3723" t="s">
        <v>3443</v>
      </c>
      <c r="K3723" t="s">
        <v>3444</v>
      </c>
    </row>
    <row r="3724" spans="1:11" hidden="1">
      <c r="A3724" s="28">
        <v>46342</v>
      </c>
      <c r="B3724" t="s">
        <v>186</v>
      </c>
      <c r="C3724" t="s">
        <v>203</v>
      </c>
      <c r="D3724" t="s">
        <v>217</v>
      </c>
      <c r="E3724">
        <f>IF(LEFT(D3724,6)="CLIENT",IFERROR(VLOOKUP(C3724,Config_Carteiras!$A:$B,2,FALSE),1),"")</f>
        <v>1</v>
      </c>
      <c r="F3724" s="25">
        <v>732.26</v>
      </c>
      <c r="G3724" s="28">
        <f>IF(LEFT(D3724,6)="CLIENT",IF(E3724=0,WORKDAY(A3724-1,1,Dias_Sem_Compensacao!$A$2:$A$500),WORKDAY(A3724,E3724,Dias_Sem_Compensacao!$A$2:$A$500)),"")</f>
        <v>46343</v>
      </c>
      <c r="H3724" s="25">
        <v>0</v>
      </c>
      <c r="I3724" s="28">
        <v>46342</v>
      </c>
      <c r="J3724" t="s">
        <v>3454</v>
      </c>
      <c r="K3724" t="s">
        <v>3455</v>
      </c>
    </row>
    <row r="3725" spans="1:11" hidden="1">
      <c r="A3725" s="28">
        <v>46342</v>
      </c>
      <c r="B3725" t="s">
        <v>186</v>
      </c>
      <c r="C3725" t="s">
        <v>203</v>
      </c>
      <c r="D3725" t="s">
        <v>217</v>
      </c>
      <c r="E3725">
        <f>IF(LEFT(D3725,6)="CLIENT",IFERROR(VLOOKUP(C3725,Config_Carteiras!$A:$B,2,FALSE),1),"")</f>
        <v>1</v>
      </c>
      <c r="F3725" s="25">
        <v>2476.04</v>
      </c>
      <c r="G3725" s="28">
        <f>IF(LEFT(D3725,6)="CLIENT",IF(E3725=0,WORKDAY(A3725-1,1,Dias_Sem_Compensacao!$A$2:$A$500),WORKDAY(A3725,E3725,Dias_Sem_Compensacao!$A$2:$A$500)),"")</f>
        <v>46343</v>
      </c>
      <c r="H3725" s="25">
        <v>0</v>
      </c>
      <c r="I3725" s="28">
        <v>46342</v>
      </c>
      <c r="J3725" t="s">
        <v>1344</v>
      </c>
      <c r="K3725" t="s">
        <v>3327</v>
      </c>
    </row>
    <row r="3726" spans="1:11" hidden="1">
      <c r="A3726" s="28">
        <v>46342</v>
      </c>
      <c r="B3726" t="s">
        <v>186</v>
      </c>
      <c r="C3726" t="s">
        <v>203</v>
      </c>
      <c r="D3726" t="s">
        <v>217</v>
      </c>
      <c r="E3726">
        <f>IF(LEFT(D3726,6)="CLIENT",IFERROR(VLOOKUP(C3726,Config_Carteiras!$A:$B,2,FALSE),1),"")</f>
        <v>1</v>
      </c>
      <c r="F3726" s="25">
        <v>1627.98</v>
      </c>
      <c r="G3726" s="28">
        <f>IF(LEFT(D3726,6)="CLIENT",IF(E3726=0,WORKDAY(A3726-1,1,Dias_Sem_Compensacao!$A$2:$A$500),WORKDAY(A3726,E3726,Dias_Sem_Compensacao!$A$2:$A$500)),"")</f>
        <v>46343</v>
      </c>
      <c r="H3726" s="25">
        <v>0</v>
      </c>
      <c r="I3726" s="28">
        <v>46342</v>
      </c>
      <c r="K3726" t="s">
        <v>3328</v>
      </c>
    </row>
    <row r="3727" spans="1:11" hidden="1">
      <c r="A3727" s="28">
        <v>46342</v>
      </c>
      <c r="B3727" t="s">
        <v>186</v>
      </c>
      <c r="C3727" t="s">
        <v>203</v>
      </c>
      <c r="D3727" t="s">
        <v>217</v>
      </c>
      <c r="E3727">
        <f>IF(LEFT(D3727,6)="CLIENT",IFERROR(VLOOKUP(C3727,Config_Carteiras!$A:$B,2,FALSE),1),"")</f>
        <v>1</v>
      </c>
      <c r="F3727" s="25">
        <v>1699.65</v>
      </c>
      <c r="G3727" s="28">
        <f>IF(LEFT(D3727,6)="CLIENT",IF(E3727=0,WORKDAY(A3727-1,1,Dias_Sem_Compensacao!$A$2:$A$500),WORKDAY(A3727,E3727,Dias_Sem_Compensacao!$A$2:$A$500)),"")</f>
        <v>46343</v>
      </c>
      <c r="H3727" s="25">
        <v>0</v>
      </c>
      <c r="I3727" s="28">
        <v>46342</v>
      </c>
      <c r="J3727" t="s">
        <v>1711</v>
      </c>
      <c r="K3727" t="s">
        <v>2931</v>
      </c>
    </row>
    <row r="3728" spans="1:11" hidden="1">
      <c r="A3728" s="28">
        <v>46342</v>
      </c>
      <c r="B3728" t="s">
        <v>186</v>
      </c>
      <c r="C3728" t="s">
        <v>203</v>
      </c>
      <c r="D3728" t="s">
        <v>217</v>
      </c>
      <c r="E3728">
        <f>IF(LEFT(D3728,6)="CLIENT",IFERROR(VLOOKUP(C3728,Config_Carteiras!$A:$B,2,FALSE),1),"")</f>
        <v>1</v>
      </c>
      <c r="F3728" s="25">
        <v>16250</v>
      </c>
      <c r="G3728" s="28">
        <f>IF(LEFT(D3728,6)="CLIENT",IF(E3728=0,WORKDAY(A3728-1,1,Dias_Sem_Compensacao!$A$2:$A$500),WORKDAY(A3728,E3728,Dias_Sem_Compensacao!$A$2:$A$500)),"")</f>
        <v>46343</v>
      </c>
      <c r="H3728" s="25">
        <v>0</v>
      </c>
      <c r="I3728" s="28">
        <v>46342</v>
      </c>
      <c r="J3728" t="s">
        <v>1201</v>
      </c>
      <c r="K3728" t="s">
        <v>3339</v>
      </c>
    </row>
    <row r="3729" spans="1:11" hidden="1">
      <c r="A3729" s="28">
        <v>46342</v>
      </c>
      <c r="B3729" t="s">
        <v>186</v>
      </c>
      <c r="C3729" t="s">
        <v>203</v>
      </c>
      <c r="D3729" t="s">
        <v>217</v>
      </c>
      <c r="E3729">
        <f>IF(LEFT(D3729,6)="CLIENT",IFERROR(VLOOKUP(C3729,Config_Carteiras!$A:$B,2,FALSE),1),"")</f>
        <v>1</v>
      </c>
      <c r="F3729" s="25">
        <v>585.21</v>
      </c>
      <c r="G3729" s="28">
        <f>IF(LEFT(D3729,6)="CLIENT",IF(E3729=0,WORKDAY(A3729-1,1,Dias_Sem_Compensacao!$A$2:$A$500),WORKDAY(A3729,E3729,Dias_Sem_Compensacao!$A$2:$A$500)),"")</f>
        <v>46343</v>
      </c>
      <c r="H3729" s="25">
        <v>0</v>
      </c>
      <c r="I3729" s="28">
        <v>46342</v>
      </c>
      <c r="J3729" t="s">
        <v>3344</v>
      </c>
      <c r="K3729" t="s">
        <v>3345</v>
      </c>
    </row>
    <row r="3730" spans="1:11" hidden="1">
      <c r="A3730" s="28">
        <v>46342</v>
      </c>
      <c r="B3730" t="s">
        <v>186</v>
      </c>
      <c r="C3730" t="s">
        <v>203</v>
      </c>
      <c r="D3730" t="s">
        <v>217</v>
      </c>
      <c r="E3730">
        <f>IF(LEFT(D3730,6)="CLIENT",IFERROR(VLOOKUP(C3730,Config_Carteiras!$A:$B,2,FALSE),1),"")</f>
        <v>1</v>
      </c>
      <c r="F3730" s="25">
        <v>1380.77</v>
      </c>
      <c r="G3730" s="28">
        <f>IF(LEFT(D3730,6)="CLIENT",IF(E3730=0,WORKDAY(A3730-1,1,Dias_Sem_Compensacao!$A$2:$A$500),WORKDAY(A3730,E3730,Dias_Sem_Compensacao!$A$2:$A$500)),"")</f>
        <v>46343</v>
      </c>
      <c r="H3730" s="25">
        <v>0</v>
      </c>
      <c r="I3730" s="28">
        <v>46342</v>
      </c>
      <c r="J3730" t="s">
        <v>1572</v>
      </c>
      <c r="K3730" t="s">
        <v>3447</v>
      </c>
    </row>
    <row r="3731" spans="1:11" hidden="1">
      <c r="A3731" s="28">
        <v>46342</v>
      </c>
      <c r="B3731" t="s">
        <v>186</v>
      </c>
      <c r="C3731" t="s">
        <v>203</v>
      </c>
      <c r="D3731" t="s">
        <v>217</v>
      </c>
      <c r="E3731">
        <f>IF(LEFT(D3731,6)="CLIENT",IFERROR(VLOOKUP(C3731,Config_Carteiras!$A:$B,2,FALSE),1),"")</f>
        <v>1</v>
      </c>
      <c r="F3731" s="25">
        <v>1709.02</v>
      </c>
      <c r="G3731" s="28">
        <f>IF(LEFT(D3731,6)="CLIENT",IF(E3731=0,WORKDAY(A3731-1,1,Dias_Sem_Compensacao!$A$2:$A$500),WORKDAY(A3731,E3731,Dias_Sem_Compensacao!$A$2:$A$500)),"")</f>
        <v>46343</v>
      </c>
      <c r="H3731" s="25">
        <v>0</v>
      </c>
      <c r="I3731" s="28">
        <v>46342</v>
      </c>
      <c r="J3731" t="s">
        <v>1401</v>
      </c>
      <c r="K3731" t="s">
        <v>2973</v>
      </c>
    </row>
    <row r="3732" spans="1:11" hidden="1">
      <c r="A3732" s="28">
        <v>46342</v>
      </c>
      <c r="B3732" t="s">
        <v>186</v>
      </c>
      <c r="C3732" t="s">
        <v>203</v>
      </c>
      <c r="D3732" t="s">
        <v>217</v>
      </c>
      <c r="E3732">
        <f>IF(LEFT(D3732,6)="CLIENT",IFERROR(VLOOKUP(C3732,Config_Carteiras!$A:$B,2,FALSE),1),"")</f>
        <v>1</v>
      </c>
      <c r="F3732" s="25">
        <v>1072.28</v>
      </c>
      <c r="G3732" s="28">
        <f>IF(LEFT(D3732,6)="CLIENT",IF(E3732=0,WORKDAY(A3732-1,1,Dias_Sem_Compensacao!$A$2:$A$500),WORKDAY(A3732,E3732,Dias_Sem_Compensacao!$A$2:$A$500)),"")</f>
        <v>46343</v>
      </c>
      <c r="H3732" s="25">
        <v>0</v>
      </c>
      <c r="I3732" s="28">
        <v>46342</v>
      </c>
      <c r="J3732" t="s">
        <v>2874</v>
      </c>
      <c r="K3732" t="s">
        <v>2875</v>
      </c>
    </row>
    <row r="3733" spans="1:11" hidden="1">
      <c r="A3733" s="28">
        <v>46342</v>
      </c>
      <c r="B3733" t="s">
        <v>186</v>
      </c>
      <c r="C3733" t="s">
        <v>203</v>
      </c>
      <c r="D3733" t="s">
        <v>217</v>
      </c>
      <c r="E3733">
        <f>IF(LEFT(D3733,6)="CLIENT",IFERROR(VLOOKUP(C3733,Config_Carteiras!$A:$B,2,FALSE),1),"")</f>
        <v>1</v>
      </c>
      <c r="F3733" s="25">
        <v>592</v>
      </c>
      <c r="G3733" s="28">
        <f>IF(LEFT(D3733,6)="CLIENT",IF(E3733=0,WORKDAY(A3733-1,1,Dias_Sem_Compensacao!$A$2:$A$500),WORKDAY(A3733,E3733,Dias_Sem_Compensacao!$A$2:$A$500)),"")</f>
        <v>46343</v>
      </c>
      <c r="H3733" s="25">
        <v>0</v>
      </c>
      <c r="I3733" s="28">
        <v>46342</v>
      </c>
      <c r="J3733" t="s">
        <v>3379</v>
      </c>
      <c r="K3733" t="s">
        <v>3380</v>
      </c>
    </row>
    <row r="3734" spans="1:11" hidden="1">
      <c r="A3734" s="28">
        <v>46342</v>
      </c>
      <c r="B3734" t="s">
        <v>186</v>
      </c>
      <c r="C3734" t="s">
        <v>203</v>
      </c>
      <c r="D3734" t="s">
        <v>217</v>
      </c>
      <c r="E3734">
        <f>IF(LEFT(D3734,6)="CLIENT",IFERROR(VLOOKUP(C3734,Config_Carteiras!$A:$B,2,FALSE),1),"")</f>
        <v>1</v>
      </c>
      <c r="F3734" s="25">
        <v>1035</v>
      </c>
      <c r="G3734" s="28">
        <f>IF(LEFT(D3734,6)="CLIENT",IF(E3734=0,WORKDAY(A3734-1,1,Dias_Sem_Compensacao!$A$2:$A$500),WORKDAY(A3734,E3734,Dias_Sem_Compensacao!$A$2:$A$500)),"")</f>
        <v>46343</v>
      </c>
      <c r="H3734" s="25">
        <v>0</v>
      </c>
      <c r="I3734" s="28">
        <v>46342</v>
      </c>
      <c r="J3734" t="s">
        <v>3383</v>
      </c>
      <c r="K3734" t="s">
        <v>3384</v>
      </c>
    </row>
    <row r="3735" spans="1:11" hidden="1">
      <c r="A3735" s="28">
        <v>46343</v>
      </c>
      <c r="B3735" t="s">
        <v>186</v>
      </c>
      <c r="C3735" t="s">
        <v>203</v>
      </c>
      <c r="D3735" t="s">
        <v>217</v>
      </c>
      <c r="E3735">
        <f>IF(LEFT(D3735,6)="CLIENT",IFERROR(VLOOKUP(C3735,Config_Carteiras!$A:$B,2,FALSE),1),"")</f>
        <v>1</v>
      </c>
      <c r="F3735" s="25">
        <v>2239.77</v>
      </c>
      <c r="G3735" s="28">
        <f>IF(LEFT(D3735,6)="CLIENT",IF(E3735=0,WORKDAY(A3735-1,1,Dias_Sem_Compensacao!$A$2:$A$500),WORKDAY(A3735,E3735,Dias_Sem_Compensacao!$A$2:$A$500)),"")</f>
        <v>46344</v>
      </c>
      <c r="H3735" s="25">
        <v>0</v>
      </c>
      <c r="I3735" s="28">
        <v>46343</v>
      </c>
      <c r="J3735" t="s">
        <v>3004</v>
      </c>
      <c r="K3735" t="s">
        <v>3005</v>
      </c>
    </row>
    <row r="3736" spans="1:11" hidden="1">
      <c r="A3736" s="28">
        <v>46343</v>
      </c>
      <c r="B3736" t="s">
        <v>186</v>
      </c>
      <c r="C3736" t="s">
        <v>203</v>
      </c>
      <c r="D3736" t="s">
        <v>217</v>
      </c>
      <c r="E3736">
        <f>IF(LEFT(D3736,6)="CLIENT",IFERROR(VLOOKUP(C3736,Config_Carteiras!$A:$B,2,FALSE),1),"")</f>
        <v>1</v>
      </c>
      <c r="F3736" s="25">
        <v>817</v>
      </c>
      <c r="G3736" s="28">
        <f>IF(LEFT(D3736,6)="CLIENT",IF(E3736=0,WORKDAY(A3736-1,1,Dias_Sem_Compensacao!$A$2:$A$500),WORKDAY(A3736,E3736,Dias_Sem_Compensacao!$A$2:$A$500)),"")</f>
        <v>46344</v>
      </c>
      <c r="H3736" s="25">
        <v>0</v>
      </c>
      <c r="I3736" s="28">
        <v>46343</v>
      </c>
      <c r="J3736" t="s">
        <v>3456</v>
      </c>
      <c r="K3736" t="s">
        <v>3457</v>
      </c>
    </row>
    <row r="3737" spans="1:11" hidden="1">
      <c r="A3737" s="28">
        <v>46343</v>
      </c>
      <c r="B3737" t="s">
        <v>186</v>
      </c>
      <c r="C3737" t="s">
        <v>203</v>
      </c>
      <c r="D3737" t="s">
        <v>217</v>
      </c>
      <c r="E3737">
        <f>IF(LEFT(D3737,6)="CLIENT",IFERROR(VLOOKUP(C3737,Config_Carteiras!$A:$B,2,FALSE),1),"")</f>
        <v>1</v>
      </c>
      <c r="F3737" s="25">
        <v>1447.65</v>
      </c>
      <c r="G3737" s="28">
        <f>IF(LEFT(D3737,6)="CLIENT",IF(E3737=0,WORKDAY(A3737-1,1,Dias_Sem_Compensacao!$A$2:$A$500),WORKDAY(A3737,E3737,Dias_Sem_Compensacao!$A$2:$A$500)),"")</f>
        <v>46344</v>
      </c>
      <c r="H3737" s="25">
        <v>0</v>
      </c>
      <c r="I3737" s="28">
        <v>46343</v>
      </c>
      <c r="J3737" t="s">
        <v>3020</v>
      </c>
      <c r="K3737" t="s">
        <v>3021</v>
      </c>
    </row>
    <row r="3738" spans="1:11" hidden="1">
      <c r="A3738" s="28">
        <v>46343</v>
      </c>
      <c r="B3738" t="s">
        <v>186</v>
      </c>
      <c r="C3738" t="s">
        <v>203</v>
      </c>
      <c r="D3738" t="s">
        <v>217</v>
      </c>
      <c r="E3738">
        <f>IF(LEFT(D3738,6)="CLIENT",IFERROR(VLOOKUP(C3738,Config_Carteiras!$A:$B,2,FALSE),1),"")</f>
        <v>1</v>
      </c>
      <c r="F3738" s="25">
        <v>800</v>
      </c>
      <c r="G3738" s="28">
        <f>IF(LEFT(D3738,6)="CLIENT",IF(E3738=0,WORKDAY(A3738-1,1,Dias_Sem_Compensacao!$A$2:$A$500),WORKDAY(A3738,E3738,Dias_Sem_Compensacao!$A$2:$A$500)),"")</f>
        <v>46344</v>
      </c>
      <c r="H3738" s="25">
        <v>0</v>
      </c>
      <c r="I3738" s="28">
        <v>46343</v>
      </c>
      <c r="J3738" t="s">
        <v>1918</v>
      </c>
      <c r="K3738" t="s">
        <v>3460</v>
      </c>
    </row>
    <row r="3739" spans="1:11" hidden="1">
      <c r="A3739" s="28">
        <v>46344</v>
      </c>
      <c r="B3739" t="s">
        <v>186</v>
      </c>
      <c r="C3739" t="s">
        <v>203</v>
      </c>
      <c r="D3739" t="s">
        <v>217</v>
      </c>
      <c r="E3739">
        <f>IF(LEFT(D3739,6)="CLIENT",IFERROR(VLOOKUP(C3739,Config_Carteiras!$A:$B,2,FALSE),1),"")</f>
        <v>1</v>
      </c>
      <c r="F3739" s="25">
        <v>1766.86</v>
      </c>
      <c r="G3739" s="28">
        <f>IF(LEFT(D3739,6)="CLIENT",IF(E3739=0,WORKDAY(A3739-1,1,Dias_Sem_Compensacao!$A$2:$A$500),WORKDAY(A3739,E3739,Dias_Sem_Compensacao!$A$2:$A$500)),"")</f>
        <v>46345</v>
      </c>
      <c r="H3739" s="25">
        <v>0</v>
      </c>
      <c r="I3739" s="28">
        <v>46344</v>
      </c>
      <c r="J3739" t="s">
        <v>3074</v>
      </c>
      <c r="K3739" t="s">
        <v>3075</v>
      </c>
    </row>
    <row r="3740" spans="1:11" hidden="1">
      <c r="A3740" s="28">
        <v>46344</v>
      </c>
      <c r="B3740" t="s">
        <v>186</v>
      </c>
      <c r="C3740" t="s">
        <v>203</v>
      </c>
      <c r="D3740" t="s">
        <v>217</v>
      </c>
      <c r="E3740">
        <f>IF(LEFT(D3740,6)="CLIENT",IFERROR(VLOOKUP(C3740,Config_Carteiras!$A:$B,2,FALSE),1),"")</f>
        <v>1</v>
      </c>
      <c r="F3740" s="25">
        <v>2011.01</v>
      </c>
      <c r="G3740" s="28">
        <f>IF(LEFT(D3740,6)="CLIENT",IF(E3740=0,WORKDAY(A3740-1,1,Dias_Sem_Compensacao!$A$2:$A$500),WORKDAY(A3740,E3740,Dias_Sem_Compensacao!$A$2:$A$500)),"")</f>
        <v>46345</v>
      </c>
      <c r="H3740" s="25">
        <v>0</v>
      </c>
      <c r="I3740" s="28">
        <v>46344</v>
      </c>
      <c r="J3740" t="s">
        <v>1176</v>
      </c>
      <c r="K3740" t="s">
        <v>3406</v>
      </c>
    </row>
    <row r="3741" spans="1:11" hidden="1">
      <c r="A3741" s="28">
        <v>46344</v>
      </c>
      <c r="B3741" t="s">
        <v>186</v>
      </c>
      <c r="C3741" t="s">
        <v>203</v>
      </c>
      <c r="D3741" t="s">
        <v>217</v>
      </c>
      <c r="E3741">
        <f>IF(LEFT(D3741,6)="CLIENT",IFERROR(VLOOKUP(C3741,Config_Carteiras!$A:$B,2,FALSE),1),"")</f>
        <v>1</v>
      </c>
      <c r="F3741" s="25">
        <v>1433.55</v>
      </c>
      <c r="G3741" s="28">
        <f>IF(LEFT(D3741,6)="CLIENT",IF(E3741=0,WORKDAY(A3741-1,1,Dias_Sem_Compensacao!$A$2:$A$500),WORKDAY(A3741,E3741,Dias_Sem_Compensacao!$A$2:$A$500)),"")</f>
        <v>46345</v>
      </c>
      <c r="H3741" s="25">
        <v>0</v>
      </c>
      <c r="I3741" s="28">
        <v>46344</v>
      </c>
      <c r="J3741" t="s">
        <v>3109</v>
      </c>
      <c r="K3741" t="s">
        <v>3110</v>
      </c>
    </row>
    <row r="3742" spans="1:11" hidden="1">
      <c r="A3742" s="28">
        <v>46344</v>
      </c>
      <c r="B3742" t="s">
        <v>186</v>
      </c>
      <c r="C3742" t="s">
        <v>203</v>
      </c>
      <c r="D3742" t="s">
        <v>217</v>
      </c>
      <c r="E3742">
        <f>IF(LEFT(D3742,6)="CLIENT",IFERROR(VLOOKUP(C3742,Config_Carteiras!$A:$B,2,FALSE),1),"")</f>
        <v>1</v>
      </c>
      <c r="F3742" s="25">
        <v>2986.73</v>
      </c>
      <c r="G3742" s="28">
        <f>IF(LEFT(D3742,6)="CLIENT",IF(E3742=0,WORKDAY(A3742-1,1,Dias_Sem_Compensacao!$A$2:$A$500),WORKDAY(A3742,E3742,Dias_Sem_Compensacao!$A$2:$A$500)),"")</f>
        <v>46345</v>
      </c>
      <c r="H3742" s="25">
        <v>0</v>
      </c>
      <c r="I3742" s="28">
        <v>46344</v>
      </c>
      <c r="J3742" t="s">
        <v>3111</v>
      </c>
      <c r="K3742" t="s">
        <v>3112</v>
      </c>
    </row>
    <row r="3743" spans="1:11" hidden="1">
      <c r="A3743" s="28">
        <v>46344</v>
      </c>
      <c r="B3743" t="s">
        <v>186</v>
      </c>
      <c r="C3743" t="s">
        <v>203</v>
      </c>
      <c r="D3743" t="s">
        <v>217</v>
      </c>
      <c r="E3743">
        <f>IF(LEFT(D3743,6)="CLIENT",IFERROR(VLOOKUP(C3743,Config_Carteiras!$A:$B,2,FALSE),1),"")</f>
        <v>1</v>
      </c>
      <c r="F3743" s="25">
        <v>18240</v>
      </c>
      <c r="G3743" s="28">
        <f>IF(LEFT(D3743,6)="CLIENT",IF(E3743=0,WORKDAY(A3743-1,1,Dias_Sem_Compensacao!$A$2:$A$500),WORKDAY(A3743,E3743,Dias_Sem_Compensacao!$A$2:$A$500)),"")</f>
        <v>46345</v>
      </c>
      <c r="H3743" s="25">
        <v>0</v>
      </c>
      <c r="I3743" s="28">
        <v>46344</v>
      </c>
      <c r="J3743" t="s">
        <v>1392</v>
      </c>
      <c r="K3743" t="s">
        <v>3407</v>
      </c>
    </row>
    <row r="3744" spans="1:11" hidden="1">
      <c r="A3744" s="28">
        <v>46349</v>
      </c>
      <c r="B3744" t="s">
        <v>186</v>
      </c>
      <c r="C3744" t="s">
        <v>203</v>
      </c>
      <c r="D3744" t="s">
        <v>217</v>
      </c>
      <c r="E3744">
        <f>IF(LEFT(D3744,6)="CLIENT",IFERROR(VLOOKUP(C3744,Config_Carteiras!$A:$B,2,FALSE),1),"")</f>
        <v>1</v>
      </c>
      <c r="F3744" s="25">
        <v>1209.28</v>
      </c>
      <c r="G3744" s="28">
        <f>IF(LEFT(D3744,6)="CLIENT",IF(E3744=0,WORKDAY(A3744-1,1,Dias_Sem_Compensacao!$A$2:$A$500),WORKDAY(A3744,E3744,Dias_Sem_Compensacao!$A$2:$A$500)),"")</f>
        <v>46350</v>
      </c>
      <c r="H3744" s="25">
        <v>0</v>
      </c>
      <c r="I3744" s="28">
        <v>46349</v>
      </c>
      <c r="J3744" t="s">
        <v>3166</v>
      </c>
      <c r="K3744" t="s">
        <v>3167</v>
      </c>
    </row>
    <row r="3745" spans="1:11" hidden="1">
      <c r="A3745" s="28">
        <v>46349</v>
      </c>
      <c r="B3745" t="s">
        <v>186</v>
      </c>
      <c r="C3745" t="s">
        <v>203</v>
      </c>
      <c r="D3745" t="s">
        <v>217</v>
      </c>
      <c r="E3745">
        <f>IF(LEFT(D3745,6)="CLIENT",IFERROR(VLOOKUP(C3745,Config_Carteiras!$A:$B,2,FALSE),1),"")</f>
        <v>1</v>
      </c>
      <c r="F3745" s="25">
        <v>3945</v>
      </c>
      <c r="G3745" s="28">
        <f>IF(LEFT(D3745,6)="CLIENT",IF(E3745=0,WORKDAY(A3745-1,1,Dias_Sem_Compensacao!$A$2:$A$500),WORKDAY(A3745,E3745,Dias_Sem_Compensacao!$A$2:$A$500)),"")</f>
        <v>46350</v>
      </c>
      <c r="H3745" s="25">
        <v>0</v>
      </c>
      <c r="I3745" s="28">
        <v>46349</v>
      </c>
      <c r="J3745" t="s">
        <v>1016</v>
      </c>
      <c r="K3745" t="s">
        <v>2613</v>
      </c>
    </row>
    <row r="3746" spans="1:11" hidden="1">
      <c r="A3746" s="28">
        <v>46349</v>
      </c>
      <c r="B3746" t="s">
        <v>186</v>
      </c>
      <c r="C3746" t="s">
        <v>203</v>
      </c>
      <c r="D3746" t="s">
        <v>217</v>
      </c>
      <c r="E3746">
        <f>IF(LEFT(D3746,6)="CLIENT",IFERROR(VLOOKUP(C3746,Config_Carteiras!$A:$B,2,FALSE),1),"")</f>
        <v>1</v>
      </c>
      <c r="F3746" s="25">
        <v>589.9</v>
      </c>
      <c r="G3746" s="28">
        <f>IF(LEFT(D3746,6)="CLIENT",IF(E3746=0,WORKDAY(A3746-1,1,Dias_Sem_Compensacao!$A$2:$A$500),WORKDAY(A3746,E3746,Dias_Sem_Compensacao!$A$2:$A$500)),"")</f>
        <v>46350</v>
      </c>
      <c r="H3746" s="25">
        <v>0</v>
      </c>
      <c r="I3746" s="28">
        <v>46349</v>
      </c>
      <c r="J3746" t="s">
        <v>3379</v>
      </c>
      <c r="K3746" t="s">
        <v>3380</v>
      </c>
    </row>
    <row r="3747" spans="1:11" hidden="1">
      <c r="A3747" s="28">
        <v>46349</v>
      </c>
      <c r="B3747" t="s">
        <v>186</v>
      </c>
      <c r="C3747" t="s">
        <v>203</v>
      </c>
      <c r="D3747" t="s">
        <v>217</v>
      </c>
      <c r="E3747">
        <f>IF(LEFT(D3747,6)="CLIENT",IFERROR(VLOOKUP(C3747,Config_Carteiras!$A:$B,2,FALSE),1),"")</f>
        <v>1</v>
      </c>
      <c r="F3747" s="25">
        <v>1034.0899999999999</v>
      </c>
      <c r="G3747" s="28">
        <f>IF(LEFT(D3747,6)="CLIENT",IF(E3747=0,WORKDAY(A3747-1,1,Dias_Sem_Compensacao!$A$2:$A$500),WORKDAY(A3747,E3747,Dias_Sem_Compensacao!$A$2:$A$500)),"")</f>
        <v>46350</v>
      </c>
      <c r="H3747" s="25">
        <v>0</v>
      </c>
      <c r="I3747" s="28">
        <v>46349</v>
      </c>
      <c r="J3747" t="s">
        <v>3383</v>
      </c>
      <c r="K3747" t="s">
        <v>3384</v>
      </c>
    </row>
    <row r="3748" spans="1:11" hidden="1">
      <c r="A3748" s="28">
        <v>46350</v>
      </c>
      <c r="B3748" t="s">
        <v>186</v>
      </c>
      <c r="C3748" t="s">
        <v>203</v>
      </c>
      <c r="D3748" t="s">
        <v>217</v>
      </c>
      <c r="E3748">
        <f>IF(LEFT(D3748,6)="CLIENT",IFERROR(VLOOKUP(C3748,Config_Carteiras!$A:$B,2,FALSE),1),"")</f>
        <v>1</v>
      </c>
      <c r="F3748" s="25">
        <v>1863.12</v>
      </c>
      <c r="G3748" s="28">
        <f>IF(LEFT(D3748,6)="CLIENT",IF(E3748=0,WORKDAY(A3748-1,1,Dias_Sem_Compensacao!$A$2:$A$500),WORKDAY(A3748,E3748,Dias_Sem_Compensacao!$A$2:$A$500)),"")</f>
        <v>46351</v>
      </c>
      <c r="H3748" s="25">
        <v>0</v>
      </c>
      <c r="I3748" s="28">
        <v>46350</v>
      </c>
      <c r="J3748" t="s">
        <v>3333</v>
      </c>
      <c r="K3748" t="s">
        <v>3334</v>
      </c>
    </row>
    <row r="3749" spans="1:11" hidden="1">
      <c r="A3749" s="28">
        <v>46353</v>
      </c>
      <c r="B3749" t="s">
        <v>186</v>
      </c>
      <c r="C3749" t="s">
        <v>203</v>
      </c>
      <c r="D3749" t="s">
        <v>217</v>
      </c>
      <c r="E3749">
        <f>IF(LEFT(D3749,6)="CLIENT",IFERROR(VLOOKUP(C3749,Config_Carteiras!$A:$B,2,FALSE),1),"")</f>
        <v>1</v>
      </c>
      <c r="F3749" s="25">
        <v>817.22</v>
      </c>
      <c r="G3749" s="28">
        <f>IF(LEFT(D3749,6)="CLIENT",IF(E3749=0,WORKDAY(A3749-1,1,Dias_Sem_Compensacao!$A$2:$A$500),WORKDAY(A3749,E3749,Dias_Sem_Compensacao!$A$2:$A$500)),"")</f>
        <v>46356</v>
      </c>
      <c r="H3749" s="25">
        <v>0</v>
      </c>
      <c r="I3749" s="28">
        <v>46353</v>
      </c>
      <c r="J3749" t="s">
        <v>3456</v>
      </c>
      <c r="K3749" t="s">
        <v>3457</v>
      </c>
    </row>
    <row r="3750" spans="1:11" hidden="1">
      <c r="A3750" s="28">
        <v>46353</v>
      </c>
      <c r="B3750" t="s">
        <v>186</v>
      </c>
      <c r="C3750" t="s">
        <v>203</v>
      </c>
      <c r="D3750" t="s">
        <v>217</v>
      </c>
      <c r="E3750">
        <f>IF(LEFT(D3750,6)="CLIENT",IFERROR(VLOOKUP(C3750,Config_Carteiras!$A:$B,2,FALSE),1),"")</f>
        <v>1</v>
      </c>
      <c r="F3750" s="25">
        <v>801.21</v>
      </c>
      <c r="G3750" s="28">
        <f>IF(LEFT(D3750,6)="CLIENT",IF(E3750=0,WORKDAY(A3750-1,1,Dias_Sem_Compensacao!$A$2:$A$500),WORKDAY(A3750,E3750,Dias_Sem_Compensacao!$A$2:$A$500)),"")</f>
        <v>46356</v>
      </c>
      <c r="H3750" s="25">
        <v>0</v>
      </c>
      <c r="I3750" s="28">
        <v>46353</v>
      </c>
      <c r="J3750" t="s">
        <v>1918</v>
      </c>
      <c r="K3750" t="s">
        <v>3460</v>
      </c>
    </row>
    <row r="3751" spans="1:11" hidden="1">
      <c r="A3751" s="28">
        <v>46356</v>
      </c>
      <c r="B3751" t="s">
        <v>186</v>
      </c>
      <c r="C3751" t="s">
        <v>203</v>
      </c>
      <c r="D3751" t="s">
        <v>217</v>
      </c>
      <c r="E3751">
        <f>IF(LEFT(D3751,6)="CLIENT",IFERROR(VLOOKUP(C3751,Config_Carteiras!$A:$B,2,FALSE),1),"")</f>
        <v>1</v>
      </c>
      <c r="F3751" s="25">
        <v>4100.32</v>
      </c>
      <c r="G3751" s="28">
        <f>IF(LEFT(D3751,6)="CLIENT",IF(E3751=0,WORKDAY(A3751-1,1,Dias_Sem_Compensacao!$A$2:$A$500),WORKDAY(A3751,E3751,Dias_Sem_Compensacao!$A$2:$A$500)),"")</f>
        <v>46357</v>
      </c>
      <c r="H3751" s="25">
        <v>0</v>
      </c>
      <c r="I3751" s="28">
        <v>46356</v>
      </c>
      <c r="J3751" t="s">
        <v>1576</v>
      </c>
      <c r="K3751" t="s">
        <v>1577</v>
      </c>
    </row>
    <row r="3752" spans="1:11" hidden="1">
      <c r="A3752" s="28">
        <v>46359</v>
      </c>
      <c r="B3752" t="s">
        <v>186</v>
      </c>
      <c r="C3752" t="s">
        <v>203</v>
      </c>
      <c r="D3752" t="s">
        <v>217</v>
      </c>
      <c r="E3752">
        <f>IF(LEFT(D3752,6)="CLIENT",IFERROR(VLOOKUP(C3752,Config_Carteiras!$A:$B,2,FALSE),1),"")</f>
        <v>1</v>
      </c>
      <c r="F3752" s="25">
        <v>3955.67</v>
      </c>
      <c r="G3752" s="28">
        <f>IF(LEFT(D3752,6)="CLIENT",IF(E3752=0,WORKDAY(A3752-1,1,Dias_Sem_Compensacao!$A$2:$A$500),WORKDAY(A3752,E3752,Dias_Sem_Compensacao!$A$2:$A$500)),"")</f>
        <v>46360</v>
      </c>
      <c r="H3752" s="25">
        <v>0</v>
      </c>
      <c r="I3752" s="28">
        <v>46359</v>
      </c>
      <c r="J3752" t="s">
        <v>1016</v>
      </c>
      <c r="K3752" t="s">
        <v>2613</v>
      </c>
    </row>
    <row r="3753" spans="1:11" hidden="1">
      <c r="A3753" s="28">
        <v>46280</v>
      </c>
      <c r="B3753" t="s">
        <v>3461</v>
      </c>
      <c r="C3753" t="s">
        <v>204</v>
      </c>
      <c r="D3753" t="s">
        <v>3462</v>
      </c>
      <c r="E3753" t="str">
        <f>IF(LEFT(D3753,6)="CLIENT",IFERROR(VLOOKUP(C3753,Config_Carteiras!$A:$B,2,FALSE),1),"")</f>
        <v/>
      </c>
      <c r="F3753" s="25">
        <v>0</v>
      </c>
      <c r="G3753" s="28" t="str">
        <f>IF(LEFT(D3753,6)="CLIENT",IF(E3753=0,WORKDAY(A3753-1,1,Dias_Sem_Compensacao!$A$2:$A$500),WORKDAY(A3753,E3753,Dias_Sem_Compensacao!$A$2:$A$500)),"")</f>
        <v/>
      </c>
      <c r="H3753" s="25">
        <v>1253.27</v>
      </c>
      <c r="I3753" s="28">
        <v>46280</v>
      </c>
      <c r="J3753" t="s">
        <v>3463</v>
      </c>
      <c r="K3753" t="s">
        <v>3464</v>
      </c>
    </row>
    <row r="3754" spans="1:11" hidden="1">
      <c r="A3754" s="28">
        <v>46305</v>
      </c>
      <c r="B3754" t="s">
        <v>3461</v>
      </c>
      <c r="C3754" t="s">
        <v>204</v>
      </c>
      <c r="D3754" t="s">
        <v>3462</v>
      </c>
      <c r="E3754" t="str">
        <f>IF(LEFT(D3754,6)="CLIENT",IFERROR(VLOOKUP(C3754,Config_Carteiras!$A:$B,2,FALSE),1),"")</f>
        <v/>
      </c>
      <c r="F3754" s="25">
        <v>0</v>
      </c>
      <c r="G3754" s="28" t="str">
        <f>IF(LEFT(D3754,6)="CLIENT",IF(E3754=0,WORKDAY(A3754-1,1,Dias_Sem_Compensacao!$A$2:$A$500),WORKDAY(A3754,E3754,Dias_Sem_Compensacao!$A$2:$A$500)),"")</f>
        <v/>
      </c>
      <c r="H3754" s="25">
        <v>43.8</v>
      </c>
      <c r="I3754" s="28">
        <v>46305</v>
      </c>
      <c r="J3754" t="s">
        <v>2789</v>
      </c>
      <c r="K3754" t="s">
        <v>3465</v>
      </c>
    </row>
    <row r="3755" spans="1:11" hidden="1">
      <c r="A3755" s="28">
        <v>46310</v>
      </c>
      <c r="B3755" t="s">
        <v>3461</v>
      </c>
      <c r="C3755" t="s">
        <v>204</v>
      </c>
      <c r="D3755" t="s">
        <v>3462</v>
      </c>
      <c r="E3755" t="str">
        <f>IF(LEFT(D3755,6)="CLIENT",IFERROR(VLOOKUP(C3755,Config_Carteiras!$A:$B,2,FALSE),1),"")</f>
        <v/>
      </c>
      <c r="F3755" s="25">
        <v>0</v>
      </c>
      <c r="G3755" s="28" t="str">
        <f>IF(LEFT(D3755,6)="CLIENT",IF(E3755=0,WORKDAY(A3755-1,1,Dias_Sem_Compensacao!$A$2:$A$500),WORKDAY(A3755,E3755,Dias_Sem_Compensacao!$A$2:$A$500)),"")</f>
        <v/>
      </c>
      <c r="H3755" s="25">
        <v>640.14</v>
      </c>
      <c r="I3755" s="28">
        <v>46310</v>
      </c>
      <c r="J3755" t="s">
        <v>3463</v>
      </c>
      <c r="K3755" t="s">
        <v>3466</v>
      </c>
    </row>
    <row r="3756" spans="1:11" hidden="1">
      <c r="A3756" s="28">
        <v>46310</v>
      </c>
      <c r="B3756" t="s">
        <v>3461</v>
      </c>
      <c r="C3756" t="s">
        <v>204</v>
      </c>
      <c r="D3756" t="s">
        <v>3462</v>
      </c>
      <c r="E3756" t="str">
        <f>IF(LEFT(D3756,6)="CLIENT",IFERROR(VLOOKUP(C3756,Config_Carteiras!$A:$B,2,FALSE),1),"")</f>
        <v/>
      </c>
      <c r="F3756" s="25">
        <v>0</v>
      </c>
      <c r="G3756" s="28" t="str">
        <f>IF(LEFT(D3756,6)="CLIENT",IF(E3756=0,WORKDAY(A3756-1,1,Dias_Sem_Compensacao!$A$2:$A$500),WORKDAY(A3756,E3756,Dias_Sem_Compensacao!$A$2:$A$500)),"")</f>
        <v/>
      </c>
      <c r="H3756" s="25">
        <v>1076.72</v>
      </c>
      <c r="I3756" s="28">
        <v>46310</v>
      </c>
      <c r="K3756" t="s">
        <v>3467</v>
      </c>
    </row>
    <row r="3757" spans="1:11" hidden="1">
      <c r="A3757" s="28">
        <v>46310</v>
      </c>
      <c r="B3757" t="s">
        <v>3461</v>
      </c>
      <c r="C3757" t="s">
        <v>204</v>
      </c>
      <c r="D3757" t="s">
        <v>3462</v>
      </c>
      <c r="E3757" t="str">
        <f>IF(LEFT(D3757,6)="CLIENT",IFERROR(VLOOKUP(C3757,Config_Carteiras!$A:$B,2,FALSE),1),"")</f>
        <v/>
      </c>
      <c r="F3757" s="25">
        <v>0</v>
      </c>
      <c r="G3757" s="28" t="str">
        <f>IF(LEFT(D3757,6)="CLIENT",IF(E3757=0,WORKDAY(A3757-1,1,Dias_Sem_Compensacao!$A$2:$A$500),WORKDAY(A3757,E3757,Dias_Sem_Compensacao!$A$2:$A$500)),"")</f>
        <v/>
      </c>
      <c r="H3757" s="25">
        <v>2997.03</v>
      </c>
      <c r="I3757" s="28">
        <v>46310</v>
      </c>
      <c r="K3757" t="s">
        <v>3468</v>
      </c>
    </row>
    <row r="3758" spans="1:11" hidden="1">
      <c r="A3758" s="28">
        <v>46310</v>
      </c>
      <c r="B3758" t="s">
        <v>3461</v>
      </c>
      <c r="C3758" t="s">
        <v>204</v>
      </c>
      <c r="D3758" t="s">
        <v>3462</v>
      </c>
      <c r="E3758" t="str">
        <f>IF(LEFT(D3758,6)="CLIENT",IFERROR(VLOOKUP(C3758,Config_Carteiras!$A:$B,2,FALSE),1),"")</f>
        <v/>
      </c>
      <c r="F3758" s="25">
        <v>0</v>
      </c>
      <c r="G3758" s="28" t="str">
        <f>IF(LEFT(D3758,6)="CLIENT",IF(E3758=0,WORKDAY(A3758-1,1,Dias_Sem_Compensacao!$A$2:$A$500),WORKDAY(A3758,E3758,Dias_Sem_Compensacao!$A$2:$A$500)),"")</f>
        <v/>
      </c>
      <c r="H3758" s="25">
        <v>276.06</v>
      </c>
      <c r="I3758" s="28">
        <v>46310</v>
      </c>
      <c r="K3758" t="s">
        <v>3469</v>
      </c>
    </row>
    <row r="3759" spans="1:11" hidden="1">
      <c r="A3759" s="28">
        <v>46310</v>
      </c>
      <c r="B3759" t="s">
        <v>3461</v>
      </c>
      <c r="C3759" t="s">
        <v>204</v>
      </c>
      <c r="D3759" t="s">
        <v>3462</v>
      </c>
      <c r="E3759" t="str">
        <f>IF(LEFT(D3759,6)="CLIENT",IFERROR(VLOOKUP(C3759,Config_Carteiras!$A:$B,2,FALSE),1),"")</f>
        <v/>
      </c>
      <c r="F3759" s="25">
        <v>0</v>
      </c>
      <c r="G3759" s="28" t="str">
        <f>IF(LEFT(D3759,6)="CLIENT",IF(E3759=0,WORKDAY(A3759-1,1,Dias_Sem_Compensacao!$A$2:$A$500),WORKDAY(A3759,E3759,Dias_Sem_Compensacao!$A$2:$A$500)),"")</f>
        <v/>
      </c>
      <c r="H3759" s="25">
        <v>242.19</v>
      </c>
      <c r="I3759" s="28">
        <v>46310</v>
      </c>
      <c r="K3759" t="s">
        <v>3470</v>
      </c>
    </row>
    <row r="3760" spans="1:11" hidden="1">
      <c r="A3760" s="28">
        <v>46310</v>
      </c>
      <c r="B3760" t="s">
        <v>3461</v>
      </c>
      <c r="C3760" t="s">
        <v>204</v>
      </c>
      <c r="D3760" t="s">
        <v>3462</v>
      </c>
      <c r="E3760" t="str">
        <f>IF(LEFT(D3760,6)="CLIENT",IFERROR(VLOOKUP(C3760,Config_Carteiras!$A:$B,2,FALSE),1),"")</f>
        <v/>
      </c>
      <c r="F3760" s="25">
        <v>0</v>
      </c>
      <c r="G3760" s="28" t="str">
        <f>IF(LEFT(D3760,6)="CLIENT",IF(E3760=0,WORKDAY(A3760-1,1,Dias_Sem_Compensacao!$A$2:$A$500),WORKDAY(A3760,E3760,Dias_Sem_Compensacao!$A$2:$A$500)),"")</f>
        <v/>
      </c>
      <c r="H3760" s="25">
        <v>3926.01</v>
      </c>
      <c r="I3760" s="28">
        <v>46310</v>
      </c>
      <c r="K3760" t="s">
        <v>3471</v>
      </c>
    </row>
    <row r="3761" spans="1:11" hidden="1">
      <c r="A3761" s="28">
        <v>46310</v>
      </c>
      <c r="B3761" t="s">
        <v>3461</v>
      </c>
      <c r="C3761" t="s">
        <v>204</v>
      </c>
      <c r="D3761" t="s">
        <v>3462</v>
      </c>
      <c r="E3761" t="str">
        <f>IF(LEFT(D3761,6)="CLIENT",IFERROR(VLOOKUP(C3761,Config_Carteiras!$A:$B,2,FALSE),1),"")</f>
        <v/>
      </c>
      <c r="F3761" s="25">
        <v>0</v>
      </c>
      <c r="G3761" s="28" t="str">
        <f>IF(LEFT(D3761,6)="CLIENT",IF(E3761=0,WORKDAY(A3761-1,1,Dias_Sem_Compensacao!$A$2:$A$500),WORKDAY(A3761,E3761,Dias_Sem_Compensacao!$A$2:$A$500)),"")</f>
        <v/>
      </c>
      <c r="H3761" s="25">
        <v>875.57</v>
      </c>
      <c r="I3761" s="28">
        <v>46310</v>
      </c>
      <c r="K3761" t="s">
        <v>3472</v>
      </c>
    </row>
    <row r="3762" spans="1:11" hidden="1">
      <c r="A3762" s="28">
        <v>46310</v>
      </c>
      <c r="B3762" t="s">
        <v>3461</v>
      </c>
      <c r="C3762" t="s">
        <v>204</v>
      </c>
      <c r="D3762" t="s">
        <v>3462</v>
      </c>
      <c r="E3762" t="str">
        <f>IF(LEFT(D3762,6)="CLIENT",IFERROR(VLOOKUP(C3762,Config_Carteiras!$A:$B,2,FALSE),1),"")</f>
        <v/>
      </c>
      <c r="F3762" s="25">
        <v>0</v>
      </c>
      <c r="G3762" s="28" t="str">
        <f>IF(LEFT(D3762,6)="CLIENT",IF(E3762=0,WORKDAY(A3762-1,1,Dias_Sem_Compensacao!$A$2:$A$500),WORKDAY(A3762,E3762,Dias_Sem_Compensacao!$A$2:$A$500)),"")</f>
        <v/>
      </c>
      <c r="H3762" s="25">
        <v>213.07</v>
      </c>
      <c r="I3762" s="28">
        <v>46310</v>
      </c>
      <c r="K3762" t="s">
        <v>3473</v>
      </c>
    </row>
    <row r="3763" spans="1:11" hidden="1">
      <c r="A3763" s="28">
        <v>46310</v>
      </c>
      <c r="B3763" t="s">
        <v>3461</v>
      </c>
      <c r="C3763" t="s">
        <v>204</v>
      </c>
      <c r="D3763" t="s">
        <v>3462</v>
      </c>
      <c r="E3763" t="str">
        <f>IF(LEFT(D3763,6)="CLIENT",IFERROR(VLOOKUP(C3763,Config_Carteiras!$A:$B,2,FALSE),1),"")</f>
        <v/>
      </c>
      <c r="F3763" s="25">
        <v>0</v>
      </c>
      <c r="G3763" s="28" t="str">
        <f>IF(LEFT(D3763,6)="CLIENT",IF(E3763=0,WORKDAY(A3763-1,1,Dias_Sem_Compensacao!$A$2:$A$500),WORKDAY(A3763,E3763,Dias_Sem_Compensacao!$A$2:$A$500)),"")</f>
        <v/>
      </c>
      <c r="H3763" s="25">
        <v>1996.61</v>
      </c>
      <c r="I3763" s="28">
        <v>46310</v>
      </c>
      <c r="K3763" t="s">
        <v>3474</v>
      </c>
    </row>
    <row r="3764" spans="1:11" hidden="1">
      <c r="A3764" s="28">
        <v>46310</v>
      </c>
      <c r="B3764" t="s">
        <v>3461</v>
      </c>
      <c r="C3764" t="s">
        <v>204</v>
      </c>
      <c r="D3764" t="s">
        <v>3462</v>
      </c>
      <c r="E3764" t="str">
        <f>IF(LEFT(D3764,6)="CLIENT",IFERROR(VLOOKUP(C3764,Config_Carteiras!$A:$B,2,FALSE),1),"")</f>
        <v/>
      </c>
      <c r="F3764" s="25">
        <v>0</v>
      </c>
      <c r="G3764" s="28" t="str">
        <f>IF(LEFT(D3764,6)="CLIENT",IF(E3764=0,WORKDAY(A3764-1,1,Dias_Sem_Compensacao!$A$2:$A$500),WORKDAY(A3764,E3764,Dias_Sem_Compensacao!$A$2:$A$500)),"")</f>
        <v/>
      </c>
      <c r="H3764" s="25">
        <v>274.05</v>
      </c>
      <c r="I3764" s="28">
        <v>46310</v>
      </c>
      <c r="K3764" t="s">
        <v>3475</v>
      </c>
    </row>
    <row r="3765" spans="1:11" hidden="1">
      <c r="A3765" s="28">
        <v>46310</v>
      </c>
      <c r="B3765" t="s">
        <v>3461</v>
      </c>
      <c r="C3765" t="s">
        <v>204</v>
      </c>
      <c r="D3765" t="s">
        <v>3462</v>
      </c>
      <c r="E3765" t="str">
        <f>IF(LEFT(D3765,6)="CLIENT",IFERROR(VLOOKUP(C3765,Config_Carteiras!$A:$B,2,FALSE),1),"")</f>
        <v/>
      </c>
      <c r="F3765" s="25">
        <v>0</v>
      </c>
      <c r="G3765" s="28" t="str">
        <f>IF(LEFT(D3765,6)="CLIENT",IF(E3765=0,WORKDAY(A3765-1,1,Dias_Sem_Compensacao!$A$2:$A$500),WORKDAY(A3765,E3765,Dias_Sem_Compensacao!$A$2:$A$500)),"")</f>
        <v/>
      </c>
      <c r="H3765" s="25">
        <v>1439.27</v>
      </c>
      <c r="I3765" s="28">
        <v>46310</v>
      </c>
      <c r="K3765" t="s">
        <v>3476</v>
      </c>
    </row>
    <row r="3766" spans="1:11" hidden="1">
      <c r="A3766" s="28">
        <v>46310</v>
      </c>
      <c r="B3766" t="s">
        <v>3461</v>
      </c>
      <c r="C3766" t="s">
        <v>204</v>
      </c>
      <c r="D3766" t="s">
        <v>3462</v>
      </c>
      <c r="E3766" t="str">
        <f>IF(LEFT(D3766,6)="CLIENT",IFERROR(VLOOKUP(C3766,Config_Carteiras!$A:$B,2,FALSE),1),"")</f>
        <v/>
      </c>
      <c r="F3766" s="25">
        <v>0</v>
      </c>
      <c r="G3766" s="28" t="str">
        <f>IF(LEFT(D3766,6)="CLIENT",IF(E3766=0,WORKDAY(A3766-1,1,Dias_Sem_Compensacao!$A$2:$A$500),WORKDAY(A3766,E3766,Dias_Sem_Compensacao!$A$2:$A$500)),"")</f>
        <v/>
      </c>
      <c r="H3766" s="25">
        <v>161.80000000000001</v>
      </c>
      <c r="I3766" s="28">
        <v>46310</v>
      </c>
      <c r="K3766" t="s">
        <v>3477</v>
      </c>
    </row>
    <row r="3767" spans="1:11" hidden="1">
      <c r="A3767" s="28">
        <v>46310</v>
      </c>
      <c r="B3767" t="s">
        <v>3461</v>
      </c>
      <c r="C3767" t="s">
        <v>204</v>
      </c>
      <c r="D3767" t="s">
        <v>3462</v>
      </c>
      <c r="E3767" t="str">
        <f>IF(LEFT(D3767,6)="CLIENT",IFERROR(VLOOKUP(C3767,Config_Carteiras!$A:$B,2,FALSE),1),"")</f>
        <v/>
      </c>
      <c r="F3767" s="25">
        <v>0</v>
      </c>
      <c r="G3767" s="28" t="str">
        <f>IF(LEFT(D3767,6)="CLIENT",IF(E3767=0,WORKDAY(A3767-1,1,Dias_Sem_Compensacao!$A$2:$A$500),WORKDAY(A3767,E3767,Dias_Sem_Compensacao!$A$2:$A$500)),"")</f>
        <v/>
      </c>
      <c r="H3767" s="25">
        <v>328.86</v>
      </c>
      <c r="I3767" s="28">
        <v>46310</v>
      </c>
      <c r="K3767" t="s">
        <v>3478</v>
      </c>
    </row>
    <row r="3768" spans="1:11" hidden="1">
      <c r="A3768" s="28">
        <v>46310</v>
      </c>
      <c r="B3768" t="s">
        <v>3461</v>
      </c>
      <c r="C3768" t="s">
        <v>204</v>
      </c>
      <c r="D3768" t="s">
        <v>3462</v>
      </c>
      <c r="E3768" t="str">
        <f>IF(LEFT(D3768,6)="CLIENT",IFERROR(VLOOKUP(C3768,Config_Carteiras!$A:$B,2,FALSE),1),"")</f>
        <v/>
      </c>
      <c r="F3768" s="25">
        <v>0</v>
      </c>
      <c r="G3768" s="28" t="str">
        <f>IF(LEFT(D3768,6)="CLIENT",IF(E3768=0,WORKDAY(A3768-1,1,Dias_Sem_Compensacao!$A$2:$A$500),WORKDAY(A3768,E3768,Dias_Sem_Compensacao!$A$2:$A$500)),"")</f>
        <v/>
      </c>
      <c r="H3768" s="25">
        <v>646.83000000000004</v>
      </c>
      <c r="I3768" s="28">
        <v>46310</v>
      </c>
      <c r="K3768" t="s">
        <v>3479</v>
      </c>
    </row>
    <row r="3769" spans="1:11" hidden="1">
      <c r="A3769" s="28">
        <v>46301</v>
      </c>
      <c r="B3769" t="s">
        <v>3480</v>
      </c>
      <c r="C3769" t="s">
        <v>205</v>
      </c>
      <c r="D3769" t="s">
        <v>3462</v>
      </c>
      <c r="E3769" t="str">
        <f>IF(LEFT(D3769,6)="CLIENT",IFERROR(VLOOKUP(C3769,Config_Carteiras!$A:$B,2,FALSE),1),"")</f>
        <v/>
      </c>
      <c r="F3769" s="25">
        <v>0</v>
      </c>
      <c r="G3769" s="28" t="str">
        <f>IF(LEFT(D3769,6)="CLIENT",IF(E3769=0,WORKDAY(A3769-1,1,Dias_Sem_Compensacao!$A$2:$A$500),WORKDAY(A3769,E3769,Dias_Sem_Compensacao!$A$2:$A$500)),"")</f>
        <v/>
      </c>
      <c r="H3769" s="25">
        <v>324.5</v>
      </c>
      <c r="I3769" s="28">
        <v>46301</v>
      </c>
      <c r="J3769" t="s">
        <v>3481</v>
      </c>
      <c r="K3769" t="s">
        <v>3482</v>
      </c>
    </row>
    <row r="3770" spans="1:11" hidden="1">
      <c r="A3770" s="28">
        <v>46304</v>
      </c>
      <c r="B3770" t="s">
        <v>3480</v>
      </c>
      <c r="C3770" t="s">
        <v>205</v>
      </c>
      <c r="D3770" t="s">
        <v>3462</v>
      </c>
      <c r="E3770" t="str">
        <f>IF(LEFT(D3770,6)="CLIENT",IFERROR(VLOOKUP(C3770,Config_Carteiras!$A:$B,2,FALSE),1),"")</f>
        <v/>
      </c>
      <c r="F3770" s="25">
        <v>0</v>
      </c>
      <c r="G3770" s="28" t="str">
        <f>IF(LEFT(D3770,6)="CLIENT",IF(E3770=0,WORKDAY(A3770-1,1,Dias_Sem_Compensacao!$A$2:$A$500),WORKDAY(A3770,E3770,Dias_Sem_Compensacao!$A$2:$A$500)),"")</f>
        <v/>
      </c>
      <c r="H3770" s="25">
        <v>1398.64</v>
      </c>
      <c r="I3770" s="28">
        <v>46304</v>
      </c>
      <c r="J3770" t="s">
        <v>3483</v>
      </c>
      <c r="K3770" t="s">
        <v>3484</v>
      </c>
    </row>
    <row r="3771" spans="1:11" hidden="1">
      <c r="A3771" s="28">
        <v>46304</v>
      </c>
      <c r="B3771" t="s">
        <v>3480</v>
      </c>
      <c r="C3771" t="s">
        <v>205</v>
      </c>
      <c r="D3771" t="s">
        <v>3462</v>
      </c>
      <c r="E3771" t="str">
        <f>IF(LEFT(D3771,6)="CLIENT",IFERROR(VLOOKUP(C3771,Config_Carteiras!$A:$B,2,FALSE),1),"")</f>
        <v/>
      </c>
      <c r="F3771" s="25">
        <v>0</v>
      </c>
      <c r="G3771" s="28" t="str">
        <f>IF(LEFT(D3771,6)="CLIENT",IF(E3771=0,WORKDAY(A3771-1,1,Dias_Sem_Compensacao!$A$2:$A$500),WORKDAY(A3771,E3771,Dias_Sem_Compensacao!$A$2:$A$500)),"")</f>
        <v/>
      </c>
      <c r="H3771" s="25">
        <v>344.59</v>
      </c>
      <c r="I3771" s="28">
        <v>46304</v>
      </c>
      <c r="J3771" t="s">
        <v>3485</v>
      </c>
      <c r="K3771" t="s">
        <v>3486</v>
      </c>
    </row>
    <row r="3772" spans="1:11" hidden="1">
      <c r="A3772" s="28">
        <v>46304</v>
      </c>
      <c r="B3772" t="s">
        <v>3480</v>
      </c>
      <c r="C3772" t="s">
        <v>205</v>
      </c>
      <c r="D3772" t="s">
        <v>3462</v>
      </c>
      <c r="E3772" t="str">
        <f>IF(LEFT(D3772,6)="CLIENT",IFERROR(VLOOKUP(C3772,Config_Carteiras!$A:$B,2,FALSE),1),"")</f>
        <v/>
      </c>
      <c r="F3772" s="25">
        <v>0</v>
      </c>
      <c r="G3772" s="28" t="str">
        <f>IF(LEFT(D3772,6)="CLIENT",IF(E3772=0,WORKDAY(A3772-1,1,Dias_Sem_Compensacao!$A$2:$A$500),WORKDAY(A3772,E3772,Dias_Sem_Compensacao!$A$2:$A$500)),"")</f>
        <v/>
      </c>
      <c r="H3772" s="25">
        <v>460.1</v>
      </c>
      <c r="I3772" s="28">
        <v>46304</v>
      </c>
      <c r="J3772" t="s">
        <v>3487</v>
      </c>
      <c r="K3772" t="s">
        <v>3484</v>
      </c>
    </row>
    <row r="3773" spans="1:11" hidden="1">
      <c r="A3773" s="28">
        <v>46305</v>
      </c>
      <c r="B3773" t="s">
        <v>3480</v>
      </c>
      <c r="C3773" t="s">
        <v>205</v>
      </c>
      <c r="D3773" t="s">
        <v>3462</v>
      </c>
      <c r="E3773" t="str">
        <f>IF(LEFT(D3773,6)="CLIENT",IFERROR(VLOOKUP(C3773,Config_Carteiras!$A:$B,2,FALSE),1),"")</f>
        <v/>
      </c>
      <c r="F3773" s="25">
        <v>0</v>
      </c>
      <c r="G3773" s="28" t="str">
        <f>IF(LEFT(D3773,6)="CLIENT",IF(E3773=0,WORKDAY(A3773-1,1,Dias_Sem_Compensacao!$A$2:$A$500),WORKDAY(A3773,E3773,Dias_Sem_Compensacao!$A$2:$A$500)),"")</f>
        <v/>
      </c>
      <c r="H3773" s="25">
        <v>3106.8</v>
      </c>
      <c r="I3773" s="28">
        <v>46305</v>
      </c>
      <c r="J3773" t="s">
        <v>3488</v>
      </c>
      <c r="K3773" t="s">
        <v>3489</v>
      </c>
    </row>
    <row r="3774" spans="1:11" hidden="1">
      <c r="A3774" s="28">
        <v>46309</v>
      </c>
      <c r="B3774" t="s">
        <v>3480</v>
      </c>
      <c r="C3774" t="s">
        <v>205</v>
      </c>
      <c r="D3774" t="s">
        <v>3462</v>
      </c>
      <c r="E3774" t="str">
        <f>IF(LEFT(D3774,6)="CLIENT",IFERROR(VLOOKUP(C3774,Config_Carteiras!$A:$B,2,FALSE),1),"")</f>
        <v/>
      </c>
      <c r="F3774" s="25">
        <v>0</v>
      </c>
      <c r="G3774" s="28" t="str">
        <f>IF(LEFT(D3774,6)="CLIENT",IF(E3774=0,WORKDAY(A3774-1,1,Dias_Sem_Compensacao!$A$2:$A$500),WORKDAY(A3774,E3774,Dias_Sem_Compensacao!$A$2:$A$500)),"")</f>
        <v/>
      </c>
      <c r="H3774" s="25">
        <v>199</v>
      </c>
      <c r="I3774" s="28">
        <v>46309</v>
      </c>
      <c r="J3774" t="s">
        <v>3490</v>
      </c>
      <c r="K3774" t="s">
        <v>3491</v>
      </c>
    </row>
    <row r="3775" spans="1:11" hidden="1">
      <c r="A3775" s="28">
        <v>46336</v>
      </c>
      <c r="B3775" t="s">
        <v>3480</v>
      </c>
      <c r="C3775" t="s">
        <v>205</v>
      </c>
      <c r="D3775" t="s">
        <v>3462</v>
      </c>
      <c r="E3775" t="str">
        <f>IF(LEFT(D3775,6)="CLIENT",IFERROR(VLOOKUP(C3775,Config_Carteiras!$A:$B,2,FALSE),1),"")</f>
        <v/>
      </c>
      <c r="F3775" s="25">
        <v>0</v>
      </c>
      <c r="G3775" s="28" t="str">
        <f>IF(LEFT(D3775,6)="CLIENT",IF(E3775=0,WORKDAY(A3775-1,1,Dias_Sem_Compensacao!$A$2:$A$500),WORKDAY(A3775,E3775,Dias_Sem_Compensacao!$A$2:$A$500)),"")</f>
        <v/>
      </c>
      <c r="H3775" s="25">
        <v>1398.64</v>
      </c>
      <c r="I3775" s="28">
        <v>46336</v>
      </c>
      <c r="J3775" t="s">
        <v>3483</v>
      </c>
      <c r="K3775" t="s">
        <v>49</v>
      </c>
    </row>
    <row r="3776" spans="1:11" hidden="1">
      <c r="A3776" s="28">
        <v>46336</v>
      </c>
      <c r="B3776" t="s">
        <v>3480</v>
      </c>
      <c r="C3776" t="s">
        <v>205</v>
      </c>
      <c r="D3776" t="s">
        <v>3462</v>
      </c>
      <c r="E3776" t="str">
        <f>IF(LEFT(D3776,6)="CLIENT",IFERROR(VLOOKUP(C3776,Config_Carteiras!$A:$B,2,FALSE),1),"")</f>
        <v/>
      </c>
      <c r="F3776" s="25">
        <v>0</v>
      </c>
      <c r="G3776" s="28" t="str">
        <f>IF(LEFT(D3776,6)="CLIENT",IF(E3776=0,WORKDAY(A3776-1,1,Dias_Sem_Compensacao!$A$2:$A$500),WORKDAY(A3776,E3776,Dias_Sem_Compensacao!$A$2:$A$500)),"")</f>
        <v/>
      </c>
      <c r="H3776" s="25">
        <v>344.59</v>
      </c>
      <c r="I3776" s="28">
        <v>46336</v>
      </c>
      <c r="J3776" t="s">
        <v>3485</v>
      </c>
      <c r="K3776" t="s">
        <v>3486</v>
      </c>
    </row>
    <row r="3777" spans="1:11" hidden="1">
      <c r="A3777" s="28">
        <v>46336</v>
      </c>
      <c r="B3777" t="s">
        <v>3480</v>
      </c>
      <c r="C3777" t="s">
        <v>205</v>
      </c>
      <c r="D3777" t="s">
        <v>3462</v>
      </c>
      <c r="E3777" t="str">
        <f>IF(LEFT(D3777,6)="CLIENT",IFERROR(VLOOKUP(C3777,Config_Carteiras!$A:$B,2,FALSE),1),"")</f>
        <v/>
      </c>
      <c r="F3777" s="25">
        <v>0</v>
      </c>
      <c r="G3777" s="28" t="str">
        <f>IF(LEFT(D3777,6)="CLIENT",IF(E3777=0,WORKDAY(A3777-1,1,Dias_Sem_Compensacao!$A$2:$A$500),WORKDAY(A3777,E3777,Dias_Sem_Compensacao!$A$2:$A$500)),"")</f>
        <v/>
      </c>
      <c r="H3777" s="25">
        <v>460.1</v>
      </c>
      <c r="I3777" s="28">
        <v>46336</v>
      </c>
      <c r="J3777" t="s">
        <v>3487</v>
      </c>
      <c r="K3777" t="s">
        <v>3484</v>
      </c>
    </row>
    <row r="3778" spans="1:11" hidden="1">
      <c r="A3778" s="28">
        <v>46366</v>
      </c>
      <c r="B3778" t="s">
        <v>3480</v>
      </c>
      <c r="C3778" t="s">
        <v>205</v>
      </c>
      <c r="D3778" t="s">
        <v>3462</v>
      </c>
      <c r="E3778" t="str">
        <f>IF(LEFT(D3778,6)="CLIENT",IFERROR(VLOOKUP(C3778,Config_Carteiras!$A:$B,2,FALSE),1),"")</f>
        <v/>
      </c>
      <c r="F3778" s="25">
        <v>0</v>
      </c>
      <c r="G3778" s="28" t="str">
        <f>IF(LEFT(D3778,6)="CLIENT",IF(E3778=0,WORKDAY(A3778-1,1,Dias_Sem_Compensacao!$A$2:$A$500),WORKDAY(A3778,E3778,Dias_Sem_Compensacao!$A$2:$A$500)),"")</f>
        <v/>
      </c>
      <c r="H3778" s="25">
        <v>460.1</v>
      </c>
      <c r="I3778" s="28">
        <v>46366</v>
      </c>
      <c r="J3778" t="s">
        <v>3487</v>
      </c>
      <c r="K3778" t="s">
        <v>3484</v>
      </c>
    </row>
    <row r="3779" spans="1:11" hidden="1">
      <c r="A3779" s="28">
        <v>46262</v>
      </c>
      <c r="B3779" t="s">
        <v>187</v>
      </c>
      <c r="C3779" t="s">
        <v>3492</v>
      </c>
      <c r="D3779" t="s">
        <v>217</v>
      </c>
      <c r="E3779">
        <f>IF(LEFT(D3779,6)="CLIENT",IFERROR(VLOOKUP(C3779,Config_Carteiras!$A:$B,2,FALSE),1),"")</f>
        <v>1</v>
      </c>
      <c r="F3779" s="25">
        <v>776</v>
      </c>
      <c r="G3779" s="28">
        <f>IF(LEFT(D3779,6)="CLIENT",IF(E3779=0,WORKDAY(A3779-1,1,Dias_Sem_Compensacao!$A$2:$A$500),WORKDAY(A3779,E3779,Dias_Sem_Compensacao!$A$2:$A$500)),"")</f>
        <v>46265</v>
      </c>
      <c r="H3779" s="25">
        <v>0</v>
      </c>
      <c r="I3779" s="28">
        <v>46262</v>
      </c>
      <c r="J3779" t="s">
        <v>3493</v>
      </c>
      <c r="K3779" t="s">
        <v>3494</v>
      </c>
    </row>
    <row r="3780" spans="1:11" hidden="1">
      <c r="A3780" s="28">
        <v>46262</v>
      </c>
      <c r="B3780" t="s">
        <v>187</v>
      </c>
      <c r="C3780" t="s">
        <v>3492</v>
      </c>
      <c r="D3780" t="s">
        <v>217</v>
      </c>
      <c r="E3780">
        <f>IF(LEFT(D3780,6)="CLIENT",IFERROR(VLOOKUP(C3780,Config_Carteiras!$A:$B,2,FALSE),1),"")</f>
        <v>1</v>
      </c>
      <c r="F3780" s="25">
        <v>2200.69</v>
      </c>
      <c r="G3780" s="28">
        <f>IF(LEFT(D3780,6)="CLIENT",IF(E3780=0,WORKDAY(A3780-1,1,Dias_Sem_Compensacao!$A$2:$A$500),WORKDAY(A3780,E3780,Dias_Sem_Compensacao!$A$2:$A$500)),"")</f>
        <v>46265</v>
      </c>
      <c r="H3780" s="25">
        <v>0</v>
      </c>
      <c r="I3780" s="28">
        <v>46262</v>
      </c>
      <c r="J3780" t="s">
        <v>3495</v>
      </c>
      <c r="K3780" t="s">
        <v>3496</v>
      </c>
    </row>
    <row r="3781" spans="1:11" hidden="1">
      <c r="A3781" s="28">
        <v>46265</v>
      </c>
      <c r="B3781" t="s">
        <v>187</v>
      </c>
      <c r="C3781" t="s">
        <v>3492</v>
      </c>
      <c r="D3781" t="s">
        <v>217</v>
      </c>
      <c r="E3781">
        <f>IF(LEFT(D3781,6)="CLIENT",IFERROR(VLOOKUP(C3781,Config_Carteiras!$A:$B,2,FALSE),1),"")</f>
        <v>1</v>
      </c>
      <c r="F3781" s="25">
        <v>1333</v>
      </c>
      <c r="G3781" s="28">
        <f>IF(LEFT(D3781,6)="CLIENT",IF(E3781=0,WORKDAY(A3781-1,1,Dias_Sem_Compensacao!$A$2:$A$500),WORKDAY(A3781,E3781,Dias_Sem_Compensacao!$A$2:$A$500)),"")</f>
        <v>46266</v>
      </c>
      <c r="H3781" s="25">
        <v>0</v>
      </c>
      <c r="I3781" s="28">
        <v>46265</v>
      </c>
      <c r="J3781" t="s">
        <v>1824</v>
      </c>
      <c r="K3781" t="s">
        <v>3497</v>
      </c>
    </row>
    <row r="3782" spans="1:11" hidden="1">
      <c r="A3782" s="28">
        <v>46267</v>
      </c>
      <c r="B3782" t="s">
        <v>187</v>
      </c>
      <c r="C3782" t="s">
        <v>3492</v>
      </c>
      <c r="D3782" t="s">
        <v>217</v>
      </c>
      <c r="E3782">
        <f>IF(LEFT(D3782,6)="CLIENT",IFERROR(VLOOKUP(C3782,Config_Carteiras!$A:$B,2,FALSE),1),"")</f>
        <v>1</v>
      </c>
      <c r="F3782" s="25">
        <v>473.69</v>
      </c>
      <c r="G3782" s="28">
        <f>IF(LEFT(D3782,6)="CLIENT",IF(E3782=0,WORKDAY(A3782-1,1,Dias_Sem_Compensacao!$A$2:$A$500),WORKDAY(A3782,E3782,Dias_Sem_Compensacao!$A$2:$A$500)),"")</f>
        <v>46268</v>
      </c>
      <c r="H3782" s="25">
        <v>0</v>
      </c>
      <c r="I3782" s="28">
        <v>46267</v>
      </c>
      <c r="J3782" t="s">
        <v>3498</v>
      </c>
      <c r="K3782" t="s">
        <v>3499</v>
      </c>
    </row>
    <row r="3783" spans="1:11" hidden="1">
      <c r="A3783" s="28">
        <v>46273</v>
      </c>
      <c r="B3783" t="s">
        <v>187</v>
      </c>
      <c r="C3783" t="s">
        <v>3492</v>
      </c>
      <c r="D3783" t="s">
        <v>217</v>
      </c>
      <c r="E3783">
        <f>IF(LEFT(D3783,6)="CLIENT",IFERROR(VLOOKUP(C3783,Config_Carteiras!$A:$B,2,FALSE),1),"")</f>
        <v>1</v>
      </c>
      <c r="F3783" s="25">
        <v>745.9</v>
      </c>
      <c r="G3783" s="28">
        <f>IF(LEFT(D3783,6)="CLIENT",IF(E3783=0,WORKDAY(A3783-1,1,Dias_Sem_Compensacao!$A$2:$A$500),WORKDAY(A3783,E3783,Dias_Sem_Compensacao!$A$2:$A$500)),"")</f>
        <v>46274</v>
      </c>
      <c r="H3783" s="25">
        <v>0</v>
      </c>
      <c r="I3783" s="28">
        <v>46273</v>
      </c>
      <c r="J3783" t="s">
        <v>3500</v>
      </c>
      <c r="K3783" t="s">
        <v>3501</v>
      </c>
    </row>
    <row r="3784" spans="1:11" hidden="1">
      <c r="A3784" s="28">
        <v>46273</v>
      </c>
      <c r="B3784" t="s">
        <v>187</v>
      </c>
      <c r="C3784" t="s">
        <v>3492</v>
      </c>
      <c r="D3784" t="s">
        <v>217</v>
      </c>
      <c r="E3784">
        <f>IF(LEFT(D3784,6)="CLIENT",IFERROR(VLOOKUP(C3784,Config_Carteiras!$A:$B,2,FALSE),1),"")</f>
        <v>1</v>
      </c>
      <c r="F3784" s="25">
        <v>3321</v>
      </c>
      <c r="G3784" s="28">
        <f>IF(LEFT(D3784,6)="CLIENT",IF(E3784=0,WORKDAY(A3784-1,1,Dias_Sem_Compensacao!$A$2:$A$500),WORKDAY(A3784,E3784,Dias_Sem_Compensacao!$A$2:$A$500)),"")</f>
        <v>46274</v>
      </c>
      <c r="H3784" s="25">
        <v>0</v>
      </c>
      <c r="I3784" s="28">
        <v>46273</v>
      </c>
      <c r="J3784" t="s">
        <v>247</v>
      </c>
      <c r="K3784" t="s">
        <v>248</v>
      </c>
    </row>
    <row r="3785" spans="1:11" hidden="1">
      <c r="A3785" s="28">
        <v>46274</v>
      </c>
      <c r="B3785" t="s">
        <v>187</v>
      </c>
      <c r="C3785" t="s">
        <v>3492</v>
      </c>
      <c r="D3785" t="s">
        <v>217</v>
      </c>
      <c r="E3785">
        <f>IF(LEFT(D3785,6)="CLIENT",IFERROR(VLOOKUP(C3785,Config_Carteiras!$A:$B,2,FALSE),1),"")</f>
        <v>1</v>
      </c>
      <c r="F3785" s="25">
        <v>1461</v>
      </c>
      <c r="G3785" s="28">
        <f>IF(LEFT(D3785,6)="CLIENT",IF(E3785=0,WORKDAY(A3785-1,1,Dias_Sem_Compensacao!$A$2:$A$500),WORKDAY(A3785,E3785,Dias_Sem_Compensacao!$A$2:$A$500)),"")</f>
        <v>46275</v>
      </c>
      <c r="H3785" s="25">
        <v>0</v>
      </c>
      <c r="I3785" s="28">
        <v>46274</v>
      </c>
      <c r="J3785" t="s">
        <v>3502</v>
      </c>
      <c r="K3785" t="s">
        <v>3503</v>
      </c>
    </row>
    <row r="3786" spans="1:11" hidden="1">
      <c r="A3786" s="28">
        <v>46274</v>
      </c>
      <c r="B3786" t="s">
        <v>187</v>
      </c>
      <c r="C3786" t="s">
        <v>3492</v>
      </c>
      <c r="D3786" t="s">
        <v>217</v>
      </c>
      <c r="E3786">
        <f>IF(LEFT(D3786,6)="CLIENT",IFERROR(VLOOKUP(C3786,Config_Carteiras!$A:$B,2,FALSE),1),"")</f>
        <v>1</v>
      </c>
      <c r="F3786" s="25">
        <v>473.69</v>
      </c>
      <c r="G3786" s="28">
        <f>IF(LEFT(D3786,6)="CLIENT",IF(E3786=0,WORKDAY(A3786-1,1,Dias_Sem_Compensacao!$A$2:$A$500),WORKDAY(A3786,E3786,Dias_Sem_Compensacao!$A$2:$A$500)),"")</f>
        <v>46275</v>
      </c>
      <c r="H3786" s="25">
        <v>0</v>
      </c>
      <c r="I3786" s="28">
        <v>46274</v>
      </c>
      <c r="J3786" t="s">
        <v>3498</v>
      </c>
      <c r="K3786" t="s">
        <v>3499</v>
      </c>
    </row>
    <row r="3787" spans="1:11" hidden="1">
      <c r="A3787" s="28">
        <v>46274</v>
      </c>
      <c r="B3787" t="s">
        <v>187</v>
      </c>
      <c r="C3787" t="s">
        <v>3492</v>
      </c>
      <c r="D3787" t="s">
        <v>217</v>
      </c>
      <c r="E3787">
        <f>IF(LEFT(D3787,6)="CLIENT",IFERROR(VLOOKUP(C3787,Config_Carteiras!$A:$B,2,FALSE),1),"")</f>
        <v>1</v>
      </c>
      <c r="F3787" s="25">
        <v>376.2</v>
      </c>
      <c r="G3787" s="28">
        <f>IF(LEFT(D3787,6)="CLIENT",IF(E3787=0,WORKDAY(A3787-1,1,Dias_Sem_Compensacao!$A$2:$A$500),WORKDAY(A3787,E3787,Dias_Sem_Compensacao!$A$2:$A$500)),"")</f>
        <v>46275</v>
      </c>
      <c r="H3787" s="25">
        <v>0</v>
      </c>
      <c r="I3787" s="28">
        <v>46274</v>
      </c>
      <c r="J3787" t="s">
        <v>3504</v>
      </c>
      <c r="K3787" t="s">
        <v>3505</v>
      </c>
    </row>
    <row r="3788" spans="1:11" hidden="1">
      <c r="A3788" s="28">
        <v>46274</v>
      </c>
      <c r="B3788" t="s">
        <v>187</v>
      </c>
      <c r="C3788" t="s">
        <v>3492</v>
      </c>
      <c r="D3788" t="s">
        <v>217</v>
      </c>
      <c r="E3788">
        <f>IF(LEFT(D3788,6)="CLIENT",IFERROR(VLOOKUP(C3788,Config_Carteiras!$A:$B,2,FALSE),1),"")</f>
        <v>1</v>
      </c>
      <c r="F3788" s="25">
        <v>469</v>
      </c>
      <c r="G3788" s="28">
        <f>IF(LEFT(D3788,6)="CLIENT",IF(E3788=0,WORKDAY(A3788-1,1,Dias_Sem_Compensacao!$A$2:$A$500),WORKDAY(A3788,E3788,Dias_Sem_Compensacao!$A$2:$A$500)),"")</f>
        <v>46275</v>
      </c>
      <c r="H3788" s="25">
        <v>0</v>
      </c>
      <c r="I3788" s="28">
        <v>46274</v>
      </c>
      <c r="J3788" t="s">
        <v>3506</v>
      </c>
      <c r="K3788" t="s">
        <v>3507</v>
      </c>
    </row>
    <row r="3789" spans="1:11" hidden="1">
      <c r="A3789" s="28">
        <v>46274</v>
      </c>
      <c r="B3789" t="s">
        <v>187</v>
      </c>
      <c r="C3789" t="s">
        <v>3492</v>
      </c>
      <c r="D3789" t="s">
        <v>217</v>
      </c>
      <c r="E3789">
        <f>IF(LEFT(D3789,6)="CLIENT",IFERROR(VLOOKUP(C3789,Config_Carteiras!$A:$B,2,FALSE),1),"")</f>
        <v>1</v>
      </c>
      <c r="F3789" s="25">
        <v>2515</v>
      </c>
      <c r="G3789" s="28">
        <f>IF(LEFT(D3789,6)="CLIENT",IF(E3789=0,WORKDAY(A3789-1,1,Dias_Sem_Compensacao!$A$2:$A$500),WORKDAY(A3789,E3789,Dias_Sem_Compensacao!$A$2:$A$500)),"")</f>
        <v>46275</v>
      </c>
      <c r="H3789" s="25">
        <v>0</v>
      </c>
      <c r="I3789" s="28">
        <v>46274</v>
      </c>
      <c r="J3789" t="s">
        <v>1068</v>
      </c>
      <c r="K3789" t="s">
        <v>1069</v>
      </c>
    </row>
    <row r="3790" spans="1:11" hidden="1">
      <c r="A3790" s="28">
        <v>46275</v>
      </c>
      <c r="B3790" t="s">
        <v>187</v>
      </c>
      <c r="C3790" t="s">
        <v>3492</v>
      </c>
      <c r="D3790" t="s">
        <v>217</v>
      </c>
      <c r="E3790">
        <f>IF(LEFT(D3790,6)="CLIENT",IFERROR(VLOOKUP(C3790,Config_Carteiras!$A:$B,2,FALSE),1),"")</f>
        <v>1</v>
      </c>
      <c r="F3790" s="25">
        <v>634.62</v>
      </c>
      <c r="G3790" s="28">
        <f>IF(LEFT(D3790,6)="CLIENT",IF(E3790=0,WORKDAY(A3790-1,1,Dias_Sem_Compensacao!$A$2:$A$500),WORKDAY(A3790,E3790,Dias_Sem_Compensacao!$A$2:$A$500)),"")</f>
        <v>46276</v>
      </c>
      <c r="H3790" s="25">
        <v>0</v>
      </c>
      <c r="I3790" s="28">
        <v>46275</v>
      </c>
      <c r="J3790" t="s">
        <v>3508</v>
      </c>
      <c r="K3790" t="s">
        <v>3509</v>
      </c>
    </row>
    <row r="3791" spans="1:11" hidden="1">
      <c r="A3791" s="28">
        <v>46275</v>
      </c>
      <c r="B3791" t="s">
        <v>187</v>
      </c>
      <c r="C3791" t="s">
        <v>3492</v>
      </c>
      <c r="D3791" t="s">
        <v>217</v>
      </c>
      <c r="E3791">
        <f>IF(LEFT(D3791,6)="CLIENT",IFERROR(VLOOKUP(C3791,Config_Carteiras!$A:$B,2,FALSE),1),"")</f>
        <v>1</v>
      </c>
      <c r="F3791" s="25">
        <v>594.79999999999995</v>
      </c>
      <c r="G3791" s="28">
        <f>IF(LEFT(D3791,6)="CLIENT",IF(E3791=0,WORKDAY(A3791-1,1,Dias_Sem_Compensacao!$A$2:$A$500),WORKDAY(A3791,E3791,Dias_Sem_Compensacao!$A$2:$A$500)),"")</f>
        <v>46276</v>
      </c>
      <c r="H3791" s="25">
        <v>0</v>
      </c>
      <c r="I3791" s="28">
        <v>46275</v>
      </c>
      <c r="J3791" t="s">
        <v>1656</v>
      </c>
      <c r="K3791" t="s">
        <v>3510</v>
      </c>
    </row>
    <row r="3792" spans="1:11" hidden="1">
      <c r="A3792" s="28">
        <v>46276</v>
      </c>
      <c r="B3792" t="s">
        <v>187</v>
      </c>
      <c r="C3792" t="s">
        <v>3492</v>
      </c>
      <c r="D3792" t="s">
        <v>217</v>
      </c>
      <c r="E3792">
        <f>IF(LEFT(D3792,6)="CLIENT",IFERROR(VLOOKUP(C3792,Config_Carteiras!$A:$B,2,FALSE),1),"")</f>
        <v>1</v>
      </c>
      <c r="F3792" s="25">
        <v>1032</v>
      </c>
      <c r="G3792" s="28">
        <f>IF(LEFT(D3792,6)="CLIENT",IF(E3792=0,WORKDAY(A3792-1,1,Dias_Sem_Compensacao!$A$2:$A$500),WORKDAY(A3792,E3792,Dias_Sem_Compensacao!$A$2:$A$500)),"")</f>
        <v>46279</v>
      </c>
      <c r="H3792" s="25">
        <v>0</v>
      </c>
      <c r="I3792" s="28">
        <v>46276</v>
      </c>
      <c r="J3792" t="s">
        <v>1079</v>
      </c>
      <c r="K3792" t="s">
        <v>1080</v>
      </c>
    </row>
    <row r="3793" spans="1:11" hidden="1">
      <c r="A3793" s="28">
        <v>46279</v>
      </c>
      <c r="B3793" t="s">
        <v>187</v>
      </c>
      <c r="C3793" t="s">
        <v>3492</v>
      </c>
      <c r="D3793" t="s">
        <v>217</v>
      </c>
      <c r="E3793">
        <f>IF(LEFT(D3793,6)="CLIENT",IFERROR(VLOOKUP(C3793,Config_Carteiras!$A:$B,2,FALSE),1),"")</f>
        <v>1</v>
      </c>
      <c r="F3793" s="25">
        <v>1788.38</v>
      </c>
      <c r="G3793" s="28">
        <f>IF(LEFT(D3793,6)="CLIENT",IF(E3793=0,WORKDAY(A3793-1,1,Dias_Sem_Compensacao!$A$2:$A$500),WORKDAY(A3793,E3793,Dias_Sem_Compensacao!$A$2:$A$500)),"")</f>
        <v>46280</v>
      </c>
      <c r="H3793" s="25">
        <v>0</v>
      </c>
      <c r="I3793" s="28">
        <v>46279</v>
      </c>
      <c r="J3793" t="s">
        <v>3511</v>
      </c>
      <c r="K3793" t="s">
        <v>3512</v>
      </c>
    </row>
    <row r="3794" spans="1:11" hidden="1">
      <c r="A3794" s="28">
        <v>46279</v>
      </c>
      <c r="B3794" t="s">
        <v>187</v>
      </c>
      <c r="C3794" t="s">
        <v>3492</v>
      </c>
      <c r="D3794" t="s">
        <v>217</v>
      </c>
      <c r="E3794">
        <f>IF(LEFT(D3794,6)="CLIENT",IFERROR(VLOOKUP(C3794,Config_Carteiras!$A:$B,2,FALSE),1),"")</f>
        <v>1</v>
      </c>
      <c r="F3794" s="25">
        <v>3321</v>
      </c>
      <c r="G3794" s="28">
        <f>IF(LEFT(D3794,6)="CLIENT",IF(E3794=0,WORKDAY(A3794-1,1,Dias_Sem_Compensacao!$A$2:$A$500),WORKDAY(A3794,E3794,Dias_Sem_Compensacao!$A$2:$A$500)),"")</f>
        <v>46280</v>
      </c>
      <c r="H3794" s="25">
        <v>0</v>
      </c>
      <c r="I3794" s="28">
        <v>46279</v>
      </c>
      <c r="J3794" t="s">
        <v>247</v>
      </c>
      <c r="K3794" t="s">
        <v>248</v>
      </c>
    </row>
    <row r="3795" spans="1:11" hidden="1">
      <c r="A3795" s="28">
        <v>46280</v>
      </c>
      <c r="B3795" t="s">
        <v>187</v>
      </c>
      <c r="C3795" t="s">
        <v>3492</v>
      </c>
      <c r="D3795" t="s">
        <v>217</v>
      </c>
      <c r="E3795">
        <f>IF(LEFT(D3795,6)="CLIENT",IFERROR(VLOOKUP(C3795,Config_Carteiras!$A:$B,2,FALSE),1),"")</f>
        <v>1</v>
      </c>
      <c r="F3795" s="25">
        <v>596.4</v>
      </c>
      <c r="G3795" s="28">
        <f>IF(LEFT(D3795,6)="CLIENT",IF(E3795=0,WORKDAY(A3795-1,1,Dias_Sem_Compensacao!$A$2:$A$500),WORKDAY(A3795,E3795,Dias_Sem_Compensacao!$A$2:$A$500)),"")</f>
        <v>46281</v>
      </c>
      <c r="H3795" s="25">
        <v>0</v>
      </c>
      <c r="I3795" s="28">
        <v>46280</v>
      </c>
      <c r="J3795" t="s">
        <v>3513</v>
      </c>
      <c r="K3795" t="s">
        <v>3514</v>
      </c>
    </row>
    <row r="3796" spans="1:11" hidden="1">
      <c r="A3796" s="28">
        <v>46280</v>
      </c>
      <c r="B3796" t="s">
        <v>187</v>
      </c>
      <c r="C3796" t="s">
        <v>3492</v>
      </c>
      <c r="D3796" t="s">
        <v>217</v>
      </c>
      <c r="E3796">
        <f>IF(LEFT(D3796,6)="CLIENT",IFERROR(VLOOKUP(C3796,Config_Carteiras!$A:$B,2,FALSE),1),"")</f>
        <v>1</v>
      </c>
      <c r="F3796" s="25">
        <v>355</v>
      </c>
      <c r="G3796" s="28">
        <f>IF(LEFT(D3796,6)="CLIENT",IF(E3796=0,WORKDAY(A3796-1,1,Dias_Sem_Compensacao!$A$2:$A$500),WORKDAY(A3796,E3796,Dias_Sem_Compensacao!$A$2:$A$500)),"")</f>
        <v>46281</v>
      </c>
      <c r="H3796" s="25">
        <v>0</v>
      </c>
      <c r="I3796" s="28">
        <v>46280</v>
      </c>
      <c r="J3796" t="s">
        <v>222</v>
      </c>
      <c r="K3796" t="s">
        <v>223</v>
      </c>
    </row>
    <row r="3797" spans="1:11" hidden="1">
      <c r="A3797" s="28">
        <v>46281</v>
      </c>
      <c r="B3797" t="s">
        <v>187</v>
      </c>
      <c r="C3797" t="s">
        <v>3492</v>
      </c>
      <c r="D3797" t="s">
        <v>217</v>
      </c>
      <c r="E3797">
        <f>IF(LEFT(D3797,6)="CLIENT",IFERROR(VLOOKUP(C3797,Config_Carteiras!$A:$B,2,FALSE),1),"")</f>
        <v>1</v>
      </c>
      <c r="F3797" s="25">
        <v>473.82</v>
      </c>
      <c r="G3797" s="28">
        <f>IF(LEFT(D3797,6)="CLIENT",IF(E3797=0,WORKDAY(A3797-1,1,Dias_Sem_Compensacao!$A$2:$A$500),WORKDAY(A3797,E3797,Dias_Sem_Compensacao!$A$2:$A$500)),"")</f>
        <v>46282</v>
      </c>
      <c r="H3797" s="25">
        <v>0</v>
      </c>
      <c r="I3797" s="28">
        <v>46281</v>
      </c>
      <c r="J3797" t="s">
        <v>3498</v>
      </c>
      <c r="K3797" t="s">
        <v>3499</v>
      </c>
    </row>
    <row r="3798" spans="1:11" hidden="1">
      <c r="A3798" s="28">
        <v>46281</v>
      </c>
      <c r="B3798" t="s">
        <v>187</v>
      </c>
      <c r="C3798" t="s">
        <v>3492</v>
      </c>
      <c r="D3798" t="s">
        <v>217</v>
      </c>
      <c r="E3798">
        <f>IF(LEFT(D3798,6)="CLIENT",IFERROR(VLOOKUP(C3798,Config_Carteiras!$A:$B,2,FALSE),1),"")</f>
        <v>1</v>
      </c>
      <c r="F3798" s="25">
        <v>468.04</v>
      </c>
      <c r="G3798" s="28">
        <f>IF(LEFT(D3798,6)="CLIENT",IF(E3798=0,WORKDAY(A3798-1,1,Dias_Sem_Compensacao!$A$2:$A$500),WORKDAY(A3798,E3798,Dias_Sem_Compensacao!$A$2:$A$500)),"")</f>
        <v>46282</v>
      </c>
      <c r="H3798" s="25">
        <v>0</v>
      </c>
      <c r="I3798" s="28">
        <v>46281</v>
      </c>
      <c r="J3798" t="s">
        <v>3506</v>
      </c>
      <c r="K3798" t="s">
        <v>3507</v>
      </c>
    </row>
    <row r="3799" spans="1:11" hidden="1">
      <c r="A3799" s="28">
        <v>46281</v>
      </c>
      <c r="B3799" t="s">
        <v>187</v>
      </c>
      <c r="C3799" t="s">
        <v>3492</v>
      </c>
      <c r="D3799" t="s">
        <v>217</v>
      </c>
      <c r="E3799">
        <f>IF(LEFT(D3799,6)="CLIENT",IFERROR(VLOOKUP(C3799,Config_Carteiras!$A:$B,2,FALSE),1),"")</f>
        <v>1</v>
      </c>
      <c r="F3799" s="25">
        <v>2515</v>
      </c>
      <c r="G3799" s="28">
        <f>IF(LEFT(D3799,6)="CLIENT",IF(E3799=0,WORKDAY(A3799-1,1,Dias_Sem_Compensacao!$A$2:$A$500),WORKDAY(A3799,E3799,Dias_Sem_Compensacao!$A$2:$A$500)),"")</f>
        <v>46282</v>
      </c>
      <c r="H3799" s="25">
        <v>0</v>
      </c>
      <c r="I3799" s="28">
        <v>46281</v>
      </c>
      <c r="J3799" t="s">
        <v>1068</v>
      </c>
      <c r="K3799" t="s">
        <v>1069</v>
      </c>
    </row>
    <row r="3800" spans="1:11" hidden="1">
      <c r="A3800" s="28">
        <v>46283</v>
      </c>
      <c r="B3800" t="s">
        <v>187</v>
      </c>
      <c r="C3800" t="s">
        <v>3492</v>
      </c>
      <c r="D3800" t="s">
        <v>217</v>
      </c>
      <c r="E3800">
        <f>IF(LEFT(D3800,6)="CLIENT",IFERROR(VLOOKUP(C3800,Config_Carteiras!$A:$B,2,FALSE),1),"")</f>
        <v>1</v>
      </c>
      <c r="F3800" s="25">
        <v>1032</v>
      </c>
      <c r="G3800" s="28">
        <f>IF(LEFT(D3800,6)="CLIENT",IF(E3800=0,WORKDAY(A3800-1,1,Dias_Sem_Compensacao!$A$2:$A$500),WORKDAY(A3800,E3800,Dias_Sem_Compensacao!$A$2:$A$500)),"")</f>
        <v>46286</v>
      </c>
      <c r="H3800" s="25">
        <v>0</v>
      </c>
      <c r="I3800" s="28">
        <v>46283</v>
      </c>
      <c r="J3800" t="s">
        <v>1079</v>
      </c>
      <c r="K3800" t="s">
        <v>1080</v>
      </c>
    </row>
    <row r="3801" spans="1:11" hidden="1">
      <c r="A3801" s="28">
        <v>46283</v>
      </c>
      <c r="B3801" t="s">
        <v>187</v>
      </c>
      <c r="C3801" t="s">
        <v>3492</v>
      </c>
      <c r="D3801" t="s">
        <v>217</v>
      </c>
      <c r="E3801">
        <f>IF(LEFT(D3801,6)="CLIENT",IFERROR(VLOOKUP(C3801,Config_Carteiras!$A:$B,2,FALSE),1),"")</f>
        <v>1</v>
      </c>
      <c r="F3801" s="25">
        <v>400</v>
      </c>
      <c r="G3801" s="28">
        <f>IF(LEFT(D3801,6)="CLIENT",IF(E3801=0,WORKDAY(A3801-1,1,Dias_Sem_Compensacao!$A$2:$A$500),WORKDAY(A3801,E3801,Dias_Sem_Compensacao!$A$2:$A$500)),"")</f>
        <v>46286</v>
      </c>
      <c r="H3801" s="25">
        <v>0</v>
      </c>
      <c r="I3801" s="28">
        <v>46283</v>
      </c>
      <c r="J3801" t="s">
        <v>1081</v>
      </c>
      <c r="K3801" t="s">
        <v>1082</v>
      </c>
    </row>
    <row r="3802" spans="1:11" hidden="1">
      <c r="A3802" s="28">
        <v>46283</v>
      </c>
      <c r="B3802" t="s">
        <v>187</v>
      </c>
      <c r="C3802" t="s">
        <v>3492</v>
      </c>
      <c r="D3802" t="s">
        <v>217</v>
      </c>
      <c r="E3802">
        <f>IF(LEFT(D3802,6)="CLIENT",IFERROR(VLOOKUP(C3802,Config_Carteiras!$A:$B,2,FALSE),1),"")</f>
        <v>1</v>
      </c>
      <c r="F3802" s="25">
        <v>1601</v>
      </c>
      <c r="G3802" s="28">
        <f>IF(LEFT(D3802,6)="CLIENT",IF(E3802=0,WORKDAY(A3802-1,1,Dias_Sem_Compensacao!$A$2:$A$500),WORKDAY(A3802,E3802,Dias_Sem_Compensacao!$A$2:$A$500)),"")</f>
        <v>46286</v>
      </c>
      <c r="H3802" s="25">
        <v>0</v>
      </c>
      <c r="I3802" s="28">
        <v>46283</v>
      </c>
      <c r="J3802" t="s">
        <v>3515</v>
      </c>
      <c r="K3802" t="s">
        <v>3516</v>
      </c>
    </row>
    <row r="3803" spans="1:11" hidden="1">
      <c r="A3803" s="28">
        <v>46283</v>
      </c>
      <c r="B3803" t="s">
        <v>187</v>
      </c>
      <c r="C3803" t="s">
        <v>3492</v>
      </c>
      <c r="D3803" t="s">
        <v>217</v>
      </c>
      <c r="E3803">
        <f>IF(LEFT(D3803,6)="CLIENT",IFERROR(VLOOKUP(C3803,Config_Carteiras!$A:$B,2,FALSE),1),"")</f>
        <v>1</v>
      </c>
      <c r="F3803" s="25">
        <v>1317</v>
      </c>
      <c r="G3803" s="28">
        <f>IF(LEFT(D3803,6)="CLIENT",IF(E3803=0,WORKDAY(A3803-1,1,Dias_Sem_Compensacao!$A$2:$A$500),WORKDAY(A3803,E3803,Dias_Sem_Compensacao!$A$2:$A$500)),"")</f>
        <v>46286</v>
      </c>
      <c r="H3803" s="25">
        <v>0</v>
      </c>
      <c r="I3803" s="28">
        <v>46283</v>
      </c>
      <c r="J3803" t="s">
        <v>1091</v>
      </c>
      <c r="K3803" t="s">
        <v>1092</v>
      </c>
    </row>
    <row r="3804" spans="1:11" hidden="1">
      <c r="A3804" s="28">
        <v>46283</v>
      </c>
      <c r="B3804" t="s">
        <v>187</v>
      </c>
      <c r="C3804" t="s">
        <v>3492</v>
      </c>
      <c r="D3804" t="s">
        <v>217</v>
      </c>
      <c r="E3804">
        <f>IF(LEFT(D3804,6)="CLIENT",IFERROR(VLOOKUP(C3804,Config_Carteiras!$A:$B,2,FALSE),1),"")</f>
        <v>1</v>
      </c>
      <c r="F3804" s="25">
        <v>1471.38</v>
      </c>
      <c r="G3804" s="28">
        <f>IF(LEFT(D3804,6)="CLIENT",IF(E3804=0,WORKDAY(A3804-1,1,Dias_Sem_Compensacao!$A$2:$A$500),WORKDAY(A3804,E3804,Dias_Sem_Compensacao!$A$2:$A$500)),"")</f>
        <v>46286</v>
      </c>
      <c r="H3804" s="25">
        <v>0</v>
      </c>
      <c r="I3804" s="28">
        <v>46283</v>
      </c>
      <c r="J3804" t="s">
        <v>3517</v>
      </c>
      <c r="K3804" t="s">
        <v>3518</v>
      </c>
    </row>
    <row r="3805" spans="1:11" hidden="1">
      <c r="A3805" s="28">
        <v>46286</v>
      </c>
      <c r="B3805" t="s">
        <v>187</v>
      </c>
      <c r="C3805" t="s">
        <v>3492</v>
      </c>
      <c r="D3805" t="s">
        <v>217</v>
      </c>
      <c r="E3805">
        <f>IF(LEFT(D3805,6)="CLIENT",IFERROR(VLOOKUP(C3805,Config_Carteiras!$A:$B,2,FALSE),1),"")</f>
        <v>1</v>
      </c>
      <c r="F3805" s="25">
        <v>3321</v>
      </c>
      <c r="G3805" s="28">
        <f>IF(LEFT(D3805,6)="CLIENT",IF(E3805=0,WORKDAY(A3805-1,1,Dias_Sem_Compensacao!$A$2:$A$500),WORKDAY(A3805,E3805,Dias_Sem_Compensacao!$A$2:$A$500)),"")</f>
        <v>46287</v>
      </c>
      <c r="H3805" s="25">
        <v>0</v>
      </c>
      <c r="I3805" s="28">
        <v>46286</v>
      </c>
      <c r="J3805" t="s">
        <v>247</v>
      </c>
      <c r="K3805" t="s">
        <v>248</v>
      </c>
    </row>
    <row r="3806" spans="1:11" hidden="1">
      <c r="A3806" s="28">
        <v>46286</v>
      </c>
      <c r="B3806" t="s">
        <v>187</v>
      </c>
      <c r="C3806" t="s">
        <v>3492</v>
      </c>
      <c r="D3806" t="s">
        <v>217</v>
      </c>
      <c r="E3806">
        <f>IF(LEFT(D3806,6)="CLIENT",IFERROR(VLOOKUP(C3806,Config_Carteiras!$A:$B,2,FALSE),1),"")</f>
        <v>1</v>
      </c>
      <c r="F3806" s="25">
        <v>388.1</v>
      </c>
      <c r="G3806" s="28">
        <f>IF(LEFT(D3806,6)="CLIENT",IF(E3806=0,WORKDAY(A3806-1,1,Dias_Sem_Compensacao!$A$2:$A$500),WORKDAY(A3806,E3806,Dias_Sem_Compensacao!$A$2:$A$500)),"")</f>
        <v>46287</v>
      </c>
      <c r="H3806" s="25">
        <v>0</v>
      </c>
      <c r="I3806" s="28">
        <v>46286</v>
      </c>
      <c r="J3806" t="s">
        <v>3519</v>
      </c>
      <c r="K3806" t="s">
        <v>3520</v>
      </c>
    </row>
    <row r="3807" spans="1:11" hidden="1">
      <c r="A3807" s="28">
        <v>46294</v>
      </c>
      <c r="B3807" t="s">
        <v>3521</v>
      </c>
      <c r="C3807" t="s">
        <v>3522</v>
      </c>
      <c r="D3807" t="s">
        <v>3462</v>
      </c>
      <c r="E3807" t="str">
        <f>IF(LEFT(D3807,6)="CLIENT",IFERROR(VLOOKUP(C3807,Config_Carteiras!$A:$B,2,FALSE),1),"")</f>
        <v/>
      </c>
      <c r="F3807" s="25">
        <v>0</v>
      </c>
      <c r="G3807" s="28" t="str">
        <f>IF(LEFT(D3807,6)="CLIENT",IF(E3807=0,WORKDAY(A3807-1,1,Dias_Sem_Compensacao!$A$2:$A$500),WORKDAY(A3807,E3807,Dias_Sem_Compensacao!$A$2:$A$500)),"")</f>
        <v/>
      </c>
      <c r="H3807" s="25">
        <v>66.73</v>
      </c>
      <c r="I3807" s="28">
        <v>46294</v>
      </c>
      <c r="J3807" t="s">
        <v>30</v>
      </c>
      <c r="K3807" t="s">
        <v>29</v>
      </c>
    </row>
    <row r="3808" spans="1:11" hidden="1">
      <c r="A3808" s="28">
        <v>46280</v>
      </c>
      <c r="B3808" t="s">
        <v>3523</v>
      </c>
      <c r="C3808" t="s">
        <v>151</v>
      </c>
      <c r="D3808" t="s">
        <v>3462</v>
      </c>
      <c r="E3808" t="str">
        <f>IF(LEFT(D3808,6)="CLIENT",IFERROR(VLOOKUP(C3808,Config_Carteiras!$A:$B,2,FALSE),1),"")</f>
        <v/>
      </c>
      <c r="F3808" s="25">
        <v>0</v>
      </c>
      <c r="G3808" s="28" t="str">
        <f>IF(LEFT(D3808,6)="CLIENT",IF(E3808=0,WORKDAY(A3808-1,1,Dias_Sem_Compensacao!$A$2:$A$500),WORKDAY(A3808,E3808,Dias_Sem_Compensacao!$A$2:$A$500)),"")</f>
        <v/>
      </c>
      <c r="H3808" s="25">
        <v>37727.800000000003</v>
      </c>
      <c r="I3808" s="28">
        <v>46280</v>
      </c>
      <c r="J3808" t="s">
        <v>3524</v>
      </c>
      <c r="K3808" t="s">
        <v>3525</v>
      </c>
    </row>
    <row r="3809" spans="1:11" hidden="1">
      <c r="A3809" s="28">
        <v>46282</v>
      </c>
      <c r="B3809" t="s">
        <v>3523</v>
      </c>
      <c r="C3809" t="s">
        <v>151</v>
      </c>
      <c r="D3809" t="s">
        <v>3462</v>
      </c>
      <c r="E3809" t="str">
        <f>IF(LEFT(D3809,6)="CLIENT",IFERROR(VLOOKUP(C3809,Config_Carteiras!$A:$B,2,FALSE),1),"")</f>
        <v/>
      </c>
      <c r="F3809" s="25">
        <v>0</v>
      </c>
      <c r="G3809" s="28" t="str">
        <f>IF(LEFT(D3809,6)="CLIENT",IF(E3809=0,WORKDAY(A3809-1,1,Dias_Sem_Compensacao!$A$2:$A$500),WORKDAY(A3809,E3809,Dias_Sem_Compensacao!$A$2:$A$500)),"")</f>
        <v/>
      </c>
      <c r="H3809" s="25">
        <v>33020.9</v>
      </c>
      <c r="I3809" s="28">
        <v>46282</v>
      </c>
      <c r="J3809" t="s">
        <v>3524</v>
      </c>
      <c r="K3809" t="s">
        <v>3526</v>
      </c>
    </row>
    <row r="3810" spans="1:11" hidden="1">
      <c r="A3810" s="28">
        <v>46283</v>
      </c>
      <c r="B3810" t="s">
        <v>3523</v>
      </c>
      <c r="C3810" t="s">
        <v>151</v>
      </c>
      <c r="D3810" t="s">
        <v>3462</v>
      </c>
      <c r="E3810" t="str">
        <f>IF(LEFT(D3810,6)="CLIENT",IFERROR(VLOOKUP(C3810,Config_Carteiras!$A:$B,2,FALSE),1),"")</f>
        <v/>
      </c>
      <c r="F3810" s="25">
        <v>0</v>
      </c>
      <c r="G3810" s="28" t="str">
        <f>IF(LEFT(D3810,6)="CLIENT",IF(E3810=0,WORKDAY(A3810-1,1,Dias_Sem_Compensacao!$A$2:$A$500),WORKDAY(A3810,E3810,Dias_Sem_Compensacao!$A$2:$A$500)),"")</f>
        <v/>
      </c>
      <c r="H3810" s="25">
        <v>36856.6</v>
      </c>
      <c r="I3810" s="28">
        <v>46283</v>
      </c>
      <c r="J3810" t="s">
        <v>3524</v>
      </c>
      <c r="K3810" t="s">
        <v>3527</v>
      </c>
    </row>
    <row r="3811" spans="1:11" hidden="1">
      <c r="A3811" s="28">
        <v>46283</v>
      </c>
      <c r="B3811" t="s">
        <v>3523</v>
      </c>
      <c r="C3811" t="s">
        <v>151</v>
      </c>
      <c r="D3811" t="s">
        <v>3462</v>
      </c>
      <c r="E3811" t="str">
        <f>IF(LEFT(D3811,6)="CLIENT",IFERROR(VLOOKUP(C3811,Config_Carteiras!$A:$B,2,FALSE),1),"")</f>
        <v/>
      </c>
      <c r="F3811" s="25">
        <v>0</v>
      </c>
      <c r="G3811" s="28" t="str">
        <f>IF(LEFT(D3811,6)="CLIENT",IF(E3811=0,WORKDAY(A3811-1,1,Dias_Sem_Compensacao!$A$2:$A$500),WORKDAY(A3811,E3811,Dias_Sem_Compensacao!$A$2:$A$500)),"")</f>
        <v/>
      </c>
      <c r="H3811" s="25">
        <v>36941.300000000003</v>
      </c>
      <c r="I3811" s="28">
        <v>46283</v>
      </c>
      <c r="K3811" t="s">
        <v>3528</v>
      </c>
    </row>
    <row r="3812" spans="1:11" hidden="1">
      <c r="A3812" s="28">
        <v>46286</v>
      </c>
      <c r="B3812" t="s">
        <v>3523</v>
      </c>
      <c r="C3812" t="s">
        <v>151</v>
      </c>
      <c r="D3812" t="s">
        <v>3462</v>
      </c>
      <c r="E3812" t="str">
        <f>IF(LEFT(D3812,6)="CLIENT",IFERROR(VLOOKUP(C3812,Config_Carteiras!$A:$B,2,FALSE),1),"")</f>
        <v/>
      </c>
      <c r="F3812" s="25">
        <v>0</v>
      </c>
      <c r="G3812" s="28" t="str">
        <f>IF(LEFT(D3812,6)="CLIENT",IF(E3812=0,WORKDAY(A3812-1,1,Dias_Sem_Compensacao!$A$2:$A$500),WORKDAY(A3812,E3812,Dias_Sem_Compensacao!$A$2:$A$500)),"")</f>
        <v/>
      </c>
      <c r="H3812" s="25">
        <v>37885.1</v>
      </c>
      <c r="I3812" s="28">
        <v>46286</v>
      </c>
      <c r="J3812" t="s">
        <v>3524</v>
      </c>
      <c r="K3812" t="s">
        <v>3529</v>
      </c>
    </row>
    <row r="3813" spans="1:11" hidden="1">
      <c r="A3813" s="28">
        <v>46286</v>
      </c>
      <c r="B3813" t="s">
        <v>3523</v>
      </c>
      <c r="C3813" t="s">
        <v>151</v>
      </c>
      <c r="D3813" t="s">
        <v>3462</v>
      </c>
      <c r="E3813" t="str">
        <f>IF(LEFT(D3813,6)="CLIENT",IFERROR(VLOOKUP(C3813,Config_Carteiras!$A:$B,2,FALSE),1),"")</f>
        <v/>
      </c>
      <c r="F3813" s="25">
        <v>0</v>
      </c>
      <c r="G3813" s="28" t="str">
        <f>IF(LEFT(D3813,6)="CLIENT",IF(E3813=0,WORKDAY(A3813-1,1,Dias_Sem_Compensacao!$A$2:$A$500),WORKDAY(A3813,E3813,Dias_Sem_Compensacao!$A$2:$A$500)),"")</f>
        <v/>
      </c>
      <c r="H3813" s="25">
        <v>36566.199999999997</v>
      </c>
      <c r="I3813" s="28">
        <v>46286</v>
      </c>
      <c r="K3813" t="s">
        <v>3530</v>
      </c>
    </row>
    <row r="3814" spans="1:11" hidden="1">
      <c r="A3814" s="28">
        <v>46286</v>
      </c>
      <c r="B3814" t="s">
        <v>3523</v>
      </c>
      <c r="C3814" t="s">
        <v>151</v>
      </c>
      <c r="D3814" t="s">
        <v>3462</v>
      </c>
      <c r="E3814" t="str">
        <f>IF(LEFT(D3814,6)="CLIENT",IFERROR(VLOOKUP(C3814,Config_Carteiras!$A:$B,2,FALSE),1),"")</f>
        <v/>
      </c>
      <c r="F3814" s="25">
        <v>0</v>
      </c>
      <c r="G3814" s="28" t="str">
        <f>IF(LEFT(D3814,6)="CLIENT",IF(E3814=0,WORKDAY(A3814-1,1,Dias_Sem_Compensacao!$A$2:$A$500),WORKDAY(A3814,E3814,Dias_Sem_Compensacao!$A$2:$A$500)),"")</f>
        <v/>
      </c>
      <c r="H3814" s="25">
        <v>0.21</v>
      </c>
      <c r="I3814" s="28">
        <v>46286</v>
      </c>
      <c r="J3814" t="s">
        <v>103</v>
      </c>
      <c r="K3814" t="s">
        <v>3531</v>
      </c>
    </row>
    <row r="3815" spans="1:11" hidden="1">
      <c r="A3815" s="28">
        <v>46289</v>
      </c>
      <c r="B3815" t="s">
        <v>3523</v>
      </c>
      <c r="C3815" t="s">
        <v>151</v>
      </c>
      <c r="D3815" t="s">
        <v>3462</v>
      </c>
      <c r="E3815" t="str">
        <f>IF(LEFT(D3815,6)="CLIENT",IFERROR(VLOOKUP(C3815,Config_Carteiras!$A:$B,2,FALSE),1),"")</f>
        <v/>
      </c>
      <c r="F3815" s="25">
        <v>0</v>
      </c>
      <c r="G3815" s="28" t="str">
        <f>IF(LEFT(D3815,6)="CLIENT",IF(E3815=0,WORKDAY(A3815-1,1,Dias_Sem_Compensacao!$A$2:$A$500),WORKDAY(A3815,E3815,Dias_Sem_Compensacao!$A$2:$A$500)),"")</f>
        <v/>
      </c>
      <c r="H3815" s="25">
        <v>14322.84</v>
      </c>
      <c r="I3815" s="28">
        <v>46289</v>
      </c>
      <c r="J3815" t="s">
        <v>3532</v>
      </c>
      <c r="K3815" t="s">
        <v>3533</v>
      </c>
    </row>
    <row r="3816" spans="1:11" hidden="1">
      <c r="A3816" s="28">
        <v>46290</v>
      </c>
      <c r="B3816" t="s">
        <v>3523</v>
      </c>
      <c r="C3816" t="s">
        <v>151</v>
      </c>
      <c r="D3816" t="s">
        <v>3462</v>
      </c>
      <c r="E3816" t="str">
        <f>IF(LEFT(D3816,6)="CLIENT",IFERROR(VLOOKUP(C3816,Config_Carteiras!$A:$B,2,FALSE),1),"")</f>
        <v/>
      </c>
      <c r="F3816" s="25">
        <v>0</v>
      </c>
      <c r="G3816" s="28" t="str">
        <f>IF(LEFT(D3816,6)="CLIENT",IF(E3816=0,WORKDAY(A3816-1,1,Dias_Sem_Compensacao!$A$2:$A$500),WORKDAY(A3816,E3816,Dias_Sem_Compensacao!$A$2:$A$500)),"")</f>
        <v/>
      </c>
      <c r="H3816" s="25">
        <v>14322.67</v>
      </c>
      <c r="I3816" s="28">
        <v>46290</v>
      </c>
      <c r="J3816" t="s">
        <v>21</v>
      </c>
      <c r="K3816" t="s">
        <v>3534</v>
      </c>
    </row>
    <row r="3817" spans="1:11" hidden="1">
      <c r="A3817" s="28">
        <v>46291</v>
      </c>
      <c r="B3817" t="s">
        <v>3523</v>
      </c>
      <c r="C3817" t="s">
        <v>151</v>
      </c>
      <c r="D3817" t="s">
        <v>3462</v>
      </c>
      <c r="E3817" t="str">
        <f>IF(LEFT(D3817,6)="CLIENT",IFERROR(VLOOKUP(C3817,Config_Carteiras!$A:$B,2,FALSE),1),"")</f>
        <v/>
      </c>
      <c r="F3817" s="25">
        <v>0</v>
      </c>
      <c r="G3817" s="28" t="str">
        <f>IF(LEFT(D3817,6)="CLIENT",IF(E3817=0,WORKDAY(A3817-1,1,Dias_Sem_Compensacao!$A$2:$A$500),WORKDAY(A3817,E3817,Dias_Sem_Compensacao!$A$2:$A$500)),"")</f>
        <v/>
      </c>
      <c r="H3817" s="25">
        <v>21620.880000000001</v>
      </c>
      <c r="I3817" s="28">
        <v>46291</v>
      </c>
      <c r="J3817" t="s">
        <v>3535</v>
      </c>
      <c r="K3817" t="s">
        <v>3536</v>
      </c>
    </row>
    <row r="3818" spans="1:11" hidden="1">
      <c r="A3818" s="28">
        <v>46291</v>
      </c>
      <c r="B3818" t="s">
        <v>3523</v>
      </c>
      <c r="C3818" t="s">
        <v>151</v>
      </c>
      <c r="D3818" t="s">
        <v>3462</v>
      </c>
      <c r="E3818" t="str">
        <f>IF(LEFT(D3818,6)="CLIENT",IFERROR(VLOOKUP(C3818,Config_Carteiras!$A:$B,2,FALSE),1),"")</f>
        <v/>
      </c>
      <c r="F3818" s="25">
        <v>0</v>
      </c>
      <c r="G3818" s="28" t="str">
        <f>IF(LEFT(D3818,6)="CLIENT",IF(E3818=0,WORKDAY(A3818-1,1,Dias_Sem_Compensacao!$A$2:$A$500),WORKDAY(A3818,E3818,Dias_Sem_Compensacao!$A$2:$A$500)),"")</f>
        <v/>
      </c>
      <c r="H3818" s="25">
        <v>37374.74</v>
      </c>
      <c r="I3818" s="28">
        <v>46291</v>
      </c>
      <c r="K3818" t="s">
        <v>3537</v>
      </c>
    </row>
    <row r="3819" spans="1:11" hidden="1">
      <c r="A3819" s="28">
        <v>46293</v>
      </c>
      <c r="B3819" t="s">
        <v>3523</v>
      </c>
      <c r="C3819" t="s">
        <v>151</v>
      </c>
      <c r="D3819" t="s">
        <v>3462</v>
      </c>
      <c r="E3819" t="str">
        <f>IF(LEFT(D3819,6)="CLIENT",IFERROR(VLOOKUP(C3819,Config_Carteiras!$A:$B,2,FALSE),1),"")</f>
        <v/>
      </c>
      <c r="F3819" s="25">
        <v>0</v>
      </c>
      <c r="G3819" s="28" t="str">
        <f>IF(LEFT(D3819,6)="CLIENT",IF(E3819=0,WORKDAY(A3819-1,1,Dias_Sem_Compensacao!$A$2:$A$500),WORKDAY(A3819,E3819,Dias_Sem_Compensacao!$A$2:$A$500)),"")</f>
        <v/>
      </c>
      <c r="H3819" s="25">
        <v>25894.05</v>
      </c>
      <c r="I3819" s="28">
        <v>46293</v>
      </c>
      <c r="J3819" t="s">
        <v>17</v>
      </c>
      <c r="K3819" t="s">
        <v>16</v>
      </c>
    </row>
    <row r="3820" spans="1:11" hidden="1">
      <c r="A3820" s="28">
        <v>46293</v>
      </c>
      <c r="B3820" t="s">
        <v>3523</v>
      </c>
      <c r="C3820" t="s">
        <v>151</v>
      </c>
      <c r="D3820" t="s">
        <v>3462</v>
      </c>
      <c r="E3820" t="str">
        <f>IF(LEFT(D3820,6)="CLIENT",IFERROR(VLOOKUP(C3820,Config_Carteiras!$A:$B,2,FALSE),1),"")</f>
        <v/>
      </c>
      <c r="F3820" s="25">
        <v>0</v>
      </c>
      <c r="G3820" s="28" t="str">
        <f>IF(LEFT(D3820,6)="CLIENT",IF(E3820=0,WORKDAY(A3820-1,1,Dias_Sem_Compensacao!$A$2:$A$500),WORKDAY(A3820,E3820,Dias_Sem_Compensacao!$A$2:$A$500)),"")</f>
        <v/>
      </c>
      <c r="H3820" s="25">
        <v>11826</v>
      </c>
      <c r="I3820" s="28">
        <v>46293</v>
      </c>
      <c r="J3820" t="s">
        <v>19</v>
      </c>
      <c r="K3820" t="s">
        <v>18</v>
      </c>
    </row>
    <row r="3821" spans="1:11" hidden="1">
      <c r="A3821" s="28">
        <v>46293</v>
      </c>
      <c r="B3821" t="s">
        <v>3523</v>
      </c>
      <c r="C3821" t="s">
        <v>151</v>
      </c>
      <c r="D3821" t="s">
        <v>3462</v>
      </c>
      <c r="E3821" t="str">
        <f>IF(LEFT(D3821,6)="CLIENT",IFERROR(VLOOKUP(C3821,Config_Carteiras!$A:$B,2,FALSE),1),"")</f>
        <v/>
      </c>
      <c r="F3821" s="25">
        <v>0</v>
      </c>
      <c r="G3821" s="28" t="str">
        <f>IF(LEFT(D3821,6)="CLIENT",IF(E3821=0,WORKDAY(A3821-1,1,Dias_Sem_Compensacao!$A$2:$A$500),WORKDAY(A3821,E3821,Dias_Sem_Compensacao!$A$2:$A$500)),"")</f>
        <v/>
      </c>
      <c r="H3821" s="25">
        <v>7928.62</v>
      </c>
      <c r="I3821" s="28">
        <v>46293</v>
      </c>
      <c r="J3821" t="s">
        <v>21</v>
      </c>
      <c r="K3821" t="s">
        <v>20</v>
      </c>
    </row>
    <row r="3822" spans="1:11" hidden="1">
      <c r="A3822" s="28">
        <v>46293</v>
      </c>
      <c r="B3822" t="s">
        <v>3523</v>
      </c>
      <c r="C3822" t="s">
        <v>151</v>
      </c>
      <c r="D3822" t="s">
        <v>3462</v>
      </c>
      <c r="E3822" t="str">
        <f>IF(LEFT(D3822,6)="CLIENT",IFERROR(VLOOKUP(C3822,Config_Carteiras!$A:$B,2,FALSE),1),"")</f>
        <v/>
      </c>
      <c r="F3822" s="25">
        <v>0</v>
      </c>
      <c r="G3822" s="28" t="str">
        <f>IF(LEFT(D3822,6)="CLIENT",IF(E3822=0,WORKDAY(A3822-1,1,Dias_Sem_Compensacao!$A$2:$A$500),WORKDAY(A3822,E3822,Dias_Sem_Compensacao!$A$2:$A$500)),"")</f>
        <v/>
      </c>
      <c r="H3822" s="25">
        <v>122.49</v>
      </c>
      <c r="I3822" s="28">
        <v>46293</v>
      </c>
      <c r="J3822" t="s">
        <v>23</v>
      </c>
      <c r="K3822" t="s">
        <v>22</v>
      </c>
    </row>
    <row r="3823" spans="1:11" hidden="1">
      <c r="A3823" s="28">
        <v>46294</v>
      </c>
      <c r="B3823" t="s">
        <v>3523</v>
      </c>
      <c r="C3823" t="s">
        <v>151</v>
      </c>
      <c r="D3823" t="s">
        <v>3462</v>
      </c>
      <c r="E3823" t="str">
        <f>IF(LEFT(D3823,6)="CLIENT",IFERROR(VLOOKUP(C3823,Config_Carteiras!$A:$B,2,FALSE),1),"")</f>
        <v/>
      </c>
      <c r="F3823" s="25">
        <v>0</v>
      </c>
      <c r="G3823" s="28" t="str">
        <f>IF(LEFT(D3823,6)="CLIENT",IF(E3823=0,WORKDAY(A3823-1,1,Dias_Sem_Compensacao!$A$2:$A$500),WORKDAY(A3823,E3823,Dias_Sem_Compensacao!$A$2:$A$500)),"")</f>
        <v/>
      </c>
      <c r="H3823" s="25">
        <v>55824.94</v>
      </c>
      <c r="I3823" s="28">
        <v>46294</v>
      </c>
      <c r="J3823" t="s">
        <v>26</v>
      </c>
      <c r="K3823" t="s">
        <v>25</v>
      </c>
    </row>
    <row r="3824" spans="1:11" hidden="1">
      <c r="A3824" s="28">
        <v>46294</v>
      </c>
      <c r="B3824" t="s">
        <v>3523</v>
      </c>
      <c r="C3824" t="s">
        <v>151</v>
      </c>
      <c r="D3824" t="s">
        <v>3462</v>
      </c>
      <c r="E3824" t="str">
        <f>IF(LEFT(D3824,6)="CLIENT",IFERROR(VLOOKUP(C3824,Config_Carteiras!$A:$B,2,FALSE),1),"")</f>
        <v/>
      </c>
      <c r="F3824" s="25">
        <v>0</v>
      </c>
      <c r="G3824" s="28" t="str">
        <f>IF(LEFT(D3824,6)="CLIENT",IF(E3824=0,WORKDAY(A3824-1,1,Dias_Sem_Compensacao!$A$2:$A$500),WORKDAY(A3824,E3824,Dias_Sem_Compensacao!$A$2:$A$500)),"")</f>
        <v/>
      </c>
      <c r="H3824" s="25">
        <v>17315.46</v>
      </c>
      <c r="I3824" s="28">
        <v>46294</v>
      </c>
      <c r="J3824" t="s">
        <v>28</v>
      </c>
      <c r="K3824" t="s">
        <v>27</v>
      </c>
    </row>
    <row r="3825" spans="1:11" hidden="1">
      <c r="A3825" s="28">
        <v>46294</v>
      </c>
      <c r="B3825" t="s">
        <v>3523</v>
      </c>
      <c r="C3825" t="s">
        <v>151</v>
      </c>
      <c r="D3825" t="s">
        <v>3462</v>
      </c>
      <c r="E3825" t="str">
        <f>IF(LEFT(D3825,6)="CLIENT",IFERROR(VLOOKUP(C3825,Config_Carteiras!$A:$B,2,FALSE),1),"")</f>
        <v/>
      </c>
      <c r="F3825" s="25">
        <v>0</v>
      </c>
      <c r="G3825" s="28" t="str">
        <f>IF(LEFT(D3825,6)="CLIENT",IF(E3825=0,WORKDAY(A3825-1,1,Dias_Sem_Compensacao!$A$2:$A$500),WORKDAY(A3825,E3825,Dias_Sem_Compensacao!$A$2:$A$500)),"")</f>
        <v/>
      </c>
      <c r="H3825" s="25">
        <v>11174</v>
      </c>
      <c r="I3825" s="28">
        <v>46294</v>
      </c>
      <c r="J3825" t="s">
        <v>32</v>
      </c>
      <c r="K3825" t="s">
        <v>31</v>
      </c>
    </row>
    <row r="3826" spans="1:11" hidden="1">
      <c r="A3826" s="28">
        <v>46294</v>
      </c>
      <c r="B3826" t="s">
        <v>3523</v>
      </c>
      <c r="C3826" t="s">
        <v>151</v>
      </c>
      <c r="D3826" t="s">
        <v>3462</v>
      </c>
      <c r="E3826" t="str">
        <f>IF(LEFT(D3826,6)="CLIENT",IFERROR(VLOOKUP(C3826,Config_Carteiras!$A:$B,2,FALSE),1),"")</f>
        <v/>
      </c>
      <c r="F3826" s="25">
        <v>0</v>
      </c>
      <c r="G3826" s="28" t="str">
        <f>IF(LEFT(D3826,6)="CLIENT",IF(E3826=0,WORKDAY(A3826-1,1,Dias_Sem_Compensacao!$A$2:$A$500),WORKDAY(A3826,E3826,Dias_Sem_Compensacao!$A$2:$A$500)),"")</f>
        <v/>
      </c>
      <c r="H3826" s="25">
        <v>16000</v>
      </c>
      <c r="I3826" s="28">
        <v>46294</v>
      </c>
      <c r="J3826" t="s">
        <v>34</v>
      </c>
      <c r="K3826" t="s">
        <v>33</v>
      </c>
    </row>
    <row r="3827" spans="1:11" hidden="1">
      <c r="A3827" s="28">
        <v>46294</v>
      </c>
      <c r="B3827" t="s">
        <v>3523</v>
      </c>
      <c r="C3827" t="s">
        <v>151</v>
      </c>
      <c r="D3827" t="s">
        <v>3462</v>
      </c>
      <c r="E3827" t="str">
        <f>IF(LEFT(D3827,6)="CLIENT",IFERROR(VLOOKUP(C3827,Config_Carteiras!$A:$B,2,FALSE),1),"")</f>
        <v/>
      </c>
      <c r="F3827" s="25">
        <v>0</v>
      </c>
      <c r="G3827" s="28" t="str">
        <f>IF(LEFT(D3827,6)="CLIENT",IF(E3827=0,WORKDAY(A3827-1,1,Dias_Sem_Compensacao!$A$2:$A$500),WORKDAY(A3827,E3827,Dias_Sem_Compensacao!$A$2:$A$500)),"")</f>
        <v/>
      </c>
      <c r="H3827" s="25">
        <v>3375</v>
      </c>
      <c r="I3827" s="28">
        <v>46294</v>
      </c>
      <c r="J3827" t="s">
        <v>36</v>
      </c>
      <c r="K3827" t="s">
        <v>35</v>
      </c>
    </row>
    <row r="3828" spans="1:11" hidden="1">
      <c r="A3828" s="28">
        <v>46294</v>
      </c>
      <c r="B3828" t="s">
        <v>3523</v>
      </c>
      <c r="C3828" t="s">
        <v>151</v>
      </c>
      <c r="D3828" t="s">
        <v>3462</v>
      </c>
      <c r="E3828" t="str">
        <f>IF(LEFT(D3828,6)="CLIENT",IFERROR(VLOOKUP(C3828,Config_Carteiras!$A:$B,2,FALSE),1),"")</f>
        <v/>
      </c>
      <c r="F3828" s="25">
        <v>0</v>
      </c>
      <c r="G3828" s="28" t="str">
        <f>IF(LEFT(D3828,6)="CLIENT",IF(E3828=0,WORKDAY(A3828-1,1,Dias_Sem_Compensacao!$A$2:$A$500),WORKDAY(A3828,E3828,Dias_Sem_Compensacao!$A$2:$A$500)),"")</f>
        <v/>
      </c>
      <c r="H3828" s="25">
        <v>866.22</v>
      </c>
      <c r="I3828" s="28">
        <v>46294</v>
      </c>
      <c r="J3828" t="s">
        <v>38</v>
      </c>
      <c r="K3828" t="s">
        <v>37</v>
      </c>
    </row>
    <row r="3829" spans="1:11" hidden="1">
      <c r="A3829" s="28">
        <v>46294</v>
      </c>
      <c r="B3829" t="s">
        <v>3523</v>
      </c>
      <c r="C3829" t="s">
        <v>151</v>
      </c>
      <c r="D3829" t="s">
        <v>3462</v>
      </c>
      <c r="E3829" t="str">
        <f>IF(LEFT(D3829,6)="CLIENT",IFERROR(VLOOKUP(C3829,Config_Carteiras!$A:$B,2,FALSE),1),"")</f>
        <v/>
      </c>
      <c r="F3829" s="25">
        <v>0</v>
      </c>
      <c r="G3829" s="28" t="str">
        <f>IF(LEFT(D3829,6)="CLIENT",IF(E3829=0,WORKDAY(A3829-1,1,Dias_Sem_Compensacao!$A$2:$A$500),WORKDAY(A3829,E3829,Dias_Sem_Compensacao!$A$2:$A$500)),"")</f>
        <v/>
      </c>
      <c r="H3829" s="25">
        <v>12217.6</v>
      </c>
      <c r="I3829" s="28">
        <v>46294</v>
      </c>
      <c r="J3829" t="s">
        <v>40</v>
      </c>
      <c r="K3829" t="s">
        <v>39</v>
      </c>
    </row>
    <row r="3830" spans="1:11" hidden="1">
      <c r="A3830" s="28">
        <v>46294</v>
      </c>
      <c r="B3830" t="s">
        <v>3523</v>
      </c>
      <c r="C3830" t="s">
        <v>151</v>
      </c>
      <c r="D3830" t="s">
        <v>3462</v>
      </c>
      <c r="E3830" t="str">
        <f>IF(LEFT(D3830,6)="CLIENT",IFERROR(VLOOKUP(C3830,Config_Carteiras!$A:$B,2,FALSE),1),"")</f>
        <v/>
      </c>
      <c r="F3830" s="25">
        <v>0</v>
      </c>
      <c r="G3830" s="28" t="str">
        <f>IF(LEFT(D3830,6)="CLIENT",IF(E3830=0,WORKDAY(A3830-1,1,Dias_Sem_Compensacao!$A$2:$A$500),WORKDAY(A3830,E3830,Dias_Sem_Compensacao!$A$2:$A$500)),"")</f>
        <v/>
      </c>
      <c r="H3830" s="25">
        <v>275.66000000000003</v>
      </c>
      <c r="I3830" s="28">
        <v>46294</v>
      </c>
      <c r="J3830" t="s">
        <v>42</v>
      </c>
      <c r="K3830" t="s">
        <v>41</v>
      </c>
    </row>
    <row r="3831" spans="1:11" hidden="1">
      <c r="A3831" s="28">
        <v>46294</v>
      </c>
      <c r="B3831" t="s">
        <v>3523</v>
      </c>
      <c r="C3831" t="s">
        <v>151</v>
      </c>
      <c r="D3831" t="s">
        <v>3462</v>
      </c>
      <c r="E3831" t="str">
        <f>IF(LEFT(D3831,6)="CLIENT",IFERROR(VLOOKUP(C3831,Config_Carteiras!$A:$B,2,FALSE),1),"")</f>
        <v/>
      </c>
      <c r="F3831" s="25">
        <v>0</v>
      </c>
      <c r="G3831" s="28" t="str">
        <f>IF(LEFT(D3831,6)="CLIENT",IF(E3831=0,WORKDAY(A3831-1,1,Dias_Sem_Compensacao!$A$2:$A$500),WORKDAY(A3831,E3831,Dias_Sem_Compensacao!$A$2:$A$500)),"")</f>
        <v/>
      </c>
      <c r="H3831" s="25">
        <v>12217.16</v>
      </c>
      <c r="I3831" s="28">
        <v>46294</v>
      </c>
      <c r="J3831" t="s">
        <v>44</v>
      </c>
      <c r="K3831" t="s">
        <v>43</v>
      </c>
    </row>
    <row r="3832" spans="1:11" hidden="1">
      <c r="A3832" s="28">
        <v>46294</v>
      </c>
      <c r="B3832" t="s">
        <v>3523</v>
      </c>
      <c r="C3832" t="s">
        <v>151</v>
      </c>
      <c r="D3832" t="s">
        <v>3462</v>
      </c>
      <c r="E3832" t="str">
        <f>IF(LEFT(D3832,6)="CLIENT",IFERROR(VLOOKUP(C3832,Config_Carteiras!$A:$B,2,FALSE),1),"")</f>
        <v/>
      </c>
      <c r="F3832" s="25">
        <v>0</v>
      </c>
      <c r="G3832" s="28" t="str">
        <f>IF(LEFT(D3832,6)="CLIENT",IF(E3832=0,WORKDAY(A3832-1,1,Dias_Sem_Compensacao!$A$2:$A$500),WORKDAY(A3832,E3832,Dias_Sem_Compensacao!$A$2:$A$500)),"")</f>
        <v/>
      </c>
      <c r="H3832" s="25">
        <v>12084.38</v>
      </c>
      <c r="I3832" s="28">
        <v>46294</v>
      </c>
      <c r="J3832" t="s">
        <v>46</v>
      </c>
      <c r="K3832" t="s">
        <v>45</v>
      </c>
    </row>
    <row r="3833" spans="1:11" hidden="1">
      <c r="A3833" s="28">
        <v>46294</v>
      </c>
      <c r="B3833" t="s">
        <v>3523</v>
      </c>
      <c r="C3833" t="s">
        <v>151</v>
      </c>
      <c r="D3833" t="s">
        <v>3462</v>
      </c>
      <c r="E3833" t="str">
        <f>IF(LEFT(D3833,6)="CLIENT",IFERROR(VLOOKUP(C3833,Config_Carteiras!$A:$B,2,FALSE),1),"")</f>
        <v/>
      </c>
      <c r="F3833" s="25">
        <v>0</v>
      </c>
      <c r="G3833" s="28" t="str">
        <f>IF(LEFT(D3833,6)="CLIENT",IF(E3833=0,WORKDAY(A3833-1,1,Dias_Sem_Compensacao!$A$2:$A$500),WORKDAY(A3833,E3833,Dias_Sem_Compensacao!$A$2:$A$500)),"")</f>
        <v/>
      </c>
      <c r="H3833" s="25">
        <v>138</v>
      </c>
      <c r="I3833" s="28">
        <v>46294</v>
      </c>
      <c r="J3833" t="s">
        <v>48</v>
      </c>
      <c r="K3833" t="s">
        <v>47</v>
      </c>
    </row>
    <row r="3834" spans="1:11" hidden="1">
      <c r="A3834" s="28">
        <v>46294</v>
      </c>
      <c r="B3834" t="s">
        <v>3523</v>
      </c>
      <c r="C3834" t="s">
        <v>151</v>
      </c>
      <c r="D3834" t="s">
        <v>3462</v>
      </c>
      <c r="E3834" t="str">
        <f>IF(LEFT(D3834,6)="CLIENT",IFERROR(VLOOKUP(C3834,Config_Carteiras!$A:$B,2,FALSE),1),"")</f>
        <v/>
      </c>
      <c r="F3834" s="25">
        <v>0</v>
      </c>
      <c r="G3834" s="28" t="str">
        <f>IF(LEFT(D3834,6)="CLIENT",IF(E3834=0,WORKDAY(A3834-1,1,Dias_Sem_Compensacao!$A$2:$A$500),WORKDAY(A3834,E3834,Dias_Sem_Compensacao!$A$2:$A$500)),"")</f>
        <v/>
      </c>
      <c r="H3834" s="25">
        <v>6000</v>
      </c>
      <c r="I3834" s="28">
        <v>46294</v>
      </c>
      <c r="J3834" t="s">
        <v>50</v>
      </c>
      <c r="K3834" t="s">
        <v>49</v>
      </c>
    </row>
    <row r="3835" spans="1:11" hidden="1">
      <c r="A3835" s="28">
        <v>46294</v>
      </c>
      <c r="B3835" t="s">
        <v>3523</v>
      </c>
      <c r="C3835" t="s">
        <v>151</v>
      </c>
      <c r="D3835" t="s">
        <v>3462</v>
      </c>
      <c r="E3835" t="str">
        <f>IF(LEFT(D3835,6)="CLIENT",IFERROR(VLOOKUP(C3835,Config_Carteiras!$A:$B,2,FALSE),1),"")</f>
        <v/>
      </c>
      <c r="F3835" s="25">
        <v>0</v>
      </c>
      <c r="G3835" s="28" t="str">
        <f>IF(LEFT(D3835,6)="CLIENT",IF(E3835=0,WORKDAY(A3835-1,1,Dias_Sem_Compensacao!$A$2:$A$500),WORKDAY(A3835,E3835,Dias_Sem_Compensacao!$A$2:$A$500)),"")</f>
        <v/>
      </c>
      <c r="H3835" s="25">
        <v>1006.76</v>
      </c>
      <c r="I3835" s="28">
        <v>46294</v>
      </c>
      <c r="J3835" t="s">
        <v>52</v>
      </c>
      <c r="K3835" t="s">
        <v>51</v>
      </c>
    </row>
    <row r="3836" spans="1:11" hidden="1">
      <c r="A3836" s="28">
        <v>46294</v>
      </c>
      <c r="B3836" t="s">
        <v>3523</v>
      </c>
      <c r="C3836" t="s">
        <v>151</v>
      </c>
      <c r="D3836" t="s">
        <v>3462</v>
      </c>
      <c r="E3836" t="str">
        <f>IF(LEFT(D3836,6)="CLIENT",IFERROR(VLOOKUP(C3836,Config_Carteiras!$A:$B,2,FALSE),1),"")</f>
        <v/>
      </c>
      <c r="F3836" s="25">
        <v>0</v>
      </c>
      <c r="G3836" s="28" t="str">
        <f>IF(LEFT(D3836,6)="CLIENT",IF(E3836=0,WORKDAY(A3836-1,1,Dias_Sem_Compensacao!$A$2:$A$500),WORKDAY(A3836,E3836,Dias_Sem_Compensacao!$A$2:$A$500)),"")</f>
        <v/>
      </c>
      <c r="H3836" s="25">
        <v>744.02</v>
      </c>
      <c r="I3836" s="28">
        <v>46294</v>
      </c>
      <c r="J3836" t="s">
        <v>53</v>
      </c>
      <c r="K3836" t="s">
        <v>37</v>
      </c>
    </row>
    <row r="3837" spans="1:11" hidden="1">
      <c r="A3837" s="28">
        <v>46295</v>
      </c>
      <c r="B3837" t="s">
        <v>3523</v>
      </c>
      <c r="C3837" t="s">
        <v>151</v>
      </c>
      <c r="D3837" t="s">
        <v>3462</v>
      </c>
      <c r="E3837" t="str">
        <f>IF(LEFT(D3837,6)="CLIENT",IFERROR(VLOOKUP(C3837,Config_Carteiras!$A:$B,2,FALSE),1),"")</f>
        <v/>
      </c>
      <c r="F3837" s="25">
        <v>0</v>
      </c>
      <c r="G3837" s="28" t="str">
        <f>IF(LEFT(D3837,6)="CLIENT",IF(E3837=0,WORKDAY(A3837-1,1,Dias_Sem_Compensacao!$A$2:$A$500),WORKDAY(A3837,E3837,Dias_Sem_Compensacao!$A$2:$A$500)),"")</f>
        <v/>
      </c>
      <c r="H3837" s="25">
        <v>289.68</v>
      </c>
      <c r="I3837" s="28">
        <v>46295</v>
      </c>
      <c r="J3837" t="s">
        <v>66</v>
      </c>
      <c r="K3837" t="s">
        <v>65</v>
      </c>
    </row>
    <row r="3838" spans="1:11" hidden="1">
      <c r="A3838" s="28">
        <v>46295</v>
      </c>
      <c r="B3838" t="s">
        <v>3523</v>
      </c>
      <c r="C3838" t="s">
        <v>151</v>
      </c>
      <c r="D3838" t="s">
        <v>3462</v>
      </c>
      <c r="E3838" t="str">
        <f>IF(LEFT(D3838,6)="CLIENT",IFERROR(VLOOKUP(C3838,Config_Carteiras!$A:$B,2,FALSE),1),"")</f>
        <v/>
      </c>
      <c r="F3838" s="25">
        <v>0</v>
      </c>
      <c r="G3838" s="28" t="str">
        <f>IF(LEFT(D3838,6)="CLIENT",IF(E3838=0,WORKDAY(A3838-1,1,Dias_Sem_Compensacao!$A$2:$A$500),WORKDAY(A3838,E3838,Dias_Sem_Compensacao!$A$2:$A$500)),"")</f>
        <v/>
      </c>
      <c r="H3838" s="25">
        <v>2254.75</v>
      </c>
      <c r="I3838" s="28">
        <v>46295</v>
      </c>
      <c r="J3838" t="s">
        <v>68</v>
      </c>
      <c r="K3838" t="s">
        <v>67</v>
      </c>
    </row>
    <row r="3839" spans="1:11" hidden="1">
      <c r="A3839" s="28">
        <v>46295</v>
      </c>
      <c r="B3839" t="s">
        <v>3523</v>
      </c>
      <c r="C3839" t="s">
        <v>151</v>
      </c>
      <c r="D3839" t="s">
        <v>3462</v>
      </c>
      <c r="E3839" t="str">
        <f>IF(LEFT(D3839,6)="CLIENT",IFERROR(VLOOKUP(C3839,Config_Carteiras!$A:$B,2,FALSE),1),"")</f>
        <v/>
      </c>
      <c r="F3839" s="25">
        <v>0</v>
      </c>
      <c r="G3839" s="28" t="str">
        <f>IF(LEFT(D3839,6)="CLIENT",IF(E3839=0,WORKDAY(A3839-1,1,Dias_Sem_Compensacao!$A$2:$A$500),WORKDAY(A3839,E3839,Dias_Sem_Compensacao!$A$2:$A$500)),"")</f>
        <v/>
      </c>
      <c r="H3839" s="25">
        <v>2254.75</v>
      </c>
      <c r="I3839" s="28">
        <v>46295</v>
      </c>
      <c r="K3839" t="s">
        <v>64</v>
      </c>
    </row>
    <row r="3840" spans="1:11" hidden="1">
      <c r="A3840" s="28">
        <v>46295</v>
      </c>
      <c r="B3840" t="s">
        <v>3523</v>
      </c>
      <c r="C3840" t="s">
        <v>151</v>
      </c>
      <c r="D3840" t="s">
        <v>3462</v>
      </c>
      <c r="E3840" t="str">
        <f>IF(LEFT(D3840,6)="CLIENT",IFERROR(VLOOKUP(C3840,Config_Carteiras!$A:$B,2,FALSE),1),"")</f>
        <v/>
      </c>
      <c r="F3840" s="25">
        <v>0</v>
      </c>
      <c r="G3840" s="28" t="str">
        <f>IF(LEFT(D3840,6)="CLIENT",IF(E3840=0,WORKDAY(A3840-1,1,Dias_Sem_Compensacao!$A$2:$A$500),WORKDAY(A3840,E3840,Dias_Sem_Compensacao!$A$2:$A$500)),"")</f>
        <v/>
      </c>
      <c r="H3840" s="25">
        <v>1057.97</v>
      </c>
      <c r="I3840" s="28">
        <v>46295</v>
      </c>
      <c r="J3840" t="s">
        <v>70</v>
      </c>
      <c r="K3840" t="s">
        <v>69</v>
      </c>
    </row>
    <row r="3841" spans="1:11" hidden="1">
      <c r="A3841" s="28">
        <v>46295</v>
      </c>
      <c r="B3841" t="s">
        <v>3523</v>
      </c>
      <c r="C3841" t="s">
        <v>151</v>
      </c>
      <c r="D3841" t="s">
        <v>3462</v>
      </c>
      <c r="E3841" t="str">
        <f>IF(LEFT(D3841,6)="CLIENT",IFERROR(VLOOKUP(C3841,Config_Carteiras!$A:$B,2,FALSE),1),"")</f>
        <v/>
      </c>
      <c r="F3841" s="25">
        <v>0</v>
      </c>
      <c r="G3841" s="28" t="str">
        <f>IF(LEFT(D3841,6)="CLIENT",IF(E3841=0,WORKDAY(A3841-1,1,Dias_Sem_Compensacao!$A$2:$A$500),WORKDAY(A3841,E3841,Dias_Sem_Compensacao!$A$2:$A$500)),"")</f>
        <v/>
      </c>
      <c r="H3841" s="25">
        <v>250</v>
      </c>
      <c r="I3841" s="28">
        <v>46295</v>
      </c>
      <c r="J3841" t="s">
        <v>72</v>
      </c>
      <c r="K3841" t="s">
        <v>71</v>
      </c>
    </row>
    <row r="3842" spans="1:11">
      <c r="A3842" s="28">
        <v>46295</v>
      </c>
      <c r="B3842" t="s">
        <v>3523</v>
      </c>
      <c r="C3842" t="s">
        <v>151</v>
      </c>
      <c r="D3842" t="s">
        <v>3462</v>
      </c>
      <c r="E3842" t="str">
        <f>IF(LEFT(D3842,6)="CLIENT",IFERROR(VLOOKUP(C3842,Config_Carteiras!$A:$B,2,FALSE),1),"")</f>
        <v/>
      </c>
      <c r="F3842" s="25">
        <v>0</v>
      </c>
      <c r="G3842" s="28" t="str">
        <f>IF(LEFT(D3842,6)="CLIENT",IF(E3842=0,WORKDAY(A3842-1,1,Dias_Sem_Compensacao!$A$2:$A$500),WORKDAY(A3842,E3842,Dias_Sem_Compensacao!$A$2:$A$500)),"")</f>
        <v/>
      </c>
      <c r="H3842" s="25">
        <v>400</v>
      </c>
      <c r="I3842" s="28">
        <v>46295</v>
      </c>
      <c r="K3842" t="s">
        <v>54</v>
      </c>
    </row>
    <row r="3843" spans="1:11" hidden="1">
      <c r="A3843" s="28">
        <v>46295</v>
      </c>
      <c r="B3843" t="s">
        <v>3523</v>
      </c>
      <c r="C3843" t="s">
        <v>151</v>
      </c>
      <c r="D3843" t="s">
        <v>3462</v>
      </c>
      <c r="E3843" t="str">
        <f>IF(LEFT(D3843,6)="CLIENT",IFERROR(VLOOKUP(C3843,Config_Carteiras!$A:$B,2,FALSE),1),"")</f>
        <v/>
      </c>
      <c r="F3843" s="25">
        <v>0</v>
      </c>
      <c r="G3843" s="28" t="str">
        <f>IF(LEFT(D3843,6)="CLIENT",IF(E3843=0,WORKDAY(A3843-1,1,Dias_Sem_Compensacao!$A$2:$A$500),WORKDAY(A3843,E3843,Dias_Sem_Compensacao!$A$2:$A$500)),"")</f>
        <v/>
      </c>
      <c r="H3843" s="25">
        <v>439.5</v>
      </c>
      <c r="I3843" s="28">
        <v>46295</v>
      </c>
      <c r="J3843" t="s">
        <v>74</v>
      </c>
      <c r="K3843" t="s">
        <v>73</v>
      </c>
    </row>
    <row r="3844" spans="1:11" hidden="1">
      <c r="A3844" s="28">
        <v>46295</v>
      </c>
      <c r="B3844" t="s">
        <v>3523</v>
      </c>
      <c r="C3844" t="s">
        <v>151</v>
      </c>
      <c r="D3844" t="s">
        <v>3462</v>
      </c>
      <c r="E3844" t="str">
        <f>IF(LEFT(D3844,6)="CLIENT",IFERROR(VLOOKUP(C3844,Config_Carteiras!$A:$B,2,FALSE),1),"")</f>
        <v/>
      </c>
      <c r="F3844" s="25">
        <v>0</v>
      </c>
      <c r="G3844" s="28" t="str">
        <f>IF(LEFT(D3844,6)="CLIENT",IF(E3844=0,WORKDAY(A3844-1,1,Dias_Sem_Compensacao!$A$2:$A$500),WORKDAY(A3844,E3844,Dias_Sem_Compensacao!$A$2:$A$500)),"")</f>
        <v/>
      </c>
      <c r="H3844" s="25">
        <v>6278.26</v>
      </c>
      <c r="I3844" s="28">
        <v>46295</v>
      </c>
      <c r="J3844" t="s">
        <v>76</v>
      </c>
      <c r="K3844" t="s">
        <v>75</v>
      </c>
    </row>
    <row r="3845" spans="1:11" hidden="1">
      <c r="A3845" s="28">
        <v>46295</v>
      </c>
      <c r="B3845" t="s">
        <v>3523</v>
      </c>
      <c r="C3845" t="s">
        <v>151</v>
      </c>
      <c r="D3845" t="s">
        <v>3462</v>
      </c>
      <c r="E3845" t="str">
        <f>IF(LEFT(D3845,6)="CLIENT",IFERROR(VLOOKUP(C3845,Config_Carteiras!$A:$B,2,FALSE),1),"")</f>
        <v/>
      </c>
      <c r="F3845" s="25">
        <v>0</v>
      </c>
      <c r="G3845" s="28" t="str">
        <f>IF(LEFT(D3845,6)="CLIENT",IF(E3845=0,WORKDAY(A3845-1,1,Dias_Sem_Compensacao!$A$2:$A$500),WORKDAY(A3845,E3845,Dias_Sem_Compensacao!$A$2:$A$500)),"")</f>
        <v/>
      </c>
      <c r="H3845" s="25">
        <v>1431.75</v>
      </c>
      <c r="I3845" s="28">
        <v>46295</v>
      </c>
      <c r="J3845" t="s">
        <v>78</v>
      </c>
      <c r="K3845" t="s">
        <v>77</v>
      </c>
    </row>
    <row r="3846" spans="1:11" hidden="1">
      <c r="A3846" s="28">
        <v>46295</v>
      </c>
      <c r="B3846" t="s">
        <v>3523</v>
      </c>
      <c r="C3846" t="s">
        <v>151</v>
      </c>
      <c r="D3846" t="s">
        <v>3462</v>
      </c>
      <c r="E3846" t="str">
        <f>IF(LEFT(D3846,6)="CLIENT",IFERROR(VLOOKUP(C3846,Config_Carteiras!$A:$B,2,FALSE),1),"")</f>
        <v/>
      </c>
      <c r="F3846" s="25">
        <v>0</v>
      </c>
      <c r="G3846" s="28" t="str">
        <f>IF(LEFT(D3846,6)="CLIENT",IF(E3846=0,WORKDAY(A3846-1,1,Dias_Sem_Compensacao!$A$2:$A$500),WORKDAY(A3846,E3846,Dias_Sem_Compensacao!$A$2:$A$500)),"")</f>
        <v/>
      </c>
      <c r="H3846" s="25">
        <v>763.2</v>
      </c>
      <c r="I3846" s="28">
        <v>46295</v>
      </c>
      <c r="J3846" t="s">
        <v>80</v>
      </c>
      <c r="K3846" t="s">
        <v>79</v>
      </c>
    </row>
    <row r="3847" spans="1:11" hidden="1">
      <c r="A3847" s="28">
        <v>46295</v>
      </c>
      <c r="B3847" t="s">
        <v>3523</v>
      </c>
      <c r="C3847" t="s">
        <v>151</v>
      </c>
      <c r="D3847" t="s">
        <v>3462</v>
      </c>
      <c r="E3847" t="str">
        <f>IF(LEFT(D3847,6)="CLIENT",IFERROR(VLOOKUP(C3847,Config_Carteiras!$A:$B,2,FALSE),1),"")</f>
        <v/>
      </c>
      <c r="F3847" s="25">
        <v>0</v>
      </c>
      <c r="G3847" s="28" t="str">
        <f>IF(LEFT(D3847,6)="CLIENT",IF(E3847=0,WORKDAY(A3847-1,1,Dias_Sem_Compensacao!$A$2:$A$500),WORKDAY(A3847,E3847,Dias_Sem_Compensacao!$A$2:$A$500)),"")</f>
        <v/>
      </c>
      <c r="H3847" s="25">
        <v>550</v>
      </c>
      <c r="I3847" s="28">
        <v>46295</v>
      </c>
      <c r="J3847" t="s">
        <v>82</v>
      </c>
      <c r="K3847" t="s">
        <v>81</v>
      </c>
    </row>
    <row r="3848" spans="1:11" hidden="1">
      <c r="A3848" s="28">
        <v>46295</v>
      </c>
      <c r="B3848" t="s">
        <v>3523</v>
      </c>
      <c r="C3848" t="s">
        <v>151</v>
      </c>
      <c r="D3848" t="s">
        <v>3462</v>
      </c>
      <c r="E3848" t="str">
        <f>IF(LEFT(D3848,6)="CLIENT",IFERROR(VLOOKUP(C3848,Config_Carteiras!$A:$B,2,FALSE),1),"")</f>
        <v/>
      </c>
      <c r="F3848" s="25">
        <v>0</v>
      </c>
      <c r="G3848" s="28" t="str">
        <f>IF(LEFT(D3848,6)="CLIENT",IF(E3848=0,WORKDAY(A3848-1,1,Dias_Sem_Compensacao!$A$2:$A$500),WORKDAY(A3848,E3848,Dias_Sem_Compensacao!$A$2:$A$500)),"")</f>
        <v/>
      </c>
      <c r="H3848" s="25">
        <v>320</v>
      </c>
      <c r="I3848" s="28">
        <v>46295</v>
      </c>
      <c r="J3848" t="s">
        <v>84</v>
      </c>
      <c r="K3848" t="s">
        <v>83</v>
      </c>
    </row>
    <row r="3849" spans="1:11" hidden="1">
      <c r="A3849" s="28">
        <v>46295</v>
      </c>
      <c r="B3849" t="s">
        <v>3523</v>
      </c>
      <c r="C3849" t="s">
        <v>151</v>
      </c>
      <c r="D3849" t="s">
        <v>3462</v>
      </c>
      <c r="E3849" t="str">
        <f>IF(LEFT(D3849,6)="CLIENT",IFERROR(VLOOKUP(C3849,Config_Carteiras!$A:$B,2,FALSE),1),"")</f>
        <v/>
      </c>
      <c r="F3849" s="25">
        <v>0</v>
      </c>
      <c r="G3849" s="28" t="str">
        <f>IF(LEFT(D3849,6)="CLIENT",IF(E3849=0,WORKDAY(A3849-1,1,Dias_Sem_Compensacao!$A$2:$A$500),WORKDAY(A3849,E3849,Dias_Sem_Compensacao!$A$2:$A$500)),"")</f>
        <v/>
      </c>
      <c r="H3849" s="25">
        <v>120</v>
      </c>
      <c r="I3849" s="28">
        <v>46295</v>
      </c>
      <c r="K3849" t="s">
        <v>63</v>
      </c>
    </row>
    <row r="3850" spans="1:11" hidden="1">
      <c r="A3850" s="28">
        <v>46295</v>
      </c>
      <c r="B3850" t="s">
        <v>3523</v>
      </c>
      <c r="C3850" t="s">
        <v>151</v>
      </c>
      <c r="D3850" t="s">
        <v>3462</v>
      </c>
      <c r="E3850" t="str">
        <f>IF(LEFT(D3850,6)="CLIENT",IFERROR(VLOOKUP(C3850,Config_Carteiras!$A:$B,2,FALSE),1),"")</f>
        <v/>
      </c>
      <c r="F3850" s="25">
        <v>0</v>
      </c>
      <c r="G3850" s="28" t="str">
        <f>IF(LEFT(D3850,6)="CLIENT",IF(E3850=0,WORKDAY(A3850-1,1,Dias_Sem_Compensacao!$A$2:$A$500),WORKDAY(A3850,E3850,Dias_Sem_Compensacao!$A$2:$A$500)),"")</f>
        <v/>
      </c>
      <c r="H3850" s="25">
        <v>112.5</v>
      </c>
      <c r="I3850" s="28">
        <v>46295</v>
      </c>
      <c r="J3850" t="s">
        <v>88</v>
      </c>
      <c r="K3850" t="s">
        <v>87</v>
      </c>
    </row>
    <row r="3851" spans="1:11" hidden="1">
      <c r="A3851" s="28">
        <v>46295</v>
      </c>
      <c r="B3851" t="s">
        <v>3523</v>
      </c>
      <c r="C3851" t="s">
        <v>151</v>
      </c>
      <c r="D3851" t="s">
        <v>3462</v>
      </c>
      <c r="E3851" t="str">
        <f>IF(LEFT(D3851,6)="CLIENT",IFERROR(VLOOKUP(C3851,Config_Carteiras!$A:$B,2,FALSE),1),"")</f>
        <v/>
      </c>
      <c r="F3851" s="25">
        <v>0</v>
      </c>
      <c r="G3851" s="28" t="str">
        <f>IF(LEFT(D3851,6)="CLIENT",IF(E3851=0,WORKDAY(A3851-1,1,Dias_Sem_Compensacao!$A$2:$A$500),WORKDAY(A3851,E3851,Dias_Sem_Compensacao!$A$2:$A$500)),"")</f>
        <v/>
      </c>
      <c r="H3851" s="25">
        <v>85.12</v>
      </c>
      <c r="I3851" s="28">
        <v>46295</v>
      </c>
      <c r="J3851" t="s">
        <v>90</v>
      </c>
      <c r="K3851" t="s">
        <v>89</v>
      </c>
    </row>
    <row r="3852" spans="1:11" hidden="1">
      <c r="A3852" s="28">
        <v>46295</v>
      </c>
      <c r="B3852" t="s">
        <v>3523</v>
      </c>
      <c r="C3852" t="s">
        <v>151</v>
      </c>
      <c r="D3852" t="s">
        <v>3462</v>
      </c>
      <c r="E3852" t="str">
        <f>IF(LEFT(D3852,6)="CLIENT",IFERROR(VLOOKUP(C3852,Config_Carteiras!$A:$B,2,FALSE),1),"")</f>
        <v/>
      </c>
      <c r="F3852" s="25">
        <v>0</v>
      </c>
      <c r="G3852" s="28" t="str">
        <f>IF(LEFT(D3852,6)="CLIENT",IF(E3852=0,WORKDAY(A3852-1,1,Dias_Sem_Compensacao!$A$2:$A$500),WORKDAY(A3852,E3852,Dias_Sem_Compensacao!$A$2:$A$500)),"")</f>
        <v/>
      </c>
      <c r="H3852" s="25">
        <v>764.1</v>
      </c>
      <c r="I3852" s="28">
        <v>46295</v>
      </c>
      <c r="K3852" t="s">
        <v>56</v>
      </c>
    </row>
    <row r="3853" spans="1:11" hidden="1">
      <c r="A3853" s="28">
        <v>46295</v>
      </c>
      <c r="B3853" t="s">
        <v>3523</v>
      </c>
      <c r="C3853" t="s">
        <v>151</v>
      </c>
      <c r="D3853" t="s">
        <v>3462</v>
      </c>
      <c r="E3853" t="str">
        <f>IF(LEFT(D3853,6)="CLIENT",IFERROR(VLOOKUP(C3853,Config_Carteiras!$A:$B,2,FALSE),1),"")</f>
        <v/>
      </c>
      <c r="F3853" s="25">
        <v>0</v>
      </c>
      <c r="G3853" s="28" t="str">
        <f>IF(LEFT(D3853,6)="CLIENT",IF(E3853=0,WORKDAY(A3853-1,1,Dias_Sem_Compensacao!$A$2:$A$500),WORKDAY(A3853,E3853,Dias_Sem_Compensacao!$A$2:$A$500)),"")</f>
        <v/>
      </c>
      <c r="H3853" s="25">
        <v>363.6</v>
      </c>
      <c r="I3853" s="28">
        <v>46295</v>
      </c>
      <c r="K3853" t="s">
        <v>57</v>
      </c>
    </row>
    <row r="3854" spans="1:11" hidden="1">
      <c r="A3854" s="28">
        <v>46295</v>
      </c>
      <c r="B3854" t="s">
        <v>3523</v>
      </c>
      <c r="C3854" t="s">
        <v>151</v>
      </c>
      <c r="D3854" t="s">
        <v>3462</v>
      </c>
      <c r="E3854" t="str">
        <f>IF(LEFT(D3854,6)="CLIENT",IFERROR(VLOOKUP(C3854,Config_Carteiras!$A:$B,2,FALSE),1),"")</f>
        <v/>
      </c>
      <c r="F3854" s="25">
        <v>0</v>
      </c>
      <c r="G3854" s="28" t="str">
        <f>IF(LEFT(D3854,6)="CLIENT",IF(E3854=0,WORKDAY(A3854-1,1,Dias_Sem_Compensacao!$A$2:$A$500),WORKDAY(A3854,E3854,Dias_Sem_Compensacao!$A$2:$A$500)),"")</f>
        <v/>
      </c>
      <c r="H3854" s="25">
        <v>361.91</v>
      </c>
      <c r="I3854" s="28">
        <v>46295</v>
      </c>
      <c r="K3854" t="s">
        <v>58</v>
      </c>
    </row>
    <row r="3855" spans="1:11" hidden="1">
      <c r="A3855" s="28">
        <v>46295</v>
      </c>
      <c r="B3855" t="s">
        <v>3523</v>
      </c>
      <c r="C3855" t="s">
        <v>151</v>
      </c>
      <c r="D3855" t="s">
        <v>3462</v>
      </c>
      <c r="E3855" t="str">
        <f>IF(LEFT(D3855,6)="CLIENT",IFERROR(VLOOKUP(C3855,Config_Carteiras!$A:$B,2,FALSE),1),"")</f>
        <v/>
      </c>
      <c r="F3855" s="25">
        <v>0</v>
      </c>
      <c r="G3855" s="28" t="str">
        <f>IF(LEFT(D3855,6)="CLIENT",IF(E3855=0,WORKDAY(A3855-1,1,Dias_Sem_Compensacao!$A$2:$A$500),WORKDAY(A3855,E3855,Dias_Sem_Compensacao!$A$2:$A$500)),"")</f>
        <v/>
      </c>
      <c r="H3855" s="25">
        <v>3900</v>
      </c>
      <c r="I3855" s="28">
        <v>46295</v>
      </c>
      <c r="J3855" t="s">
        <v>92</v>
      </c>
      <c r="K3855" t="s">
        <v>91</v>
      </c>
    </row>
    <row r="3856" spans="1:11" hidden="1">
      <c r="A3856" s="28">
        <v>46295</v>
      </c>
      <c r="B3856" t="s">
        <v>3523</v>
      </c>
      <c r="C3856" t="s">
        <v>151</v>
      </c>
      <c r="D3856" t="s">
        <v>3462</v>
      </c>
      <c r="E3856" t="str">
        <f>IF(LEFT(D3856,6)="CLIENT",IFERROR(VLOOKUP(C3856,Config_Carteiras!$A:$B,2,FALSE),1),"")</f>
        <v/>
      </c>
      <c r="F3856" s="25">
        <v>0</v>
      </c>
      <c r="G3856" s="28" t="str">
        <f>IF(LEFT(D3856,6)="CLIENT",IF(E3856=0,WORKDAY(A3856-1,1,Dias_Sem_Compensacao!$A$2:$A$500),WORKDAY(A3856,E3856,Dias_Sem_Compensacao!$A$2:$A$500)),"")</f>
        <v/>
      </c>
      <c r="H3856" s="25">
        <v>3375</v>
      </c>
      <c r="I3856" s="28">
        <v>46295</v>
      </c>
      <c r="J3856" t="s">
        <v>94</v>
      </c>
      <c r="K3856" t="s">
        <v>93</v>
      </c>
    </row>
    <row r="3857" spans="1:11" hidden="1">
      <c r="A3857" s="28">
        <v>46295</v>
      </c>
      <c r="B3857" t="s">
        <v>3523</v>
      </c>
      <c r="C3857" t="s">
        <v>151</v>
      </c>
      <c r="D3857" t="s">
        <v>3462</v>
      </c>
      <c r="E3857" t="str">
        <f>IF(LEFT(D3857,6)="CLIENT",IFERROR(VLOOKUP(C3857,Config_Carteiras!$A:$B,2,FALSE),1),"")</f>
        <v/>
      </c>
      <c r="F3857" s="25">
        <v>0</v>
      </c>
      <c r="G3857" s="28" t="str">
        <f>IF(LEFT(D3857,6)="CLIENT",IF(E3857=0,WORKDAY(A3857-1,1,Dias_Sem_Compensacao!$A$2:$A$500),WORKDAY(A3857,E3857,Dias_Sem_Compensacao!$A$2:$A$500)),"")</f>
        <v/>
      </c>
      <c r="H3857" s="25">
        <v>2249.12</v>
      </c>
      <c r="I3857" s="28">
        <v>46295</v>
      </c>
      <c r="J3857" t="s">
        <v>96</v>
      </c>
      <c r="K3857" t="s">
        <v>95</v>
      </c>
    </row>
    <row r="3858" spans="1:11" hidden="1">
      <c r="A3858" s="28">
        <v>46295</v>
      </c>
      <c r="B3858" t="s">
        <v>3523</v>
      </c>
      <c r="C3858" t="s">
        <v>151</v>
      </c>
      <c r="D3858" t="s">
        <v>3462</v>
      </c>
      <c r="E3858" t="str">
        <f>IF(LEFT(D3858,6)="CLIENT",IFERROR(VLOOKUP(C3858,Config_Carteiras!$A:$B,2,FALSE),1),"")</f>
        <v/>
      </c>
      <c r="F3858" s="25">
        <v>0</v>
      </c>
      <c r="G3858" s="28" t="str">
        <f>IF(LEFT(D3858,6)="CLIENT",IF(E3858=0,WORKDAY(A3858-1,1,Dias_Sem_Compensacao!$A$2:$A$500),WORKDAY(A3858,E3858,Dias_Sem_Compensacao!$A$2:$A$500)),"")</f>
        <v/>
      </c>
      <c r="H3858" s="25">
        <v>466.29</v>
      </c>
      <c r="I3858" s="28">
        <v>46295</v>
      </c>
      <c r="K3858" t="s">
        <v>59</v>
      </c>
    </row>
    <row r="3859" spans="1:11" hidden="1">
      <c r="A3859" s="28">
        <v>46295</v>
      </c>
      <c r="B3859" t="s">
        <v>3523</v>
      </c>
      <c r="C3859" t="s">
        <v>151</v>
      </c>
      <c r="D3859" t="s">
        <v>3462</v>
      </c>
      <c r="E3859" t="str">
        <f>IF(LEFT(D3859,6)="CLIENT",IFERROR(VLOOKUP(C3859,Config_Carteiras!$A:$B,2,FALSE),1),"")</f>
        <v/>
      </c>
      <c r="F3859" s="25">
        <v>0</v>
      </c>
      <c r="G3859" s="28" t="str">
        <f>IF(LEFT(D3859,6)="CLIENT",IF(E3859=0,WORKDAY(A3859-1,1,Dias_Sem_Compensacao!$A$2:$A$500),WORKDAY(A3859,E3859,Dias_Sem_Compensacao!$A$2:$A$500)),"")</f>
        <v/>
      </c>
      <c r="H3859" s="25">
        <v>1162.1600000000001</v>
      </c>
      <c r="I3859" s="28">
        <v>46295</v>
      </c>
      <c r="K3859" t="s">
        <v>60</v>
      </c>
    </row>
    <row r="3860" spans="1:11" hidden="1">
      <c r="A3860" s="28">
        <v>46295</v>
      </c>
      <c r="B3860" t="s">
        <v>3523</v>
      </c>
      <c r="C3860" t="s">
        <v>151</v>
      </c>
      <c r="D3860" t="s">
        <v>3462</v>
      </c>
      <c r="E3860" t="str">
        <f>IF(LEFT(D3860,6)="CLIENT",IFERROR(VLOOKUP(C3860,Config_Carteiras!$A:$B,2,FALSE),1),"")</f>
        <v/>
      </c>
      <c r="F3860" s="25">
        <v>0</v>
      </c>
      <c r="G3860" s="28" t="str">
        <f>IF(LEFT(D3860,6)="CLIENT",IF(E3860=0,WORKDAY(A3860-1,1,Dias_Sem_Compensacao!$A$2:$A$500),WORKDAY(A3860,E3860,Dias_Sem_Compensacao!$A$2:$A$500)),"")</f>
        <v/>
      </c>
      <c r="H3860" s="25">
        <v>260.52</v>
      </c>
      <c r="I3860" s="28">
        <v>46295</v>
      </c>
      <c r="K3860" t="s">
        <v>61</v>
      </c>
    </row>
    <row r="3861" spans="1:11" hidden="1">
      <c r="A3861" s="28">
        <v>46295</v>
      </c>
      <c r="B3861" t="s">
        <v>3523</v>
      </c>
      <c r="C3861" t="s">
        <v>151</v>
      </c>
      <c r="D3861" t="s">
        <v>3462</v>
      </c>
      <c r="E3861" t="str">
        <f>IF(LEFT(D3861,6)="CLIENT",IFERROR(VLOOKUP(C3861,Config_Carteiras!$A:$B,2,FALSE),1),"")</f>
        <v/>
      </c>
      <c r="F3861" s="25">
        <v>0</v>
      </c>
      <c r="G3861" s="28" t="str">
        <f>IF(LEFT(D3861,6)="CLIENT",IF(E3861=0,WORKDAY(A3861-1,1,Dias_Sem_Compensacao!$A$2:$A$500),WORKDAY(A3861,E3861,Dias_Sem_Compensacao!$A$2:$A$500)),"")</f>
        <v/>
      </c>
      <c r="H3861" s="25">
        <v>593.94000000000005</v>
      </c>
      <c r="I3861" s="28">
        <v>46295</v>
      </c>
      <c r="K3861" t="s">
        <v>62</v>
      </c>
    </row>
    <row r="3862" spans="1:11" hidden="1">
      <c r="A3862" s="28">
        <v>46295</v>
      </c>
      <c r="B3862" t="s">
        <v>3523</v>
      </c>
      <c r="C3862" t="s">
        <v>151</v>
      </c>
      <c r="D3862" t="s">
        <v>3462</v>
      </c>
      <c r="E3862" t="str">
        <f>IF(LEFT(D3862,6)="CLIENT",IFERROR(VLOOKUP(C3862,Config_Carteiras!$A:$B,2,FALSE),1),"")</f>
        <v/>
      </c>
      <c r="F3862" s="25">
        <v>0</v>
      </c>
      <c r="G3862" s="28" t="str">
        <f>IF(LEFT(D3862,6)="CLIENT",IF(E3862=0,WORKDAY(A3862-1,1,Dias_Sem_Compensacao!$A$2:$A$500),WORKDAY(A3862,E3862,Dias_Sem_Compensacao!$A$2:$A$500)),"")</f>
        <v/>
      </c>
      <c r="H3862" s="25">
        <v>52</v>
      </c>
      <c r="I3862" s="28">
        <v>46295</v>
      </c>
      <c r="J3862" t="s">
        <v>98</v>
      </c>
      <c r="K3862" t="s">
        <v>97</v>
      </c>
    </row>
    <row r="3863" spans="1:11" hidden="1">
      <c r="A3863" s="28">
        <v>46295</v>
      </c>
      <c r="B3863" t="s">
        <v>3523</v>
      </c>
      <c r="C3863" t="s">
        <v>151</v>
      </c>
      <c r="D3863" t="s">
        <v>3462</v>
      </c>
      <c r="E3863" t="str">
        <f>IF(LEFT(D3863,6)="CLIENT",IFERROR(VLOOKUP(C3863,Config_Carteiras!$A:$B,2,FALSE),1),"")</f>
        <v/>
      </c>
      <c r="F3863" s="25">
        <v>0</v>
      </c>
      <c r="G3863" s="28" t="str">
        <f>IF(LEFT(D3863,6)="CLIENT",IF(E3863=0,WORKDAY(A3863-1,1,Dias_Sem_Compensacao!$A$2:$A$500),WORKDAY(A3863,E3863,Dias_Sem_Compensacao!$A$2:$A$500)),"")</f>
        <v/>
      </c>
      <c r="H3863" s="25">
        <v>266.23</v>
      </c>
      <c r="I3863" s="28">
        <v>46295</v>
      </c>
      <c r="J3863" t="s">
        <v>42</v>
      </c>
      <c r="K3863" t="s">
        <v>99</v>
      </c>
    </row>
    <row r="3864" spans="1:11" hidden="1">
      <c r="A3864" s="28">
        <v>46295</v>
      </c>
      <c r="B3864" t="s">
        <v>3523</v>
      </c>
      <c r="C3864" t="s">
        <v>151</v>
      </c>
      <c r="D3864" t="s">
        <v>3462</v>
      </c>
      <c r="E3864" t="str">
        <f>IF(LEFT(D3864,6)="CLIENT",IFERROR(VLOOKUP(C3864,Config_Carteiras!$A:$B,2,FALSE),1),"")</f>
        <v/>
      </c>
      <c r="F3864" s="25">
        <v>0</v>
      </c>
      <c r="G3864" s="28" t="str">
        <f>IF(LEFT(D3864,6)="CLIENT",IF(E3864=0,WORKDAY(A3864-1,1,Dias_Sem_Compensacao!$A$2:$A$500),WORKDAY(A3864,E3864,Dias_Sem_Compensacao!$A$2:$A$500)),"")</f>
        <v/>
      </c>
      <c r="H3864" s="25">
        <v>29</v>
      </c>
      <c r="I3864" s="28">
        <v>46295</v>
      </c>
      <c r="J3864" t="s">
        <v>101</v>
      </c>
      <c r="K3864" t="s">
        <v>100</v>
      </c>
    </row>
    <row r="3865" spans="1:11" hidden="1">
      <c r="A3865" s="28">
        <v>46295</v>
      </c>
      <c r="B3865" t="s">
        <v>3523</v>
      </c>
      <c r="C3865" t="s">
        <v>151</v>
      </c>
      <c r="D3865" t="s">
        <v>3462</v>
      </c>
      <c r="E3865" t="str">
        <f>IF(LEFT(D3865,6)="CLIENT",IFERROR(VLOOKUP(C3865,Config_Carteiras!$A:$B,2,FALSE),1),"")</f>
        <v/>
      </c>
      <c r="F3865" s="25">
        <v>0</v>
      </c>
      <c r="G3865" s="28" t="str">
        <f>IF(LEFT(D3865,6)="CLIENT",IF(E3865=0,WORKDAY(A3865-1,1,Dias_Sem_Compensacao!$A$2:$A$500),WORKDAY(A3865,E3865,Dias_Sem_Compensacao!$A$2:$A$500)),"")</f>
        <v/>
      </c>
      <c r="H3865" s="25">
        <v>23770.18</v>
      </c>
      <c r="I3865" s="28">
        <v>46295</v>
      </c>
      <c r="J3865" t="s">
        <v>103</v>
      </c>
      <c r="K3865" t="s">
        <v>102</v>
      </c>
    </row>
    <row r="3866" spans="1:11" hidden="1">
      <c r="A3866" s="28">
        <v>46295</v>
      </c>
      <c r="B3866" t="s">
        <v>3523</v>
      </c>
      <c r="C3866" t="s">
        <v>151</v>
      </c>
      <c r="D3866" t="s">
        <v>3462</v>
      </c>
      <c r="E3866" t="str">
        <f>IF(LEFT(D3866,6)="CLIENT",IFERROR(VLOOKUP(C3866,Config_Carteiras!$A:$B,2,FALSE),1),"")</f>
        <v/>
      </c>
      <c r="F3866" s="25">
        <v>0</v>
      </c>
      <c r="G3866" s="28" t="str">
        <f>IF(LEFT(D3866,6)="CLIENT",IF(E3866=0,WORKDAY(A3866-1,1,Dias_Sem_Compensacao!$A$2:$A$500),WORKDAY(A3866,E3866,Dias_Sem_Compensacao!$A$2:$A$500)),"")</f>
        <v/>
      </c>
      <c r="H3866" s="25">
        <v>3333.33</v>
      </c>
      <c r="I3866" s="28">
        <v>46295</v>
      </c>
      <c r="J3866" t="s">
        <v>23</v>
      </c>
      <c r="K3866" t="s">
        <v>104</v>
      </c>
    </row>
    <row r="3867" spans="1:11" hidden="1">
      <c r="A3867" s="28">
        <v>46295</v>
      </c>
      <c r="B3867" t="s">
        <v>3523</v>
      </c>
      <c r="C3867" t="s">
        <v>151</v>
      </c>
      <c r="D3867" t="s">
        <v>3462</v>
      </c>
      <c r="E3867" t="str">
        <f>IF(LEFT(D3867,6)="CLIENT",IFERROR(VLOOKUP(C3867,Config_Carteiras!$A:$B,2,FALSE),1),"")</f>
        <v/>
      </c>
      <c r="F3867" s="25">
        <v>0</v>
      </c>
      <c r="G3867" s="28" t="str">
        <f>IF(LEFT(D3867,6)="CLIENT",IF(E3867=0,WORKDAY(A3867-1,1,Dias_Sem_Compensacao!$A$2:$A$500),WORKDAY(A3867,E3867,Dias_Sem_Compensacao!$A$2:$A$500)),"")</f>
        <v/>
      </c>
      <c r="H3867" s="25">
        <v>187.55</v>
      </c>
      <c r="I3867" s="28">
        <v>46295</v>
      </c>
      <c r="J3867" t="s">
        <v>106</v>
      </c>
      <c r="K3867" t="s">
        <v>105</v>
      </c>
    </row>
    <row r="3868" spans="1:11" hidden="1">
      <c r="A3868" s="28">
        <v>46296</v>
      </c>
      <c r="B3868" t="s">
        <v>3523</v>
      </c>
      <c r="C3868" t="s">
        <v>151</v>
      </c>
      <c r="D3868" t="s">
        <v>3462</v>
      </c>
      <c r="E3868" t="str">
        <f>IF(LEFT(D3868,6)="CLIENT",IFERROR(VLOOKUP(C3868,Config_Carteiras!$A:$B,2,FALSE),1),"")</f>
        <v/>
      </c>
      <c r="F3868" s="25">
        <v>0</v>
      </c>
      <c r="G3868" s="28" t="str">
        <f>IF(LEFT(D3868,6)="CLIENT",IF(E3868=0,WORKDAY(A3868-1,1,Dias_Sem_Compensacao!$A$2:$A$500),WORKDAY(A3868,E3868,Dias_Sem_Compensacao!$A$2:$A$500)),"")</f>
        <v/>
      </c>
      <c r="H3868" s="25">
        <v>7247.05</v>
      </c>
      <c r="I3868" s="28">
        <v>46296</v>
      </c>
      <c r="J3868" t="s">
        <v>115</v>
      </c>
      <c r="K3868" t="s">
        <v>114</v>
      </c>
    </row>
    <row r="3869" spans="1:11" hidden="1">
      <c r="A3869" s="28">
        <v>46296</v>
      </c>
      <c r="B3869" t="s">
        <v>3523</v>
      </c>
      <c r="C3869" t="s">
        <v>151</v>
      </c>
      <c r="D3869" t="s">
        <v>3462</v>
      </c>
      <c r="E3869" t="str">
        <f>IF(LEFT(D3869,6)="CLIENT",IFERROR(VLOOKUP(C3869,Config_Carteiras!$A:$B,2,FALSE),1),"")</f>
        <v/>
      </c>
      <c r="F3869" s="25">
        <v>0</v>
      </c>
      <c r="G3869" s="28" t="str">
        <f>IF(LEFT(D3869,6)="CLIENT",IF(E3869=0,WORKDAY(A3869-1,1,Dias_Sem_Compensacao!$A$2:$A$500),WORKDAY(A3869,E3869,Dias_Sem_Compensacao!$A$2:$A$500)),"")</f>
        <v/>
      </c>
      <c r="H3869" s="25">
        <v>22441.31</v>
      </c>
      <c r="I3869" s="28">
        <v>46296</v>
      </c>
      <c r="J3869" t="s">
        <v>117</v>
      </c>
      <c r="K3869" t="s">
        <v>116</v>
      </c>
    </row>
    <row r="3870" spans="1:11" hidden="1">
      <c r="A3870" s="28">
        <v>46296</v>
      </c>
      <c r="B3870" t="s">
        <v>3523</v>
      </c>
      <c r="C3870" t="s">
        <v>151</v>
      </c>
      <c r="D3870" t="s">
        <v>3462</v>
      </c>
      <c r="E3870" t="str">
        <f>IF(LEFT(D3870,6)="CLIENT",IFERROR(VLOOKUP(C3870,Config_Carteiras!$A:$B,2,FALSE),1),"")</f>
        <v/>
      </c>
      <c r="F3870" s="25">
        <v>0</v>
      </c>
      <c r="G3870" s="28" t="str">
        <f>IF(LEFT(D3870,6)="CLIENT",IF(E3870=0,WORKDAY(A3870-1,1,Dias_Sem_Compensacao!$A$2:$A$500),WORKDAY(A3870,E3870,Dias_Sem_Compensacao!$A$2:$A$500)),"")</f>
        <v/>
      </c>
      <c r="H3870" s="25">
        <v>1570</v>
      </c>
      <c r="I3870" s="28">
        <v>46296</v>
      </c>
      <c r="J3870" t="s">
        <v>119</v>
      </c>
      <c r="K3870" t="s">
        <v>118</v>
      </c>
    </row>
    <row r="3871" spans="1:11" hidden="1">
      <c r="A3871" s="28">
        <v>46296</v>
      </c>
      <c r="B3871" t="s">
        <v>3523</v>
      </c>
      <c r="C3871" t="s">
        <v>151</v>
      </c>
      <c r="D3871" t="s">
        <v>3462</v>
      </c>
      <c r="E3871" t="str">
        <f>IF(LEFT(D3871,6)="CLIENT",IFERROR(VLOOKUP(C3871,Config_Carteiras!$A:$B,2,FALSE),1),"")</f>
        <v/>
      </c>
      <c r="F3871" s="25">
        <v>0</v>
      </c>
      <c r="G3871" s="28" t="str">
        <f>IF(LEFT(D3871,6)="CLIENT",IF(E3871=0,WORKDAY(A3871-1,1,Dias_Sem_Compensacao!$A$2:$A$500),WORKDAY(A3871,E3871,Dias_Sem_Compensacao!$A$2:$A$500)),"")</f>
        <v/>
      </c>
      <c r="H3871" s="25">
        <v>1689</v>
      </c>
      <c r="I3871" s="28">
        <v>46296</v>
      </c>
      <c r="K3871" t="s">
        <v>110</v>
      </c>
    </row>
    <row r="3872" spans="1:11" hidden="1">
      <c r="A3872" s="28">
        <v>46296</v>
      </c>
      <c r="B3872" t="s">
        <v>3523</v>
      </c>
      <c r="C3872" t="s">
        <v>151</v>
      </c>
      <c r="D3872" t="s">
        <v>3462</v>
      </c>
      <c r="E3872" t="str">
        <f>IF(LEFT(D3872,6)="CLIENT",IFERROR(VLOOKUP(C3872,Config_Carteiras!$A:$B,2,FALSE),1),"")</f>
        <v/>
      </c>
      <c r="F3872" s="25">
        <v>0</v>
      </c>
      <c r="G3872" s="28" t="str">
        <f>IF(LEFT(D3872,6)="CLIENT",IF(E3872=0,WORKDAY(A3872-1,1,Dias_Sem_Compensacao!$A$2:$A$500),WORKDAY(A3872,E3872,Dias_Sem_Compensacao!$A$2:$A$500)),"")</f>
        <v/>
      </c>
      <c r="H3872" s="25">
        <v>1925</v>
      </c>
      <c r="I3872" s="28">
        <v>46296</v>
      </c>
      <c r="J3872" t="s">
        <v>121</v>
      </c>
      <c r="K3872" t="s">
        <v>120</v>
      </c>
    </row>
    <row r="3873" spans="1:11" hidden="1">
      <c r="A3873" s="28">
        <v>46296</v>
      </c>
      <c r="B3873" t="s">
        <v>3523</v>
      </c>
      <c r="C3873" t="s">
        <v>151</v>
      </c>
      <c r="D3873" t="s">
        <v>3462</v>
      </c>
      <c r="E3873" t="str">
        <f>IF(LEFT(D3873,6)="CLIENT",IFERROR(VLOOKUP(C3873,Config_Carteiras!$A:$B,2,FALSE),1),"")</f>
        <v/>
      </c>
      <c r="F3873" s="25">
        <v>0</v>
      </c>
      <c r="G3873" s="28" t="str">
        <f>IF(LEFT(D3873,6)="CLIENT",IF(E3873=0,WORKDAY(A3873-1,1,Dias_Sem_Compensacao!$A$2:$A$500),WORKDAY(A3873,E3873,Dias_Sem_Compensacao!$A$2:$A$500)),"")</f>
        <v/>
      </c>
      <c r="H3873" s="25">
        <v>5653</v>
      </c>
      <c r="I3873" s="28">
        <v>46296</v>
      </c>
      <c r="J3873" t="s">
        <v>123</v>
      </c>
      <c r="K3873" t="s">
        <v>122</v>
      </c>
    </row>
    <row r="3874" spans="1:11" hidden="1">
      <c r="A3874" s="28">
        <v>46296</v>
      </c>
      <c r="B3874" t="s">
        <v>3523</v>
      </c>
      <c r="C3874" t="s">
        <v>151</v>
      </c>
      <c r="D3874" t="s">
        <v>3462</v>
      </c>
      <c r="E3874" t="str">
        <f>IF(LEFT(D3874,6)="CLIENT",IFERROR(VLOOKUP(C3874,Config_Carteiras!$A:$B,2,FALSE),1),"")</f>
        <v/>
      </c>
      <c r="F3874" s="25">
        <v>0</v>
      </c>
      <c r="G3874" s="28" t="str">
        <f>IF(LEFT(D3874,6)="CLIENT",IF(E3874=0,WORKDAY(A3874-1,1,Dias_Sem_Compensacao!$A$2:$A$500),WORKDAY(A3874,E3874,Dias_Sem_Compensacao!$A$2:$A$500)),"")</f>
        <v/>
      </c>
      <c r="H3874" s="25">
        <v>2990</v>
      </c>
      <c r="I3874" s="28">
        <v>46296</v>
      </c>
      <c r="J3874" t="s">
        <v>125</v>
      </c>
      <c r="K3874" t="s">
        <v>124</v>
      </c>
    </row>
    <row r="3875" spans="1:11" hidden="1">
      <c r="A3875" s="28">
        <v>46296</v>
      </c>
      <c r="B3875" t="s">
        <v>3523</v>
      </c>
      <c r="C3875" t="s">
        <v>151</v>
      </c>
      <c r="D3875" t="s">
        <v>3462</v>
      </c>
      <c r="E3875" t="str">
        <f>IF(LEFT(D3875,6)="CLIENT",IFERROR(VLOOKUP(C3875,Config_Carteiras!$A:$B,2,FALSE),1),"")</f>
        <v/>
      </c>
      <c r="F3875" s="25">
        <v>0</v>
      </c>
      <c r="G3875" s="28" t="str">
        <f>IF(LEFT(D3875,6)="CLIENT",IF(E3875=0,WORKDAY(A3875-1,1,Dias_Sem_Compensacao!$A$2:$A$500),WORKDAY(A3875,E3875,Dias_Sem_Compensacao!$A$2:$A$500)),"")</f>
        <v/>
      </c>
      <c r="H3875" s="25">
        <v>745.02</v>
      </c>
      <c r="I3875" s="28">
        <v>46296</v>
      </c>
      <c r="K3875" t="s">
        <v>113</v>
      </c>
    </row>
    <row r="3876" spans="1:11" hidden="1">
      <c r="A3876" s="28">
        <v>46296</v>
      </c>
      <c r="B3876" t="s">
        <v>3523</v>
      </c>
      <c r="C3876" t="s">
        <v>151</v>
      </c>
      <c r="D3876" t="s">
        <v>3462</v>
      </c>
      <c r="E3876" t="str">
        <f>IF(LEFT(D3876,6)="CLIENT",IFERROR(VLOOKUP(C3876,Config_Carteiras!$A:$B,2,FALSE),1),"")</f>
        <v/>
      </c>
      <c r="F3876" s="25">
        <v>0</v>
      </c>
      <c r="G3876" s="28" t="str">
        <f>IF(LEFT(D3876,6)="CLIENT",IF(E3876=0,WORKDAY(A3876-1,1,Dias_Sem_Compensacao!$A$2:$A$500),WORKDAY(A3876,E3876,Dias_Sem_Compensacao!$A$2:$A$500)),"")</f>
        <v/>
      </c>
      <c r="H3876" s="25">
        <v>1799.6</v>
      </c>
      <c r="I3876" s="28">
        <v>46296</v>
      </c>
      <c r="J3876" t="s">
        <v>127</v>
      </c>
      <c r="K3876" t="s">
        <v>126</v>
      </c>
    </row>
    <row r="3877" spans="1:11" hidden="1">
      <c r="A3877" s="28">
        <v>46296</v>
      </c>
      <c r="B3877" t="s">
        <v>3523</v>
      </c>
      <c r="C3877" t="s">
        <v>151</v>
      </c>
      <c r="D3877" t="s">
        <v>3462</v>
      </c>
      <c r="E3877" t="str">
        <f>IF(LEFT(D3877,6)="CLIENT",IFERROR(VLOOKUP(C3877,Config_Carteiras!$A:$B,2,FALSE),1),"")</f>
        <v/>
      </c>
      <c r="F3877" s="25">
        <v>0</v>
      </c>
      <c r="G3877" s="28" t="str">
        <f>IF(LEFT(D3877,6)="CLIENT",IF(E3877=0,WORKDAY(A3877-1,1,Dias_Sem_Compensacao!$A$2:$A$500),WORKDAY(A3877,E3877,Dias_Sem_Compensacao!$A$2:$A$500)),"")</f>
        <v/>
      </c>
      <c r="H3877" s="25">
        <v>4272</v>
      </c>
      <c r="I3877" s="28">
        <v>46296</v>
      </c>
      <c r="K3877" t="s">
        <v>107</v>
      </c>
    </row>
    <row r="3878" spans="1:11" hidden="1">
      <c r="A3878" s="28">
        <v>46296</v>
      </c>
      <c r="B3878" t="s">
        <v>3523</v>
      </c>
      <c r="C3878" t="s">
        <v>151</v>
      </c>
      <c r="D3878" t="s">
        <v>3462</v>
      </c>
      <c r="E3878" t="str">
        <f>IF(LEFT(D3878,6)="CLIENT",IFERROR(VLOOKUP(C3878,Config_Carteiras!$A:$B,2,FALSE),1),"")</f>
        <v/>
      </c>
      <c r="F3878" s="25">
        <v>0</v>
      </c>
      <c r="G3878" s="28" t="str">
        <f>IF(LEFT(D3878,6)="CLIENT",IF(E3878=0,WORKDAY(A3878-1,1,Dias_Sem_Compensacao!$A$2:$A$500),WORKDAY(A3878,E3878,Dias_Sem_Compensacao!$A$2:$A$500)),"")</f>
        <v/>
      </c>
      <c r="H3878" s="25">
        <v>3733.16</v>
      </c>
      <c r="I3878" s="28">
        <v>46296</v>
      </c>
      <c r="K3878" t="s">
        <v>108</v>
      </c>
    </row>
    <row r="3879" spans="1:11" hidden="1">
      <c r="A3879" s="28">
        <v>46296</v>
      </c>
      <c r="B3879" t="s">
        <v>3523</v>
      </c>
      <c r="C3879" t="s">
        <v>151</v>
      </c>
      <c r="D3879" t="s">
        <v>3462</v>
      </c>
      <c r="E3879" t="str">
        <f>IF(LEFT(D3879,6)="CLIENT",IFERROR(VLOOKUP(C3879,Config_Carteiras!$A:$B,2,FALSE),1),"")</f>
        <v/>
      </c>
      <c r="F3879" s="25">
        <v>0</v>
      </c>
      <c r="G3879" s="28" t="str">
        <f>IF(LEFT(D3879,6)="CLIENT",IF(E3879=0,WORKDAY(A3879-1,1,Dias_Sem_Compensacao!$A$2:$A$500),WORKDAY(A3879,E3879,Dias_Sem_Compensacao!$A$2:$A$500)),"")</f>
        <v/>
      </c>
      <c r="H3879" s="25">
        <v>459</v>
      </c>
      <c r="I3879" s="28">
        <v>46296</v>
      </c>
      <c r="J3879" t="s">
        <v>74</v>
      </c>
      <c r="K3879" t="s">
        <v>128</v>
      </c>
    </row>
    <row r="3880" spans="1:11" hidden="1">
      <c r="A3880" s="28">
        <v>46296</v>
      </c>
      <c r="B3880" t="s">
        <v>3523</v>
      </c>
      <c r="C3880" t="s">
        <v>151</v>
      </c>
      <c r="D3880" t="s">
        <v>3462</v>
      </c>
      <c r="E3880" t="str">
        <f>IF(LEFT(D3880,6)="CLIENT",IFERROR(VLOOKUP(C3880,Config_Carteiras!$A:$B,2,FALSE),1),"")</f>
        <v/>
      </c>
      <c r="F3880" s="25">
        <v>0</v>
      </c>
      <c r="G3880" s="28" t="str">
        <f>IF(LEFT(D3880,6)="CLIENT",IF(E3880=0,WORKDAY(A3880-1,1,Dias_Sem_Compensacao!$A$2:$A$500),WORKDAY(A3880,E3880,Dias_Sem_Compensacao!$A$2:$A$500)),"")</f>
        <v/>
      </c>
      <c r="H3880" s="25">
        <v>16140.55</v>
      </c>
      <c r="I3880" s="28">
        <v>46296</v>
      </c>
      <c r="J3880" t="s">
        <v>130</v>
      </c>
      <c r="K3880" t="s">
        <v>129</v>
      </c>
    </row>
    <row r="3881" spans="1:11" hidden="1">
      <c r="A3881" s="28">
        <v>46296</v>
      </c>
      <c r="B3881" t="s">
        <v>3523</v>
      </c>
      <c r="C3881" t="s">
        <v>151</v>
      </c>
      <c r="D3881" t="s">
        <v>3462</v>
      </c>
      <c r="E3881" t="str">
        <f>IF(LEFT(D3881,6)="CLIENT",IFERROR(VLOOKUP(C3881,Config_Carteiras!$A:$B,2,FALSE),1),"")</f>
        <v/>
      </c>
      <c r="F3881" s="25">
        <v>0</v>
      </c>
      <c r="G3881" s="28" t="str">
        <f>IF(LEFT(D3881,6)="CLIENT",IF(E3881=0,WORKDAY(A3881-1,1,Dias_Sem_Compensacao!$A$2:$A$500),WORKDAY(A3881,E3881,Dias_Sem_Compensacao!$A$2:$A$500)),"")</f>
        <v/>
      </c>
      <c r="H3881" s="25">
        <v>3350</v>
      </c>
      <c r="I3881" s="28">
        <v>46296</v>
      </c>
      <c r="J3881" t="s">
        <v>132</v>
      </c>
      <c r="K3881" t="s">
        <v>131</v>
      </c>
    </row>
    <row r="3882" spans="1:11" hidden="1">
      <c r="A3882" s="28">
        <v>46296</v>
      </c>
      <c r="B3882" t="s">
        <v>3523</v>
      </c>
      <c r="C3882" t="s">
        <v>151</v>
      </c>
      <c r="D3882" t="s">
        <v>3462</v>
      </c>
      <c r="E3882" t="str">
        <f>IF(LEFT(D3882,6)="CLIENT",IFERROR(VLOOKUP(C3882,Config_Carteiras!$A:$B,2,FALSE),1),"")</f>
        <v/>
      </c>
      <c r="F3882" s="25">
        <v>0</v>
      </c>
      <c r="G3882" s="28" t="str">
        <f>IF(LEFT(D3882,6)="CLIENT",IF(E3882=0,WORKDAY(A3882-1,1,Dias_Sem_Compensacao!$A$2:$A$500),WORKDAY(A3882,E3882,Dias_Sem_Compensacao!$A$2:$A$500)),"")</f>
        <v/>
      </c>
      <c r="H3882" s="25">
        <v>3350</v>
      </c>
      <c r="I3882" s="28">
        <v>46296</v>
      </c>
      <c r="K3882" t="s">
        <v>111</v>
      </c>
    </row>
    <row r="3883" spans="1:11" hidden="1">
      <c r="A3883" s="28">
        <v>46296</v>
      </c>
      <c r="B3883" t="s">
        <v>3523</v>
      </c>
      <c r="C3883" t="s">
        <v>151</v>
      </c>
      <c r="D3883" t="s">
        <v>3462</v>
      </c>
      <c r="E3883" t="str">
        <f>IF(LEFT(D3883,6)="CLIENT",IFERROR(VLOOKUP(C3883,Config_Carteiras!$A:$B,2,FALSE),1),"")</f>
        <v/>
      </c>
      <c r="F3883" s="25">
        <v>0</v>
      </c>
      <c r="G3883" s="28" t="str">
        <f>IF(LEFT(D3883,6)="CLIENT",IF(E3883=0,WORKDAY(A3883-1,1,Dias_Sem_Compensacao!$A$2:$A$500),WORKDAY(A3883,E3883,Dias_Sem_Compensacao!$A$2:$A$500)),"")</f>
        <v/>
      </c>
      <c r="H3883" s="25">
        <v>2882.01</v>
      </c>
      <c r="I3883" s="28">
        <v>46296</v>
      </c>
      <c r="J3883" t="s">
        <v>134</v>
      </c>
      <c r="K3883" t="s">
        <v>133</v>
      </c>
    </row>
    <row r="3884" spans="1:11" hidden="1">
      <c r="A3884" s="28">
        <v>46296</v>
      </c>
      <c r="B3884" t="s">
        <v>3523</v>
      </c>
      <c r="C3884" t="s">
        <v>151</v>
      </c>
      <c r="D3884" t="s">
        <v>3462</v>
      </c>
      <c r="E3884" t="str">
        <f>IF(LEFT(D3884,6)="CLIENT",IFERROR(VLOOKUP(C3884,Config_Carteiras!$A:$B,2,FALSE),1),"")</f>
        <v/>
      </c>
      <c r="F3884" s="25">
        <v>0</v>
      </c>
      <c r="G3884" s="28" t="str">
        <f>IF(LEFT(D3884,6)="CLIENT",IF(E3884=0,WORKDAY(A3884-1,1,Dias_Sem_Compensacao!$A$2:$A$500),WORKDAY(A3884,E3884,Dias_Sem_Compensacao!$A$2:$A$500)),"")</f>
        <v/>
      </c>
      <c r="H3884" s="25">
        <v>586.02</v>
      </c>
      <c r="I3884" s="28">
        <v>46296</v>
      </c>
      <c r="J3884" t="s">
        <v>136</v>
      </c>
      <c r="K3884" t="s">
        <v>135</v>
      </c>
    </row>
    <row r="3885" spans="1:11" hidden="1">
      <c r="A3885" s="28">
        <v>46296</v>
      </c>
      <c r="B3885" t="s">
        <v>3523</v>
      </c>
      <c r="C3885" t="s">
        <v>151</v>
      </c>
      <c r="D3885" t="s">
        <v>3462</v>
      </c>
      <c r="E3885" t="str">
        <f>IF(LEFT(D3885,6)="CLIENT",IFERROR(VLOOKUP(C3885,Config_Carteiras!$A:$B,2,FALSE),1),"")</f>
        <v/>
      </c>
      <c r="F3885" s="25">
        <v>0</v>
      </c>
      <c r="G3885" s="28" t="str">
        <f>IF(LEFT(D3885,6)="CLIENT",IF(E3885=0,WORKDAY(A3885-1,1,Dias_Sem_Compensacao!$A$2:$A$500),WORKDAY(A3885,E3885,Dias_Sem_Compensacao!$A$2:$A$500)),"")</f>
        <v/>
      </c>
      <c r="H3885" s="25">
        <v>200</v>
      </c>
      <c r="I3885" s="28">
        <v>46296</v>
      </c>
      <c r="J3885" t="s">
        <v>88</v>
      </c>
      <c r="K3885" t="s">
        <v>137</v>
      </c>
    </row>
    <row r="3886" spans="1:11" hidden="1">
      <c r="A3886" s="28">
        <v>46296</v>
      </c>
      <c r="B3886" t="s">
        <v>3523</v>
      </c>
      <c r="C3886" t="s">
        <v>151</v>
      </c>
      <c r="D3886" t="s">
        <v>3462</v>
      </c>
      <c r="E3886" t="str">
        <f>IF(LEFT(D3886,6)="CLIENT",IFERROR(VLOOKUP(C3886,Config_Carteiras!$A:$B,2,FALSE),1),"")</f>
        <v/>
      </c>
      <c r="F3886" s="25">
        <v>0</v>
      </c>
      <c r="G3886" s="28" t="str">
        <f>IF(LEFT(D3886,6)="CLIENT",IF(E3886=0,WORKDAY(A3886-1,1,Dias_Sem_Compensacao!$A$2:$A$500),WORKDAY(A3886,E3886,Dias_Sem_Compensacao!$A$2:$A$500)),"")</f>
        <v/>
      </c>
      <c r="H3886" s="25">
        <v>264.14999999999998</v>
      </c>
      <c r="I3886" s="28">
        <v>46296</v>
      </c>
      <c r="J3886" t="s">
        <v>42</v>
      </c>
      <c r="K3886" t="s">
        <v>140</v>
      </c>
    </row>
    <row r="3887" spans="1:11" hidden="1">
      <c r="A3887" s="28">
        <v>46296</v>
      </c>
      <c r="B3887" t="s">
        <v>3523</v>
      </c>
      <c r="C3887" t="s">
        <v>151</v>
      </c>
      <c r="D3887" t="s">
        <v>3462</v>
      </c>
      <c r="E3887" t="str">
        <f>IF(LEFT(D3887,6)="CLIENT",IFERROR(VLOOKUP(C3887,Config_Carteiras!$A:$B,2,FALSE),1),"")</f>
        <v/>
      </c>
      <c r="F3887" s="25">
        <v>0</v>
      </c>
      <c r="G3887" s="28" t="str">
        <f>IF(LEFT(D3887,6)="CLIENT",IF(E3887=0,WORKDAY(A3887-1,1,Dias_Sem_Compensacao!$A$2:$A$500),WORKDAY(A3887,E3887,Dias_Sem_Compensacao!$A$2:$A$500)),"")</f>
        <v/>
      </c>
      <c r="H3887" s="25">
        <v>338.54</v>
      </c>
      <c r="I3887" s="28">
        <v>46296</v>
      </c>
      <c r="K3887" t="s">
        <v>109</v>
      </c>
    </row>
    <row r="3888" spans="1:11" hidden="1">
      <c r="A3888" s="28">
        <v>46296</v>
      </c>
      <c r="B3888" t="s">
        <v>3523</v>
      </c>
      <c r="C3888" t="s">
        <v>151</v>
      </c>
      <c r="D3888" t="s">
        <v>3462</v>
      </c>
      <c r="E3888" t="str">
        <f>IF(LEFT(D3888,6)="CLIENT",IFERROR(VLOOKUP(C3888,Config_Carteiras!$A:$B,2,FALSE),1),"")</f>
        <v/>
      </c>
      <c r="F3888" s="25">
        <v>0</v>
      </c>
      <c r="G3888" s="28" t="str">
        <f>IF(LEFT(D3888,6)="CLIENT",IF(E3888=0,WORKDAY(A3888-1,1,Dias_Sem_Compensacao!$A$2:$A$500),WORKDAY(A3888,E3888,Dias_Sem_Compensacao!$A$2:$A$500)),"")</f>
        <v/>
      </c>
      <c r="H3888" s="25">
        <v>238.58</v>
      </c>
      <c r="I3888" s="28">
        <v>46296</v>
      </c>
      <c r="K3888" t="s">
        <v>112</v>
      </c>
    </row>
    <row r="3889" spans="1:11" hidden="1">
      <c r="A3889" s="28">
        <v>46296</v>
      </c>
      <c r="B3889" t="s">
        <v>3523</v>
      </c>
      <c r="C3889" t="s">
        <v>151</v>
      </c>
      <c r="D3889" t="s">
        <v>3462</v>
      </c>
      <c r="E3889" t="str">
        <f>IF(LEFT(D3889,6)="CLIENT",IFERROR(VLOOKUP(C3889,Config_Carteiras!$A:$B,2,FALSE),1),"")</f>
        <v/>
      </c>
      <c r="F3889" s="25">
        <v>0</v>
      </c>
      <c r="G3889" s="28" t="str">
        <f>IF(LEFT(D3889,6)="CLIENT",IF(E3889=0,WORKDAY(A3889-1,1,Dias_Sem_Compensacao!$A$2:$A$500),WORKDAY(A3889,E3889,Dias_Sem_Compensacao!$A$2:$A$500)),"")</f>
        <v/>
      </c>
      <c r="H3889" s="25">
        <v>9219.67</v>
      </c>
      <c r="I3889" s="28">
        <v>46296</v>
      </c>
      <c r="J3889" t="s">
        <v>106</v>
      </c>
      <c r="K3889" t="s">
        <v>141</v>
      </c>
    </row>
    <row r="3890" spans="1:11" hidden="1">
      <c r="A3890" s="28">
        <v>46297</v>
      </c>
      <c r="B3890" t="s">
        <v>3523</v>
      </c>
      <c r="C3890" t="s">
        <v>151</v>
      </c>
      <c r="D3890" t="s">
        <v>3462</v>
      </c>
      <c r="E3890" t="str">
        <f>IF(LEFT(D3890,6)="CLIENT",IFERROR(VLOOKUP(C3890,Config_Carteiras!$A:$B,2,FALSE),1),"")</f>
        <v/>
      </c>
      <c r="F3890" s="25">
        <v>0</v>
      </c>
      <c r="G3890" s="28" t="str">
        <f>IF(LEFT(D3890,6)="CLIENT",IF(E3890=0,WORKDAY(A3890-1,1,Dias_Sem_Compensacao!$A$2:$A$500),WORKDAY(A3890,E3890,Dias_Sem_Compensacao!$A$2:$A$500)),"")</f>
        <v/>
      </c>
      <c r="H3890" s="25">
        <v>1812.17</v>
      </c>
      <c r="I3890" s="28">
        <v>46297</v>
      </c>
      <c r="J3890" t="s">
        <v>146</v>
      </c>
      <c r="K3890" t="s">
        <v>145</v>
      </c>
    </row>
    <row r="3891" spans="1:11" hidden="1">
      <c r="A3891" s="28">
        <v>46297</v>
      </c>
      <c r="B3891" t="s">
        <v>3523</v>
      </c>
      <c r="C3891" t="s">
        <v>151</v>
      </c>
      <c r="D3891" t="s">
        <v>3462</v>
      </c>
      <c r="E3891" t="str">
        <f>IF(LEFT(D3891,6)="CLIENT",IFERROR(VLOOKUP(C3891,Config_Carteiras!$A:$B,2,FALSE),1),"")</f>
        <v/>
      </c>
      <c r="F3891" s="25">
        <v>0</v>
      </c>
      <c r="G3891" s="28" t="str">
        <f>IF(LEFT(D3891,6)="CLIENT",IF(E3891=0,WORKDAY(A3891-1,1,Dias_Sem_Compensacao!$A$2:$A$500),WORKDAY(A3891,E3891,Dias_Sem_Compensacao!$A$2:$A$500)),"")</f>
        <v/>
      </c>
      <c r="H3891" s="25">
        <v>528.5</v>
      </c>
      <c r="I3891" s="28">
        <v>46297</v>
      </c>
      <c r="J3891" t="s">
        <v>148</v>
      </c>
      <c r="K3891" t="s">
        <v>147</v>
      </c>
    </row>
    <row r="3892" spans="1:11" hidden="1">
      <c r="A3892" s="28">
        <v>46297</v>
      </c>
      <c r="B3892" t="s">
        <v>3523</v>
      </c>
      <c r="C3892" t="s">
        <v>151</v>
      </c>
      <c r="D3892" t="s">
        <v>3462</v>
      </c>
      <c r="E3892" t="str">
        <f>IF(LEFT(D3892,6)="CLIENT",IFERROR(VLOOKUP(C3892,Config_Carteiras!$A:$B,2,FALSE),1),"")</f>
        <v/>
      </c>
      <c r="F3892" s="25">
        <v>0</v>
      </c>
      <c r="G3892" s="28" t="str">
        <f>IF(LEFT(D3892,6)="CLIENT",IF(E3892=0,WORKDAY(A3892-1,1,Dias_Sem_Compensacao!$A$2:$A$500),WORKDAY(A3892,E3892,Dias_Sem_Compensacao!$A$2:$A$500)),"")</f>
        <v/>
      </c>
      <c r="H3892" s="25">
        <v>43158.71</v>
      </c>
      <c r="I3892" s="28">
        <v>46297</v>
      </c>
      <c r="J3892" t="s">
        <v>150</v>
      </c>
      <c r="K3892" t="s">
        <v>149</v>
      </c>
    </row>
    <row r="3893" spans="1:11" hidden="1">
      <c r="A3893" s="28">
        <v>46297</v>
      </c>
      <c r="B3893" t="s">
        <v>3523</v>
      </c>
      <c r="C3893" t="s">
        <v>151</v>
      </c>
      <c r="D3893" t="s">
        <v>3462</v>
      </c>
      <c r="E3893" t="str">
        <f>IF(LEFT(D3893,6)="CLIENT",IFERROR(VLOOKUP(C3893,Config_Carteiras!$A:$B,2,FALSE),1),"")</f>
        <v/>
      </c>
      <c r="F3893" s="25">
        <v>0</v>
      </c>
      <c r="G3893" s="28" t="str">
        <f>IF(LEFT(D3893,6)="CLIENT",IF(E3893=0,WORKDAY(A3893-1,1,Dias_Sem_Compensacao!$A$2:$A$500),WORKDAY(A3893,E3893,Dias_Sem_Compensacao!$A$2:$A$500)),"")</f>
        <v/>
      </c>
      <c r="H3893" s="25">
        <v>2070</v>
      </c>
      <c r="I3893" s="28">
        <v>46297</v>
      </c>
      <c r="J3893" t="s">
        <v>152</v>
      </c>
      <c r="K3893" t="s">
        <v>151</v>
      </c>
    </row>
    <row r="3894" spans="1:11" hidden="1">
      <c r="A3894" s="28">
        <v>46297</v>
      </c>
      <c r="B3894" t="s">
        <v>3523</v>
      </c>
      <c r="C3894" t="s">
        <v>151</v>
      </c>
      <c r="D3894" t="s">
        <v>3462</v>
      </c>
      <c r="E3894" t="str">
        <f>IF(LEFT(D3894,6)="CLIENT",IFERROR(VLOOKUP(C3894,Config_Carteiras!$A:$B,2,FALSE),1),"")</f>
        <v/>
      </c>
      <c r="F3894" s="25">
        <v>0</v>
      </c>
      <c r="G3894" s="28" t="str">
        <f>IF(LEFT(D3894,6)="CLIENT",IF(E3894=0,WORKDAY(A3894-1,1,Dias_Sem_Compensacao!$A$2:$A$500),WORKDAY(A3894,E3894,Dias_Sem_Compensacao!$A$2:$A$500)),"")</f>
        <v/>
      </c>
      <c r="H3894" s="25">
        <v>2070</v>
      </c>
      <c r="I3894" s="28">
        <v>46297</v>
      </c>
      <c r="K3894" t="s">
        <v>142</v>
      </c>
    </row>
    <row r="3895" spans="1:11" hidden="1">
      <c r="A3895" s="28">
        <v>46297</v>
      </c>
      <c r="B3895" t="s">
        <v>3523</v>
      </c>
      <c r="C3895" t="s">
        <v>151</v>
      </c>
      <c r="D3895" t="s">
        <v>3462</v>
      </c>
      <c r="E3895" t="str">
        <f>IF(LEFT(D3895,6)="CLIENT",IFERROR(VLOOKUP(C3895,Config_Carteiras!$A:$B,2,FALSE),1),"")</f>
        <v/>
      </c>
      <c r="F3895" s="25">
        <v>0</v>
      </c>
      <c r="G3895" s="28" t="str">
        <f>IF(LEFT(D3895,6)="CLIENT",IF(E3895=0,WORKDAY(A3895-1,1,Dias_Sem_Compensacao!$A$2:$A$500),WORKDAY(A3895,E3895,Dias_Sem_Compensacao!$A$2:$A$500)),"")</f>
        <v/>
      </c>
      <c r="H3895" s="25">
        <v>435</v>
      </c>
      <c r="I3895" s="28">
        <v>46297</v>
      </c>
      <c r="J3895" t="s">
        <v>74</v>
      </c>
      <c r="K3895" t="s">
        <v>153</v>
      </c>
    </row>
    <row r="3896" spans="1:11" hidden="1">
      <c r="A3896" s="28">
        <v>46297</v>
      </c>
      <c r="B3896" t="s">
        <v>3523</v>
      </c>
      <c r="C3896" t="s">
        <v>151</v>
      </c>
      <c r="D3896" t="s">
        <v>3462</v>
      </c>
      <c r="E3896" t="str">
        <f>IF(LEFT(D3896,6)="CLIENT",IFERROR(VLOOKUP(C3896,Config_Carteiras!$A:$B,2,FALSE),1),"")</f>
        <v/>
      </c>
      <c r="F3896" s="25">
        <v>0</v>
      </c>
      <c r="G3896" s="28" t="str">
        <f>IF(LEFT(D3896,6)="CLIENT",IF(E3896=0,WORKDAY(A3896-1,1,Dias_Sem_Compensacao!$A$2:$A$500),WORKDAY(A3896,E3896,Dias_Sem_Compensacao!$A$2:$A$500)),"")</f>
        <v/>
      </c>
      <c r="H3896" s="25">
        <v>8000</v>
      </c>
      <c r="I3896" s="28">
        <v>46297</v>
      </c>
      <c r="J3896" t="s">
        <v>155</v>
      </c>
      <c r="K3896" t="s">
        <v>154</v>
      </c>
    </row>
    <row r="3897" spans="1:11" hidden="1">
      <c r="A3897" s="28">
        <v>46297</v>
      </c>
      <c r="B3897" t="s">
        <v>3523</v>
      </c>
      <c r="C3897" t="s">
        <v>151</v>
      </c>
      <c r="D3897" t="s">
        <v>3462</v>
      </c>
      <c r="E3897" t="str">
        <f>IF(LEFT(D3897,6)="CLIENT",IFERROR(VLOOKUP(C3897,Config_Carteiras!$A:$B,2,FALSE),1),"")</f>
        <v/>
      </c>
      <c r="F3897" s="25">
        <v>0</v>
      </c>
      <c r="G3897" s="28" t="str">
        <f>IF(LEFT(D3897,6)="CLIENT",IF(E3897=0,WORKDAY(A3897-1,1,Dias_Sem_Compensacao!$A$2:$A$500),WORKDAY(A3897,E3897,Dias_Sem_Compensacao!$A$2:$A$500)),"")</f>
        <v/>
      </c>
      <c r="H3897" s="25">
        <v>725.7</v>
      </c>
      <c r="I3897" s="28">
        <v>46297</v>
      </c>
      <c r="J3897" t="s">
        <v>157</v>
      </c>
      <c r="K3897" t="s">
        <v>156</v>
      </c>
    </row>
    <row r="3898" spans="1:11" hidden="1">
      <c r="A3898" s="28">
        <v>46297</v>
      </c>
      <c r="B3898" t="s">
        <v>3523</v>
      </c>
      <c r="C3898" t="s">
        <v>151</v>
      </c>
      <c r="D3898" t="s">
        <v>3462</v>
      </c>
      <c r="E3898" t="str">
        <f>IF(LEFT(D3898,6)="CLIENT",IFERROR(VLOOKUP(C3898,Config_Carteiras!$A:$B,2,FALSE),1),"")</f>
        <v/>
      </c>
      <c r="F3898" s="25">
        <v>0</v>
      </c>
      <c r="G3898" s="28" t="str">
        <f>IF(LEFT(D3898,6)="CLIENT",IF(E3898=0,WORKDAY(A3898-1,1,Dias_Sem_Compensacao!$A$2:$A$500),WORKDAY(A3898,E3898,Dias_Sem_Compensacao!$A$2:$A$500)),"")</f>
        <v/>
      </c>
      <c r="H3898" s="25">
        <v>319.97000000000003</v>
      </c>
      <c r="I3898" s="28">
        <v>46297</v>
      </c>
      <c r="J3898" t="s">
        <v>136</v>
      </c>
      <c r="K3898" t="s">
        <v>158</v>
      </c>
    </row>
    <row r="3899" spans="1:11" hidden="1">
      <c r="A3899" s="28">
        <v>46297</v>
      </c>
      <c r="B3899" t="s">
        <v>3523</v>
      </c>
      <c r="C3899" t="s">
        <v>151</v>
      </c>
      <c r="D3899" t="s">
        <v>3462</v>
      </c>
      <c r="E3899" t="str">
        <f>IF(LEFT(D3899,6)="CLIENT",IFERROR(VLOOKUP(C3899,Config_Carteiras!$A:$B,2,FALSE),1),"")</f>
        <v/>
      </c>
      <c r="F3899" s="25">
        <v>0</v>
      </c>
      <c r="G3899" s="28" t="str">
        <f>IF(LEFT(D3899,6)="CLIENT",IF(E3899=0,WORKDAY(A3899-1,1,Dias_Sem_Compensacao!$A$2:$A$500),WORKDAY(A3899,E3899,Dias_Sem_Compensacao!$A$2:$A$500)),"")</f>
        <v/>
      </c>
      <c r="H3899" s="25">
        <v>240</v>
      </c>
      <c r="I3899" s="28">
        <v>46297</v>
      </c>
      <c r="J3899" t="s">
        <v>160</v>
      </c>
      <c r="K3899" t="s">
        <v>159</v>
      </c>
    </row>
    <row r="3900" spans="1:11" hidden="1">
      <c r="A3900" s="28">
        <v>46297</v>
      </c>
      <c r="B3900" t="s">
        <v>3523</v>
      </c>
      <c r="C3900" t="s">
        <v>151</v>
      </c>
      <c r="D3900" t="s">
        <v>3462</v>
      </c>
      <c r="E3900" t="str">
        <f>IF(LEFT(D3900,6)="CLIENT",IFERROR(VLOOKUP(C3900,Config_Carteiras!$A:$B,2,FALSE),1),"")</f>
        <v/>
      </c>
      <c r="F3900" s="25">
        <v>0</v>
      </c>
      <c r="G3900" s="28" t="str">
        <f>IF(LEFT(D3900,6)="CLIENT",IF(E3900=0,WORKDAY(A3900-1,1,Dias_Sem_Compensacao!$A$2:$A$500),WORKDAY(A3900,E3900,Dias_Sem_Compensacao!$A$2:$A$500)),"")</f>
        <v/>
      </c>
      <c r="H3900" s="25">
        <v>1240</v>
      </c>
      <c r="I3900" s="28">
        <v>46297</v>
      </c>
      <c r="J3900" t="s">
        <v>162</v>
      </c>
      <c r="K3900" t="s">
        <v>161</v>
      </c>
    </row>
    <row r="3901" spans="1:11" hidden="1">
      <c r="A3901" s="28">
        <v>46297</v>
      </c>
      <c r="B3901" t="s">
        <v>3523</v>
      </c>
      <c r="C3901" t="s">
        <v>151</v>
      </c>
      <c r="D3901" t="s">
        <v>3462</v>
      </c>
      <c r="E3901" t="str">
        <f>IF(LEFT(D3901,6)="CLIENT",IFERROR(VLOOKUP(C3901,Config_Carteiras!$A:$B,2,FALSE),1),"")</f>
        <v/>
      </c>
      <c r="F3901" s="25">
        <v>0</v>
      </c>
      <c r="G3901" s="28" t="str">
        <f>IF(LEFT(D3901,6)="CLIENT",IF(E3901=0,WORKDAY(A3901-1,1,Dias_Sem_Compensacao!$A$2:$A$500),WORKDAY(A3901,E3901,Dias_Sem_Compensacao!$A$2:$A$500)),"")</f>
        <v/>
      </c>
      <c r="H3901" s="25">
        <v>2410.2399999999998</v>
      </c>
      <c r="I3901" s="28">
        <v>46297</v>
      </c>
      <c r="K3901" t="s">
        <v>144</v>
      </c>
    </row>
    <row r="3902" spans="1:11" hidden="1">
      <c r="A3902" s="28">
        <v>46297</v>
      </c>
      <c r="B3902" t="s">
        <v>3523</v>
      </c>
      <c r="C3902" t="s">
        <v>151</v>
      </c>
      <c r="D3902" t="s">
        <v>3462</v>
      </c>
      <c r="E3902" t="str">
        <f>IF(LEFT(D3902,6)="CLIENT",IFERROR(VLOOKUP(C3902,Config_Carteiras!$A:$B,2,FALSE),1),"")</f>
        <v/>
      </c>
      <c r="F3902" s="25">
        <v>0</v>
      </c>
      <c r="G3902" s="28" t="str">
        <f>IF(LEFT(D3902,6)="CLIENT",IF(E3902=0,WORKDAY(A3902-1,1,Dias_Sem_Compensacao!$A$2:$A$500),WORKDAY(A3902,E3902,Dias_Sem_Compensacao!$A$2:$A$500)),"")</f>
        <v/>
      </c>
      <c r="H3902" s="25">
        <v>700</v>
      </c>
      <c r="I3902" s="28">
        <v>46297</v>
      </c>
      <c r="J3902" t="s">
        <v>164</v>
      </c>
      <c r="K3902" t="s">
        <v>163</v>
      </c>
    </row>
    <row r="3903" spans="1:11" hidden="1">
      <c r="A3903" s="28">
        <v>46297</v>
      </c>
      <c r="B3903" t="s">
        <v>3523</v>
      </c>
      <c r="C3903" t="s">
        <v>151</v>
      </c>
      <c r="D3903" t="s">
        <v>3462</v>
      </c>
      <c r="E3903" t="str">
        <f>IF(LEFT(D3903,6)="CLIENT",IFERROR(VLOOKUP(C3903,Config_Carteiras!$A:$B,2,FALSE),1),"")</f>
        <v/>
      </c>
      <c r="F3903" s="25">
        <v>0</v>
      </c>
      <c r="G3903" s="28" t="str">
        <f>IF(LEFT(D3903,6)="CLIENT",IF(E3903=0,WORKDAY(A3903-1,1,Dias_Sem_Compensacao!$A$2:$A$500),WORKDAY(A3903,E3903,Dias_Sem_Compensacao!$A$2:$A$500)),"")</f>
        <v/>
      </c>
      <c r="H3903" s="25">
        <v>181.37</v>
      </c>
      <c r="I3903" s="28">
        <v>46297</v>
      </c>
      <c r="J3903" t="s">
        <v>42</v>
      </c>
      <c r="K3903" t="s">
        <v>165</v>
      </c>
    </row>
    <row r="3904" spans="1:11" hidden="1">
      <c r="A3904" s="28">
        <v>46297</v>
      </c>
      <c r="B3904" t="s">
        <v>3523</v>
      </c>
      <c r="C3904" t="s">
        <v>151</v>
      </c>
      <c r="D3904" t="s">
        <v>3462</v>
      </c>
      <c r="E3904" t="str">
        <f>IF(LEFT(D3904,6)="CLIENT",IFERROR(VLOOKUP(C3904,Config_Carteiras!$A:$B,2,FALSE),1),"")</f>
        <v/>
      </c>
      <c r="F3904" s="25">
        <v>0</v>
      </c>
      <c r="G3904" s="28" t="str">
        <f>IF(LEFT(D3904,6)="CLIENT",IF(E3904=0,WORKDAY(A3904-1,1,Dias_Sem_Compensacao!$A$2:$A$500),WORKDAY(A3904,E3904,Dias_Sem_Compensacao!$A$2:$A$500)),"")</f>
        <v/>
      </c>
      <c r="H3904" s="25">
        <v>130.66</v>
      </c>
      <c r="I3904" s="28">
        <v>46297</v>
      </c>
      <c r="K3904" t="s">
        <v>143</v>
      </c>
    </row>
    <row r="3905" spans="1:11" hidden="1">
      <c r="A3905" s="28">
        <v>46297</v>
      </c>
      <c r="B3905" t="s">
        <v>3523</v>
      </c>
      <c r="C3905" t="s">
        <v>151</v>
      </c>
      <c r="D3905" t="s">
        <v>3462</v>
      </c>
      <c r="E3905" t="str">
        <f>IF(LEFT(D3905,6)="CLIENT",IFERROR(VLOOKUP(C3905,Config_Carteiras!$A:$B,2,FALSE),1),"")</f>
        <v/>
      </c>
      <c r="F3905" s="25">
        <v>0</v>
      </c>
      <c r="G3905" s="28" t="str">
        <f>IF(LEFT(D3905,6)="CLIENT",IF(E3905=0,WORKDAY(A3905-1,1,Dias_Sem_Compensacao!$A$2:$A$500),WORKDAY(A3905,E3905,Dias_Sem_Compensacao!$A$2:$A$500)),"")</f>
        <v/>
      </c>
      <c r="H3905" s="25">
        <v>435</v>
      </c>
      <c r="I3905" s="28">
        <v>46297</v>
      </c>
      <c r="J3905" t="s">
        <v>167</v>
      </c>
      <c r="K3905" t="s">
        <v>166</v>
      </c>
    </row>
    <row r="3906" spans="1:11" hidden="1">
      <c r="A3906" s="28">
        <v>46297</v>
      </c>
      <c r="B3906" t="s">
        <v>3523</v>
      </c>
      <c r="C3906" t="s">
        <v>151</v>
      </c>
      <c r="D3906" t="s">
        <v>3462</v>
      </c>
      <c r="E3906" t="str">
        <f>IF(LEFT(D3906,6)="CLIENT",IFERROR(VLOOKUP(C3906,Config_Carteiras!$A:$B,2,FALSE),1),"")</f>
        <v/>
      </c>
      <c r="F3906" s="25">
        <v>0</v>
      </c>
      <c r="G3906" s="28" t="str">
        <f>IF(LEFT(D3906,6)="CLIENT",IF(E3906=0,WORKDAY(A3906-1,1,Dias_Sem_Compensacao!$A$2:$A$500),WORKDAY(A3906,E3906,Dias_Sem_Compensacao!$A$2:$A$500)),"")</f>
        <v/>
      </c>
      <c r="H3906" s="25">
        <v>380</v>
      </c>
      <c r="I3906" s="28">
        <v>46297</v>
      </c>
      <c r="J3906" t="s">
        <v>169</v>
      </c>
      <c r="K3906" t="s">
        <v>168</v>
      </c>
    </row>
    <row r="3907" spans="1:11" hidden="1">
      <c r="A3907" s="28">
        <v>46297</v>
      </c>
      <c r="B3907" t="s">
        <v>3523</v>
      </c>
      <c r="C3907" t="s">
        <v>151</v>
      </c>
      <c r="D3907" t="s">
        <v>3462</v>
      </c>
      <c r="E3907" t="str">
        <f>IF(LEFT(D3907,6)="CLIENT",IFERROR(VLOOKUP(C3907,Config_Carteiras!$A:$B,2,FALSE),1),"")</f>
        <v/>
      </c>
      <c r="F3907" s="25">
        <v>0</v>
      </c>
      <c r="G3907" s="28" t="str">
        <f>IF(LEFT(D3907,6)="CLIENT",IF(E3907=0,WORKDAY(A3907-1,1,Dias_Sem_Compensacao!$A$2:$A$500),WORKDAY(A3907,E3907,Dias_Sem_Compensacao!$A$2:$A$500)),"")</f>
        <v/>
      </c>
      <c r="H3907" s="25">
        <v>7835.97</v>
      </c>
      <c r="I3907" s="28">
        <v>46297</v>
      </c>
      <c r="J3907" t="s">
        <v>106</v>
      </c>
      <c r="K3907" t="s">
        <v>170</v>
      </c>
    </row>
    <row r="3908" spans="1:11" hidden="1">
      <c r="A3908" s="28">
        <v>46297</v>
      </c>
      <c r="B3908" t="s">
        <v>3523</v>
      </c>
      <c r="C3908" t="s">
        <v>151</v>
      </c>
      <c r="D3908" t="s">
        <v>3462</v>
      </c>
      <c r="E3908" t="str">
        <f>IF(LEFT(D3908,6)="CLIENT",IFERROR(VLOOKUP(C3908,Config_Carteiras!$A:$B,2,FALSE),1),"")</f>
        <v/>
      </c>
      <c r="F3908" s="25">
        <v>0</v>
      </c>
      <c r="G3908" s="28" t="str">
        <f>IF(LEFT(D3908,6)="CLIENT",IF(E3908=0,WORKDAY(A3908-1,1,Dias_Sem_Compensacao!$A$2:$A$500),WORKDAY(A3908,E3908,Dias_Sem_Compensacao!$A$2:$A$500)),"")</f>
        <v/>
      </c>
      <c r="H3908" s="25">
        <v>418</v>
      </c>
      <c r="I3908" s="28">
        <v>46297</v>
      </c>
      <c r="J3908" t="s">
        <v>48</v>
      </c>
      <c r="K3908" t="s">
        <v>171</v>
      </c>
    </row>
    <row r="3909" spans="1:11" hidden="1">
      <c r="A3909" s="28">
        <v>46297</v>
      </c>
      <c r="B3909" t="s">
        <v>3523</v>
      </c>
      <c r="C3909" t="s">
        <v>151</v>
      </c>
      <c r="D3909" t="s">
        <v>3462</v>
      </c>
      <c r="E3909" t="str">
        <f>IF(LEFT(D3909,6)="CLIENT",IFERROR(VLOOKUP(C3909,Config_Carteiras!$A:$B,2,FALSE),1),"")</f>
        <v/>
      </c>
      <c r="F3909" s="25">
        <v>0</v>
      </c>
      <c r="G3909" s="28" t="str">
        <f>IF(LEFT(D3909,6)="CLIENT",IF(E3909=0,WORKDAY(A3909-1,1,Dias_Sem_Compensacao!$A$2:$A$500),WORKDAY(A3909,E3909,Dias_Sem_Compensacao!$A$2:$A$500)),"")</f>
        <v/>
      </c>
      <c r="H3909" s="25">
        <v>4000</v>
      </c>
      <c r="I3909" s="28">
        <v>46297</v>
      </c>
      <c r="J3909" t="s">
        <v>173</v>
      </c>
      <c r="K3909" t="s">
        <v>172</v>
      </c>
    </row>
    <row r="3910" spans="1:11" hidden="1">
      <c r="A3910" s="28">
        <v>46298</v>
      </c>
      <c r="B3910" t="s">
        <v>3523</v>
      </c>
      <c r="C3910" t="s">
        <v>151</v>
      </c>
      <c r="D3910" t="s">
        <v>3462</v>
      </c>
      <c r="E3910" t="str">
        <f>IF(LEFT(D3910,6)="CLIENT",IFERROR(VLOOKUP(C3910,Config_Carteiras!$A:$B,2,FALSE),1),"")</f>
        <v/>
      </c>
      <c r="F3910" s="25">
        <v>0</v>
      </c>
      <c r="G3910" s="28" t="str">
        <f>IF(LEFT(D3910,6)="CLIENT",IF(E3910=0,WORKDAY(A3910-1,1,Dias_Sem_Compensacao!$A$2:$A$500),WORKDAY(A3910,E3910,Dias_Sem_Compensacao!$A$2:$A$500)),"")</f>
        <v/>
      </c>
      <c r="H3910" s="25">
        <v>920.13</v>
      </c>
      <c r="I3910" s="28">
        <v>46298</v>
      </c>
      <c r="J3910" t="s">
        <v>3538</v>
      </c>
      <c r="K3910" t="s">
        <v>3539</v>
      </c>
    </row>
    <row r="3911" spans="1:11" hidden="1">
      <c r="A3911" s="28">
        <v>46298</v>
      </c>
      <c r="B3911" t="s">
        <v>3523</v>
      </c>
      <c r="C3911" t="s">
        <v>151</v>
      </c>
      <c r="D3911" t="s">
        <v>3462</v>
      </c>
      <c r="E3911" t="str">
        <f>IF(LEFT(D3911,6)="CLIENT",IFERROR(VLOOKUP(C3911,Config_Carteiras!$A:$B,2,FALSE),1),"")</f>
        <v/>
      </c>
      <c r="F3911" s="25">
        <v>0</v>
      </c>
      <c r="G3911" s="28" t="str">
        <f>IF(LEFT(D3911,6)="CLIENT",IF(E3911=0,WORKDAY(A3911-1,1,Dias_Sem_Compensacao!$A$2:$A$500),WORKDAY(A3911,E3911,Dias_Sem_Compensacao!$A$2:$A$500)),"")</f>
        <v/>
      </c>
      <c r="H3911" s="25">
        <v>1850</v>
      </c>
      <c r="I3911" s="28">
        <v>46298</v>
      </c>
      <c r="J3911" t="s">
        <v>1162</v>
      </c>
      <c r="K3911" t="s">
        <v>3540</v>
      </c>
    </row>
    <row r="3912" spans="1:11" hidden="1">
      <c r="A3912" s="28">
        <v>46298</v>
      </c>
      <c r="B3912" t="s">
        <v>3523</v>
      </c>
      <c r="C3912" t="s">
        <v>151</v>
      </c>
      <c r="D3912" t="s">
        <v>3462</v>
      </c>
      <c r="E3912" t="str">
        <f>IF(LEFT(D3912,6)="CLIENT",IFERROR(VLOOKUP(C3912,Config_Carteiras!$A:$B,2,FALSE),1),"")</f>
        <v/>
      </c>
      <c r="F3912" s="25">
        <v>0</v>
      </c>
      <c r="G3912" s="28" t="str">
        <f>IF(LEFT(D3912,6)="CLIENT",IF(E3912=0,WORKDAY(A3912-1,1,Dias_Sem_Compensacao!$A$2:$A$500),WORKDAY(A3912,E3912,Dias_Sem_Compensacao!$A$2:$A$500)),"")</f>
        <v/>
      </c>
      <c r="H3912" s="25">
        <v>1125</v>
      </c>
      <c r="I3912" s="28">
        <v>46298</v>
      </c>
      <c r="J3912" t="s">
        <v>106</v>
      </c>
      <c r="K3912" t="s">
        <v>3541</v>
      </c>
    </row>
    <row r="3913" spans="1:11" hidden="1">
      <c r="A3913" s="28">
        <v>46298</v>
      </c>
      <c r="B3913" t="s">
        <v>3523</v>
      </c>
      <c r="C3913" t="s">
        <v>151</v>
      </c>
      <c r="D3913" t="s">
        <v>3462</v>
      </c>
      <c r="E3913" t="str">
        <f>IF(LEFT(D3913,6)="CLIENT",IFERROR(VLOOKUP(C3913,Config_Carteiras!$A:$B,2,FALSE),1),"")</f>
        <v/>
      </c>
      <c r="F3913" s="25">
        <v>0</v>
      </c>
      <c r="G3913" s="28" t="str">
        <f>IF(LEFT(D3913,6)="CLIENT",IF(E3913=0,WORKDAY(A3913-1,1,Dias_Sem_Compensacao!$A$2:$A$500),WORKDAY(A3913,E3913,Dias_Sem_Compensacao!$A$2:$A$500)),"")</f>
        <v/>
      </c>
      <c r="H3913" s="25">
        <v>494.94</v>
      </c>
      <c r="I3913" s="28">
        <v>46298</v>
      </c>
      <c r="J3913" t="s">
        <v>3542</v>
      </c>
      <c r="K3913" t="s">
        <v>3543</v>
      </c>
    </row>
    <row r="3914" spans="1:11" hidden="1">
      <c r="A3914" s="28">
        <v>46299</v>
      </c>
      <c r="B3914" t="s">
        <v>3523</v>
      </c>
      <c r="C3914" t="s">
        <v>151</v>
      </c>
      <c r="D3914" t="s">
        <v>3462</v>
      </c>
      <c r="E3914" t="str">
        <f>IF(LEFT(D3914,6)="CLIENT",IFERROR(VLOOKUP(C3914,Config_Carteiras!$A:$B,2,FALSE),1),"")</f>
        <v/>
      </c>
      <c r="F3914" s="25">
        <v>0</v>
      </c>
      <c r="G3914" s="28" t="str">
        <f>IF(LEFT(D3914,6)="CLIENT",IF(E3914=0,WORKDAY(A3914-1,1,Dias_Sem_Compensacao!$A$2:$A$500),WORKDAY(A3914,E3914,Dias_Sem_Compensacao!$A$2:$A$500)),"")</f>
        <v/>
      </c>
      <c r="H3914" s="25">
        <v>27.44</v>
      </c>
      <c r="I3914" s="28">
        <v>46299</v>
      </c>
      <c r="J3914" t="s">
        <v>3538</v>
      </c>
      <c r="K3914" t="s">
        <v>3544</v>
      </c>
    </row>
    <row r="3915" spans="1:11" hidden="1">
      <c r="A3915" s="28">
        <v>46299</v>
      </c>
      <c r="B3915" t="s">
        <v>3523</v>
      </c>
      <c r="C3915" t="s">
        <v>151</v>
      </c>
      <c r="D3915" t="s">
        <v>3462</v>
      </c>
      <c r="E3915" t="str">
        <f>IF(LEFT(D3915,6)="CLIENT",IFERROR(VLOOKUP(C3915,Config_Carteiras!$A:$B,2,FALSE),1),"")</f>
        <v/>
      </c>
      <c r="F3915" s="25">
        <v>0</v>
      </c>
      <c r="G3915" s="28" t="str">
        <f>IF(LEFT(D3915,6)="CLIENT",IF(E3915=0,WORKDAY(A3915-1,1,Dias_Sem_Compensacao!$A$2:$A$500),WORKDAY(A3915,E3915,Dias_Sem_Compensacao!$A$2:$A$500)),"")</f>
        <v/>
      </c>
      <c r="H3915" s="25">
        <v>3717.42</v>
      </c>
      <c r="I3915" s="28">
        <v>46299</v>
      </c>
      <c r="J3915" t="s">
        <v>3545</v>
      </c>
      <c r="K3915" t="s">
        <v>3546</v>
      </c>
    </row>
    <row r="3916" spans="1:11" hidden="1">
      <c r="A3916" s="28">
        <v>46299</v>
      </c>
      <c r="B3916" t="s">
        <v>3523</v>
      </c>
      <c r="C3916" t="s">
        <v>151</v>
      </c>
      <c r="D3916" t="s">
        <v>3462</v>
      </c>
      <c r="E3916" t="str">
        <f>IF(LEFT(D3916,6)="CLIENT",IFERROR(VLOOKUP(C3916,Config_Carteiras!$A:$B,2,FALSE),1),"")</f>
        <v/>
      </c>
      <c r="F3916" s="25">
        <v>0</v>
      </c>
      <c r="G3916" s="28" t="str">
        <f>IF(LEFT(D3916,6)="CLIENT",IF(E3916=0,WORKDAY(A3916-1,1,Dias_Sem_Compensacao!$A$2:$A$500),WORKDAY(A3916,E3916,Dias_Sem_Compensacao!$A$2:$A$500)),"")</f>
        <v/>
      </c>
      <c r="H3916" s="25">
        <v>5741.53</v>
      </c>
      <c r="I3916" s="28">
        <v>46299</v>
      </c>
      <c r="J3916" t="s">
        <v>106</v>
      </c>
      <c r="K3916" t="s">
        <v>3547</v>
      </c>
    </row>
    <row r="3917" spans="1:11" hidden="1">
      <c r="A3917" s="28">
        <v>46300</v>
      </c>
      <c r="B3917" t="s">
        <v>3523</v>
      </c>
      <c r="C3917" t="s">
        <v>151</v>
      </c>
      <c r="D3917" t="s">
        <v>3462</v>
      </c>
      <c r="E3917" t="str">
        <f>IF(LEFT(D3917,6)="CLIENT",IFERROR(VLOOKUP(C3917,Config_Carteiras!$A:$B,2,FALSE),1),"")</f>
        <v/>
      </c>
      <c r="F3917" s="25">
        <v>0</v>
      </c>
      <c r="G3917" s="28" t="str">
        <f>IF(LEFT(D3917,6)="CLIENT",IF(E3917=0,WORKDAY(A3917-1,1,Dias_Sem_Compensacao!$A$2:$A$500),WORKDAY(A3917,E3917,Dias_Sem_Compensacao!$A$2:$A$500)),"")</f>
        <v/>
      </c>
      <c r="H3917" s="25">
        <v>4517.05</v>
      </c>
      <c r="I3917" s="28">
        <v>46300</v>
      </c>
      <c r="J3917" t="s">
        <v>115</v>
      </c>
      <c r="K3917" t="s">
        <v>3548</v>
      </c>
    </row>
    <row r="3918" spans="1:11" hidden="1">
      <c r="A3918" s="28">
        <v>46300</v>
      </c>
      <c r="B3918" t="s">
        <v>3523</v>
      </c>
      <c r="C3918" t="s">
        <v>151</v>
      </c>
      <c r="D3918" t="s">
        <v>3462</v>
      </c>
      <c r="E3918" t="str">
        <f>IF(LEFT(D3918,6)="CLIENT",IFERROR(VLOOKUP(C3918,Config_Carteiras!$A:$B,2,FALSE),1),"")</f>
        <v/>
      </c>
      <c r="F3918" s="25">
        <v>0</v>
      </c>
      <c r="G3918" s="28" t="str">
        <f>IF(LEFT(D3918,6)="CLIENT",IF(E3918=0,WORKDAY(A3918-1,1,Dias_Sem_Compensacao!$A$2:$A$500),WORKDAY(A3918,E3918,Dias_Sem_Compensacao!$A$2:$A$500)),"")</f>
        <v/>
      </c>
      <c r="H3918" s="25">
        <v>1191.01</v>
      </c>
      <c r="I3918" s="28">
        <v>46300</v>
      </c>
      <c r="J3918" t="s">
        <v>3549</v>
      </c>
      <c r="K3918" t="s">
        <v>3550</v>
      </c>
    </row>
    <row r="3919" spans="1:11" hidden="1">
      <c r="A3919" s="28">
        <v>46300</v>
      </c>
      <c r="B3919" t="s">
        <v>3523</v>
      </c>
      <c r="C3919" t="s">
        <v>151</v>
      </c>
      <c r="D3919" t="s">
        <v>3462</v>
      </c>
      <c r="E3919" t="str">
        <f>IF(LEFT(D3919,6)="CLIENT",IFERROR(VLOOKUP(C3919,Config_Carteiras!$A:$B,2,FALSE),1),"")</f>
        <v/>
      </c>
      <c r="F3919" s="25">
        <v>0</v>
      </c>
      <c r="G3919" s="28" t="str">
        <f>IF(LEFT(D3919,6)="CLIENT",IF(E3919=0,WORKDAY(A3919-1,1,Dias_Sem_Compensacao!$A$2:$A$500),WORKDAY(A3919,E3919,Dias_Sem_Compensacao!$A$2:$A$500)),"")</f>
        <v/>
      </c>
      <c r="H3919" s="25">
        <v>1940.5</v>
      </c>
      <c r="I3919" s="28">
        <v>46300</v>
      </c>
      <c r="J3919" t="s">
        <v>3538</v>
      </c>
      <c r="K3919" t="s">
        <v>3551</v>
      </c>
    </row>
    <row r="3920" spans="1:11" hidden="1">
      <c r="A3920" s="28">
        <v>46300</v>
      </c>
      <c r="B3920" t="s">
        <v>3523</v>
      </c>
      <c r="C3920" t="s">
        <v>151</v>
      </c>
      <c r="D3920" t="s">
        <v>3462</v>
      </c>
      <c r="E3920" t="str">
        <f>IF(LEFT(D3920,6)="CLIENT",IFERROR(VLOOKUP(C3920,Config_Carteiras!$A:$B,2,FALSE),1),"")</f>
        <v/>
      </c>
      <c r="F3920" s="25">
        <v>0</v>
      </c>
      <c r="G3920" s="28" t="str">
        <f>IF(LEFT(D3920,6)="CLIENT",IF(E3920=0,WORKDAY(A3920-1,1,Dias_Sem_Compensacao!$A$2:$A$500),WORKDAY(A3920,E3920,Dias_Sem_Compensacao!$A$2:$A$500)),"")</f>
        <v/>
      </c>
      <c r="H3920" s="25">
        <v>2310</v>
      </c>
      <c r="I3920" s="28">
        <v>46300</v>
      </c>
      <c r="J3920" t="s">
        <v>123</v>
      </c>
      <c r="K3920" t="s">
        <v>3552</v>
      </c>
    </row>
    <row r="3921" spans="1:11" hidden="1">
      <c r="A3921" s="28">
        <v>46300</v>
      </c>
      <c r="B3921" t="s">
        <v>3523</v>
      </c>
      <c r="C3921" t="s">
        <v>151</v>
      </c>
      <c r="D3921" t="s">
        <v>3462</v>
      </c>
      <c r="E3921" t="str">
        <f>IF(LEFT(D3921,6)="CLIENT",IFERROR(VLOOKUP(C3921,Config_Carteiras!$A:$B,2,FALSE),1),"")</f>
        <v/>
      </c>
      <c r="F3921" s="25">
        <v>0</v>
      </c>
      <c r="G3921" s="28" t="str">
        <f>IF(LEFT(D3921,6)="CLIENT",IF(E3921=0,WORKDAY(A3921-1,1,Dias_Sem_Compensacao!$A$2:$A$500),WORKDAY(A3921,E3921,Dias_Sem_Compensacao!$A$2:$A$500)),"")</f>
        <v/>
      </c>
      <c r="H3921" s="25">
        <v>75600</v>
      </c>
      <c r="I3921" s="28">
        <v>46300</v>
      </c>
      <c r="J3921" t="s">
        <v>3553</v>
      </c>
      <c r="K3921" t="s">
        <v>3554</v>
      </c>
    </row>
    <row r="3922" spans="1:11" hidden="1">
      <c r="A3922" s="28">
        <v>46300</v>
      </c>
      <c r="B3922" t="s">
        <v>3523</v>
      </c>
      <c r="C3922" t="s">
        <v>151</v>
      </c>
      <c r="D3922" t="s">
        <v>3462</v>
      </c>
      <c r="E3922" t="str">
        <f>IF(LEFT(D3922,6)="CLIENT",IFERROR(VLOOKUP(C3922,Config_Carteiras!$A:$B,2,FALSE),1),"")</f>
        <v/>
      </c>
      <c r="F3922" s="25">
        <v>0</v>
      </c>
      <c r="G3922" s="28" t="str">
        <f>IF(LEFT(D3922,6)="CLIENT",IF(E3922=0,WORKDAY(A3922-1,1,Dias_Sem_Compensacao!$A$2:$A$500),WORKDAY(A3922,E3922,Dias_Sem_Compensacao!$A$2:$A$500)),"")</f>
        <v/>
      </c>
      <c r="H3922" s="25">
        <v>435.75</v>
      </c>
      <c r="I3922" s="28">
        <v>46300</v>
      </c>
      <c r="J3922" t="s">
        <v>3555</v>
      </c>
      <c r="K3922" t="s">
        <v>3556</v>
      </c>
    </row>
    <row r="3923" spans="1:11" hidden="1">
      <c r="A3923" s="28">
        <v>46300</v>
      </c>
      <c r="B3923" t="s">
        <v>3523</v>
      </c>
      <c r="C3923" t="s">
        <v>151</v>
      </c>
      <c r="D3923" t="s">
        <v>3462</v>
      </c>
      <c r="E3923" t="str">
        <f>IF(LEFT(D3923,6)="CLIENT",IFERROR(VLOOKUP(C3923,Config_Carteiras!$A:$B,2,FALSE),1),"")</f>
        <v/>
      </c>
      <c r="F3923" s="25">
        <v>0</v>
      </c>
      <c r="G3923" s="28" t="str">
        <f>IF(LEFT(D3923,6)="CLIENT",IF(E3923=0,WORKDAY(A3923-1,1,Dias_Sem_Compensacao!$A$2:$A$500),WORKDAY(A3923,E3923,Dias_Sem_Compensacao!$A$2:$A$500)),"")</f>
        <v/>
      </c>
      <c r="H3923" s="25">
        <v>5294.42</v>
      </c>
      <c r="I3923" s="28">
        <v>46300</v>
      </c>
      <c r="J3923" t="s">
        <v>3557</v>
      </c>
      <c r="K3923" t="s">
        <v>3558</v>
      </c>
    </row>
    <row r="3924" spans="1:11" hidden="1">
      <c r="A3924" s="28">
        <v>46300</v>
      </c>
      <c r="B3924" t="s">
        <v>3523</v>
      </c>
      <c r="C3924" t="s">
        <v>151</v>
      </c>
      <c r="D3924" t="s">
        <v>3462</v>
      </c>
      <c r="E3924" t="str">
        <f>IF(LEFT(D3924,6)="CLIENT",IFERROR(VLOOKUP(C3924,Config_Carteiras!$A:$B,2,FALSE),1),"")</f>
        <v/>
      </c>
      <c r="F3924" s="25">
        <v>0</v>
      </c>
      <c r="G3924" s="28" t="str">
        <f>IF(LEFT(D3924,6)="CLIENT",IF(E3924=0,WORKDAY(A3924-1,1,Dias_Sem_Compensacao!$A$2:$A$500),WORKDAY(A3924,E3924,Dias_Sem_Compensacao!$A$2:$A$500)),"")</f>
        <v/>
      </c>
      <c r="H3924" s="25">
        <v>501</v>
      </c>
      <c r="I3924" s="28">
        <v>46300</v>
      </c>
      <c r="J3924" t="s">
        <v>74</v>
      </c>
      <c r="K3924" t="s">
        <v>3559</v>
      </c>
    </row>
    <row r="3925" spans="1:11" hidden="1">
      <c r="A3925" s="28">
        <v>46300</v>
      </c>
      <c r="B3925" t="s">
        <v>3523</v>
      </c>
      <c r="C3925" t="s">
        <v>151</v>
      </c>
      <c r="D3925" t="s">
        <v>3462</v>
      </c>
      <c r="E3925" t="str">
        <f>IF(LEFT(D3925,6)="CLIENT",IFERROR(VLOOKUP(C3925,Config_Carteiras!$A:$B,2,FALSE),1),"")</f>
        <v/>
      </c>
      <c r="F3925" s="25">
        <v>0</v>
      </c>
      <c r="G3925" s="28" t="str">
        <f>IF(LEFT(D3925,6)="CLIENT",IF(E3925=0,WORKDAY(A3925-1,1,Dias_Sem_Compensacao!$A$2:$A$500),WORKDAY(A3925,E3925,Dias_Sem_Compensacao!$A$2:$A$500)),"")</f>
        <v/>
      </c>
      <c r="H3925" s="25">
        <v>487.5</v>
      </c>
      <c r="I3925" s="28">
        <v>46300</v>
      </c>
      <c r="K3925" t="s">
        <v>3560</v>
      </c>
    </row>
    <row r="3926" spans="1:11" hidden="1">
      <c r="A3926" s="28">
        <v>46300</v>
      </c>
      <c r="B3926" t="s">
        <v>3523</v>
      </c>
      <c r="C3926" t="s">
        <v>151</v>
      </c>
      <c r="D3926" t="s">
        <v>3462</v>
      </c>
      <c r="E3926" t="str">
        <f>IF(LEFT(D3926,6)="CLIENT",IFERROR(VLOOKUP(C3926,Config_Carteiras!$A:$B,2,FALSE),1),"")</f>
        <v/>
      </c>
      <c r="F3926" s="25">
        <v>0</v>
      </c>
      <c r="G3926" s="28" t="str">
        <f>IF(LEFT(D3926,6)="CLIENT",IF(E3926=0,WORKDAY(A3926-1,1,Dias_Sem_Compensacao!$A$2:$A$500),WORKDAY(A3926,E3926,Dias_Sem_Compensacao!$A$2:$A$500)),"")</f>
        <v/>
      </c>
      <c r="H3926" s="25">
        <v>1046.8399999999999</v>
      </c>
      <c r="I3926" s="28">
        <v>46300</v>
      </c>
      <c r="J3926" t="s">
        <v>3561</v>
      </c>
      <c r="K3926" t="s">
        <v>3562</v>
      </c>
    </row>
    <row r="3927" spans="1:11" hidden="1">
      <c r="A3927" s="28">
        <v>46300</v>
      </c>
      <c r="B3927" t="s">
        <v>3523</v>
      </c>
      <c r="C3927" t="s">
        <v>151</v>
      </c>
      <c r="D3927" t="s">
        <v>3462</v>
      </c>
      <c r="E3927" t="str">
        <f>IF(LEFT(D3927,6)="CLIENT",IFERROR(VLOOKUP(C3927,Config_Carteiras!$A:$B,2,FALSE),1),"")</f>
        <v/>
      </c>
      <c r="F3927" s="25">
        <v>0</v>
      </c>
      <c r="G3927" s="28" t="str">
        <f>IF(LEFT(D3927,6)="CLIENT",IF(E3927=0,WORKDAY(A3927-1,1,Dias_Sem_Compensacao!$A$2:$A$500),WORKDAY(A3927,E3927,Dias_Sem_Compensacao!$A$2:$A$500)),"")</f>
        <v/>
      </c>
      <c r="H3927" s="25">
        <v>250</v>
      </c>
      <c r="I3927" s="28">
        <v>46300</v>
      </c>
      <c r="J3927" t="s">
        <v>3563</v>
      </c>
      <c r="K3927" t="s">
        <v>3564</v>
      </c>
    </row>
    <row r="3928" spans="1:11" hidden="1">
      <c r="A3928" s="28">
        <v>46300</v>
      </c>
      <c r="B3928" t="s">
        <v>3523</v>
      </c>
      <c r="C3928" t="s">
        <v>151</v>
      </c>
      <c r="D3928" t="s">
        <v>3462</v>
      </c>
      <c r="E3928" t="str">
        <f>IF(LEFT(D3928,6)="CLIENT",IFERROR(VLOOKUP(C3928,Config_Carteiras!$A:$B,2,FALSE),1),"")</f>
        <v/>
      </c>
      <c r="F3928" s="25">
        <v>0</v>
      </c>
      <c r="G3928" s="28" t="str">
        <f>IF(LEFT(D3928,6)="CLIENT",IF(E3928=0,WORKDAY(A3928-1,1,Dias_Sem_Compensacao!$A$2:$A$500),WORKDAY(A3928,E3928,Dias_Sem_Compensacao!$A$2:$A$500)),"")</f>
        <v/>
      </c>
      <c r="H3928" s="25">
        <v>1215.8800000000001</v>
      </c>
      <c r="I3928" s="28">
        <v>46300</v>
      </c>
      <c r="J3928" t="s">
        <v>3565</v>
      </c>
      <c r="K3928" t="s">
        <v>3566</v>
      </c>
    </row>
    <row r="3929" spans="1:11" hidden="1">
      <c r="A3929" s="28">
        <v>46300</v>
      </c>
      <c r="B3929" t="s">
        <v>3523</v>
      </c>
      <c r="C3929" t="s">
        <v>151</v>
      </c>
      <c r="D3929" t="s">
        <v>3462</v>
      </c>
      <c r="E3929" t="str">
        <f>IF(LEFT(D3929,6)="CLIENT",IFERROR(VLOOKUP(C3929,Config_Carteiras!$A:$B,2,FALSE),1),"")</f>
        <v/>
      </c>
      <c r="F3929" s="25">
        <v>0</v>
      </c>
      <c r="G3929" s="28" t="str">
        <f>IF(LEFT(D3929,6)="CLIENT",IF(E3929=0,WORKDAY(A3929-1,1,Dias_Sem_Compensacao!$A$2:$A$500),WORKDAY(A3929,E3929,Dias_Sem_Compensacao!$A$2:$A$500)),"")</f>
        <v/>
      </c>
      <c r="H3929" s="25">
        <v>330</v>
      </c>
      <c r="I3929" s="28">
        <v>46300</v>
      </c>
      <c r="J3929" t="s">
        <v>167</v>
      </c>
      <c r="K3929" t="s">
        <v>3567</v>
      </c>
    </row>
    <row r="3930" spans="1:11" hidden="1">
      <c r="A3930" s="28">
        <v>46300</v>
      </c>
      <c r="B3930" t="s">
        <v>3523</v>
      </c>
      <c r="C3930" t="s">
        <v>151</v>
      </c>
      <c r="D3930" t="s">
        <v>3462</v>
      </c>
      <c r="E3930" t="str">
        <f>IF(LEFT(D3930,6)="CLIENT",IFERROR(VLOOKUP(C3930,Config_Carteiras!$A:$B,2,FALSE),1),"")</f>
        <v/>
      </c>
      <c r="F3930" s="25">
        <v>0</v>
      </c>
      <c r="G3930" s="28" t="str">
        <f>IF(LEFT(D3930,6)="CLIENT",IF(E3930=0,WORKDAY(A3930-1,1,Dias_Sem_Compensacao!$A$2:$A$500),WORKDAY(A3930,E3930,Dias_Sem_Compensacao!$A$2:$A$500)),"")</f>
        <v/>
      </c>
      <c r="H3930" s="25">
        <v>22193.9</v>
      </c>
      <c r="I3930" s="28">
        <v>46300</v>
      </c>
      <c r="J3930" t="s">
        <v>3568</v>
      </c>
      <c r="K3930" t="s">
        <v>3569</v>
      </c>
    </row>
    <row r="3931" spans="1:11" hidden="1">
      <c r="A3931" s="28">
        <v>46300</v>
      </c>
      <c r="B3931" t="s">
        <v>3523</v>
      </c>
      <c r="C3931" t="s">
        <v>151</v>
      </c>
      <c r="D3931" t="s">
        <v>3462</v>
      </c>
      <c r="E3931" t="str">
        <f>IF(LEFT(D3931,6)="CLIENT",IFERROR(VLOOKUP(C3931,Config_Carteiras!$A:$B,2,FALSE),1),"")</f>
        <v/>
      </c>
      <c r="F3931" s="25">
        <v>0</v>
      </c>
      <c r="G3931" s="28" t="str">
        <f>IF(LEFT(D3931,6)="CLIENT",IF(E3931=0,WORKDAY(A3931-1,1,Dias_Sem_Compensacao!$A$2:$A$500),WORKDAY(A3931,E3931,Dias_Sem_Compensacao!$A$2:$A$500)),"")</f>
        <v/>
      </c>
      <c r="H3931" s="25">
        <v>6855.97</v>
      </c>
      <c r="I3931" s="28">
        <v>46300</v>
      </c>
      <c r="K3931" t="s">
        <v>3570</v>
      </c>
    </row>
    <row r="3932" spans="1:11" hidden="1">
      <c r="A3932" s="28">
        <v>46300</v>
      </c>
      <c r="B3932" t="s">
        <v>3523</v>
      </c>
      <c r="C3932" t="s">
        <v>151</v>
      </c>
      <c r="D3932" t="s">
        <v>3462</v>
      </c>
      <c r="E3932" t="str">
        <f>IF(LEFT(D3932,6)="CLIENT",IFERROR(VLOOKUP(C3932,Config_Carteiras!$A:$B,2,FALSE),1),"")</f>
        <v/>
      </c>
      <c r="F3932" s="25">
        <v>0</v>
      </c>
      <c r="G3932" s="28" t="str">
        <f>IF(LEFT(D3932,6)="CLIENT",IF(E3932=0,WORKDAY(A3932-1,1,Dias_Sem_Compensacao!$A$2:$A$500),WORKDAY(A3932,E3932,Dias_Sem_Compensacao!$A$2:$A$500)),"")</f>
        <v/>
      </c>
      <c r="H3932" s="25">
        <v>339.69</v>
      </c>
      <c r="I3932" s="28">
        <v>46300</v>
      </c>
      <c r="J3932" t="s">
        <v>3571</v>
      </c>
      <c r="K3932" t="s">
        <v>3572</v>
      </c>
    </row>
    <row r="3933" spans="1:11" hidden="1">
      <c r="A3933" s="28">
        <v>46300</v>
      </c>
      <c r="B3933" t="s">
        <v>3523</v>
      </c>
      <c r="C3933" t="s">
        <v>151</v>
      </c>
      <c r="D3933" t="s">
        <v>3462</v>
      </c>
      <c r="E3933" t="str">
        <f>IF(LEFT(D3933,6)="CLIENT",IFERROR(VLOOKUP(C3933,Config_Carteiras!$A:$B,2,FALSE),1),"")</f>
        <v/>
      </c>
      <c r="F3933" s="25">
        <v>0</v>
      </c>
      <c r="G3933" s="28" t="str">
        <f>IF(LEFT(D3933,6)="CLIENT",IF(E3933=0,WORKDAY(A3933-1,1,Dias_Sem_Compensacao!$A$2:$A$500),WORKDAY(A3933,E3933,Dias_Sem_Compensacao!$A$2:$A$500)),"")</f>
        <v/>
      </c>
      <c r="H3933" s="25">
        <v>1312.93</v>
      </c>
      <c r="I3933" s="28">
        <v>46300</v>
      </c>
      <c r="K3933" t="s">
        <v>3573</v>
      </c>
    </row>
    <row r="3934" spans="1:11" hidden="1">
      <c r="A3934" s="28">
        <v>46300</v>
      </c>
      <c r="B3934" t="s">
        <v>3523</v>
      </c>
      <c r="C3934" t="s">
        <v>151</v>
      </c>
      <c r="D3934" t="s">
        <v>3462</v>
      </c>
      <c r="E3934" t="str">
        <f>IF(LEFT(D3934,6)="CLIENT",IFERROR(VLOOKUP(C3934,Config_Carteiras!$A:$B,2,FALSE),1),"")</f>
        <v/>
      </c>
      <c r="F3934" s="25">
        <v>0</v>
      </c>
      <c r="G3934" s="28" t="str">
        <f>IF(LEFT(D3934,6)="CLIENT",IF(E3934=0,WORKDAY(A3934-1,1,Dias_Sem_Compensacao!$A$2:$A$500),WORKDAY(A3934,E3934,Dias_Sem_Compensacao!$A$2:$A$500)),"")</f>
        <v/>
      </c>
      <c r="H3934" s="25">
        <v>7959.11</v>
      </c>
      <c r="I3934" s="28">
        <v>46300</v>
      </c>
      <c r="J3934" t="s">
        <v>3574</v>
      </c>
      <c r="K3934" t="s">
        <v>3575</v>
      </c>
    </row>
    <row r="3935" spans="1:11" hidden="1">
      <c r="A3935" s="28">
        <v>46300</v>
      </c>
      <c r="B3935" t="s">
        <v>3523</v>
      </c>
      <c r="C3935" t="s">
        <v>151</v>
      </c>
      <c r="D3935" t="s">
        <v>3462</v>
      </c>
      <c r="E3935" t="str">
        <f>IF(LEFT(D3935,6)="CLIENT",IFERROR(VLOOKUP(C3935,Config_Carteiras!$A:$B,2,FALSE),1),"")</f>
        <v/>
      </c>
      <c r="F3935" s="25">
        <v>0</v>
      </c>
      <c r="G3935" s="28" t="str">
        <f>IF(LEFT(D3935,6)="CLIENT",IF(E3935=0,WORKDAY(A3935-1,1,Dias_Sem_Compensacao!$A$2:$A$500),WORKDAY(A3935,E3935,Dias_Sem_Compensacao!$A$2:$A$500)),"")</f>
        <v/>
      </c>
      <c r="H3935" s="25">
        <v>3529.37</v>
      </c>
      <c r="I3935" s="28">
        <v>46300</v>
      </c>
      <c r="K3935" t="s">
        <v>3576</v>
      </c>
    </row>
    <row r="3936" spans="1:11" hidden="1">
      <c r="A3936" s="28">
        <v>46301</v>
      </c>
      <c r="B3936" t="s">
        <v>3523</v>
      </c>
      <c r="C3936" t="s">
        <v>151</v>
      </c>
      <c r="D3936" t="s">
        <v>3462</v>
      </c>
      <c r="E3936" t="str">
        <f>IF(LEFT(D3936,6)="CLIENT",IFERROR(VLOOKUP(C3936,Config_Carteiras!$A:$B,2,FALSE),1),"")</f>
        <v/>
      </c>
      <c r="F3936" s="25">
        <v>0</v>
      </c>
      <c r="G3936" s="28" t="str">
        <f>IF(LEFT(D3936,6)="CLIENT",IF(E3936=0,WORKDAY(A3936-1,1,Dias_Sem_Compensacao!$A$2:$A$500),WORKDAY(A3936,E3936,Dias_Sem_Compensacao!$A$2:$A$500)),"")</f>
        <v/>
      </c>
      <c r="H3936" s="25">
        <v>7370</v>
      </c>
      <c r="I3936" s="28">
        <v>46301</v>
      </c>
      <c r="J3936" t="s">
        <v>123</v>
      </c>
      <c r="K3936" t="s">
        <v>3577</v>
      </c>
    </row>
    <row r="3937" spans="1:11" hidden="1">
      <c r="A3937" s="28">
        <v>46301</v>
      </c>
      <c r="B3937" t="s">
        <v>3523</v>
      </c>
      <c r="C3937" t="s">
        <v>151</v>
      </c>
      <c r="D3937" t="s">
        <v>3462</v>
      </c>
      <c r="E3937" t="str">
        <f>IF(LEFT(D3937,6)="CLIENT",IFERROR(VLOOKUP(C3937,Config_Carteiras!$A:$B,2,FALSE),1),"")</f>
        <v/>
      </c>
      <c r="F3937" s="25">
        <v>0</v>
      </c>
      <c r="G3937" s="28" t="str">
        <f>IF(LEFT(D3937,6)="CLIENT",IF(E3937=0,WORKDAY(A3937-1,1,Dias_Sem_Compensacao!$A$2:$A$500),WORKDAY(A3937,E3937,Dias_Sem_Compensacao!$A$2:$A$500)),"")</f>
        <v/>
      </c>
      <c r="H3937" s="25">
        <v>5000</v>
      </c>
      <c r="I3937" s="28">
        <v>46301</v>
      </c>
      <c r="J3937" t="s">
        <v>3578</v>
      </c>
      <c r="K3937" t="s">
        <v>3579</v>
      </c>
    </row>
    <row r="3938" spans="1:11" hidden="1">
      <c r="A3938" s="28">
        <v>46301</v>
      </c>
      <c r="B3938" t="s">
        <v>3523</v>
      </c>
      <c r="C3938" t="s">
        <v>151</v>
      </c>
      <c r="D3938" t="s">
        <v>3462</v>
      </c>
      <c r="E3938" t="str">
        <f>IF(LEFT(D3938,6)="CLIENT",IFERROR(VLOOKUP(C3938,Config_Carteiras!$A:$B,2,FALSE),1),"")</f>
        <v/>
      </c>
      <c r="F3938" s="25">
        <v>0</v>
      </c>
      <c r="G3938" s="28" t="str">
        <f>IF(LEFT(D3938,6)="CLIENT",IF(E3938=0,WORKDAY(A3938-1,1,Dias_Sem_Compensacao!$A$2:$A$500),WORKDAY(A3938,E3938,Dias_Sem_Compensacao!$A$2:$A$500)),"")</f>
        <v/>
      </c>
      <c r="H3938" s="25">
        <v>126.02</v>
      </c>
      <c r="I3938" s="28">
        <v>46301</v>
      </c>
      <c r="J3938" t="s">
        <v>28</v>
      </c>
      <c r="K3938" t="s">
        <v>3580</v>
      </c>
    </row>
    <row r="3939" spans="1:11" hidden="1">
      <c r="A3939" s="28">
        <v>46301</v>
      </c>
      <c r="B3939" t="s">
        <v>3523</v>
      </c>
      <c r="C3939" t="s">
        <v>151</v>
      </c>
      <c r="D3939" t="s">
        <v>3462</v>
      </c>
      <c r="E3939" t="str">
        <f>IF(LEFT(D3939,6)="CLIENT",IFERROR(VLOOKUP(C3939,Config_Carteiras!$A:$B,2,FALSE),1),"")</f>
        <v/>
      </c>
      <c r="F3939" s="25">
        <v>0</v>
      </c>
      <c r="G3939" s="28" t="str">
        <f>IF(LEFT(D3939,6)="CLIENT",IF(E3939=0,WORKDAY(A3939-1,1,Dias_Sem_Compensacao!$A$2:$A$500),WORKDAY(A3939,E3939,Dias_Sem_Compensacao!$A$2:$A$500)),"")</f>
        <v/>
      </c>
      <c r="H3939" s="25">
        <v>63.01</v>
      </c>
      <c r="I3939" s="28">
        <v>46301</v>
      </c>
      <c r="K3939" t="s">
        <v>3581</v>
      </c>
    </row>
    <row r="3940" spans="1:11" hidden="1">
      <c r="A3940" s="28">
        <v>46301</v>
      </c>
      <c r="B3940" t="s">
        <v>3523</v>
      </c>
      <c r="C3940" t="s">
        <v>151</v>
      </c>
      <c r="D3940" t="s">
        <v>3462</v>
      </c>
      <c r="E3940" t="str">
        <f>IF(LEFT(D3940,6)="CLIENT",IFERROR(VLOOKUP(C3940,Config_Carteiras!$A:$B,2,FALSE),1),"")</f>
        <v/>
      </c>
      <c r="F3940" s="25">
        <v>0</v>
      </c>
      <c r="G3940" s="28" t="str">
        <f>IF(LEFT(D3940,6)="CLIENT",IF(E3940=0,WORKDAY(A3940-1,1,Dias_Sem_Compensacao!$A$2:$A$500),WORKDAY(A3940,E3940,Dias_Sem_Compensacao!$A$2:$A$500)),"")</f>
        <v/>
      </c>
      <c r="H3940" s="25">
        <v>1135.4000000000001</v>
      </c>
      <c r="I3940" s="28">
        <v>46301</v>
      </c>
      <c r="K3940" t="s">
        <v>3582</v>
      </c>
    </row>
    <row r="3941" spans="1:11" hidden="1">
      <c r="A3941" s="28">
        <v>46301</v>
      </c>
      <c r="B3941" t="s">
        <v>3523</v>
      </c>
      <c r="C3941" t="s">
        <v>151</v>
      </c>
      <c r="D3941" t="s">
        <v>3462</v>
      </c>
      <c r="E3941" t="str">
        <f>IF(LEFT(D3941,6)="CLIENT",IFERROR(VLOOKUP(C3941,Config_Carteiras!$A:$B,2,FALSE),1),"")</f>
        <v/>
      </c>
      <c r="F3941" s="25">
        <v>0</v>
      </c>
      <c r="G3941" s="28" t="str">
        <f>IF(LEFT(D3941,6)="CLIENT",IF(E3941=0,WORKDAY(A3941-1,1,Dias_Sem_Compensacao!$A$2:$A$500),WORKDAY(A3941,E3941,Dias_Sem_Compensacao!$A$2:$A$500)),"")</f>
        <v/>
      </c>
      <c r="H3941" s="25">
        <v>11174</v>
      </c>
      <c r="I3941" s="28">
        <v>46301</v>
      </c>
      <c r="J3941" t="s">
        <v>32</v>
      </c>
      <c r="K3941" t="s">
        <v>31</v>
      </c>
    </row>
    <row r="3942" spans="1:11" hidden="1">
      <c r="A3942" s="28">
        <v>46301</v>
      </c>
      <c r="B3942" t="s">
        <v>3523</v>
      </c>
      <c r="C3942" t="s">
        <v>151</v>
      </c>
      <c r="D3942" t="s">
        <v>3462</v>
      </c>
      <c r="E3942" t="str">
        <f>IF(LEFT(D3942,6)="CLIENT",IFERROR(VLOOKUP(C3942,Config_Carteiras!$A:$B,2,FALSE),1),"")</f>
        <v/>
      </c>
      <c r="F3942" s="25">
        <v>0</v>
      </c>
      <c r="G3942" s="28" t="str">
        <f>IF(LEFT(D3942,6)="CLIENT",IF(E3942=0,WORKDAY(A3942-1,1,Dias_Sem_Compensacao!$A$2:$A$500),WORKDAY(A3942,E3942,Dias_Sem_Compensacao!$A$2:$A$500)),"")</f>
        <v/>
      </c>
      <c r="H3942" s="25">
        <v>16000</v>
      </c>
      <c r="I3942" s="28">
        <v>46301</v>
      </c>
      <c r="J3942" t="s">
        <v>34</v>
      </c>
      <c r="K3942" t="s">
        <v>33</v>
      </c>
    </row>
    <row r="3943" spans="1:11" hidden="1">
      <c r="A3943" s="28">
        <v>46301</v>
      </c>
      <c r="B3943" t="s">
        <v>3523</v>
      </c>
      <c r="C3943" t="s">
        <v>151</v>
      </c>
      <c r="D3943" t="s">
        <v>3462</v>
      </c>
      <c r="E3943" t="str">
        <f>IF(LEFT(D3943,6)="CLIENT",IFERROR(VLOOKUP(C3943,Config_Carteiras!$A:$B,2,FALSE),1),"")</f>
        <v/>
      </c>
      <c r="F3943" s="25">
        <v>0</v>
      </c>
      <c r="G3943" s="28" t="str">
        <f>IF(LEFT(D3943,6)="CLIENT",IF(E3943=0,WORKDAY(A3943-1,1,Dias_Sem_Compensacao!$A$2:$A$500),WORKDAY(A3943,E3943,Dias_Sem_Compensacao!$A$2:$A$500)),"")</f>
        <v/>
      </c>
      <c r="H3943" s="25">
        <v>245.49</v>
      </c>
      <c r="I3943" s="28">
        <v>46301</v>
      </c>
      <c r="J3943" t="s">
        <v>42</v>
      </c>
      <c r="K3943" t="s">
        <v>3583</v>
      </c>
    </row>
    <row r="3944" spans="1:11" hidden="1">
      <c r="A3944" s="28">
        <v>46301</v>
      </c>
      <c r="B3944" t="s">
        <v>3523</v>
      </c>
      <c r="C3944" t="s">
        <v>151</v>
      </c>
      <c r="D3944" t="s">
        <v>3462</v>
      </c>
      <c r="E3944" t="str">
        <f>IF(LEFT(D3944,6)="CLIENT",IFERROR(VLOOKUP(C3944,Config_Carteiras!$A:$B,2,FALSE),1),"")</f>
        <v/>
      </c>
      <c r="F3944" s="25">
        <v>0</v>
      </c>
      <c r="G3944" s="28" t="str">
        <f>IF(LEFT(D3944,6)="CLIENT",IF(E3944=0,WORKDAY(A3944-1,1,Dias_Sem_Compensacao!$A$2:$A$500),WORKDAY(A3944,E3944,Dias_Sem_Compensacao!$A$2:$A$500)),"")</f>
        <v/>
      </c>
      <c r="H3944" s="25">
        <v>1133.08</v>
      </c>
      <c r="I3944" s="28">
        <v>46301</v>
      </c>
      <c r="J3944" t="s">
        <v>3584</v>
      </c>
      <c r="K3944" t="s">
        <v>3585</v>
      </c>
    </row>
    <row r="3945" spans="1:11" hidden="1">
      <c r="A3945" s="28">
        <v>46301</v>
      </c>
      <c r="B3945" t="s">
        <v>3523</v>
      </c>
      <c r="C3945" t="s">
        <v>151</v>
      </c>
      <c r="D3945" t="s">
        <v>3462</v>
      </c>
      <c r="E3945" t="str">
        <f>IF(LEFT(D3945,6)="CLIENT",IFERROR(VLOOKUP(C3945,Config_Carteiras!$A:$B,2,FALSE),1),"")</f>
        <v/>
      </c>
      <c r="F3945" s="25">
        <v>0</v>
      </c>
      <c r="G3945" s="28" t="str">
        <f>IF(LEFT(D3945,6)="CLIENT",IF(E3945=0,WORKDAY(A3945-1,1,Dias_Sem_Compensacao!$A$2:$A$500),WORKDAY(A3945,E3945,Dias_Sem_Compensacao!$A$2:$A$500)),"")</f>
        <v/>
      </c>
      <c r="H3945" s="25">
        <v>11524.07</v>
      </c>
      <c r="I3945" s="28">
        <v>46301</v>
      </c>
      <c r="J3945" t="s">
        <v>44</v>
      </c>
      <c r="K3945" t="s">
        <v>3586</v>
      </c>
    </row>
    <row r="3946" spans="1:11" hidden="1">
      <c r="A3946" s="28">
        <v>46302</v>
      </c>
      <c r="B3946" t="s">
        <v>3523</v>
      </c>
      <c r="C3946" t="s">
        <v>151</v>
      </c>
      <c r="D3946" t="s">
        <v>3462</v>
      </c>
      <c r="E3946" t="str">
        <f>IF(LEFT(D3946,6)="CLIENT",IFERROR(VLOOKUP(C3946,Config_Carteiras!$A:$B,2,FALSE),1),"")</f>
        <v/>
      </c>
      <c r="F3946" s="25">
        <v>0</v>
      </c>
      <c r="G3946" s="28" t="str">
        <f>IF(LEFT(D3946,6)="CLIENT",IF(E3946=0,WORKDAY(A3946-1,1,Dias_Sem_Compensacao!$A$2:$A$500),WORKDAY(A3946,E3946,Dias_Sem_Compensacao!$A$2:$A$500)),"")</f>
        <v/>
      </c>
      <c r="H3946" s="25">
        <v>1600</v>
      </c>
      <c r="I3946" s="28">
        <v>46302</v>
      </c>
      <c r="J3946" t="s">
        <v>3587</v>
      </c>
      <c r="K3946" t="s">
        <v>3588</v>
      </c>
    </row>
    <row r="3947" spans="1:11" hidden="1">
      <c r="A3947" s="28">
        <v>46302</v>
      </c>
      <c r="B3947" t="s">
        <v>3523</v>
      </c>
      <c r="C3947" t="s">
        <v>151</v>
      </c>
      <c r="D3947" t="s">
        <v>3462</v>
      </c>
      <c r="E3947" t="str">
        <f>IF(LEFT(D3947,6)="CLIENT",IFERROR(VLOOKUP(C3947,Config_Carteiras!$A:$B,2,FALSE),1),"")</f>
        <v/>
      </c>
      <c r="F3947" s="25">
        <v>0</v>
      </c>
      <c r="G3947" s="28" t="str">
        <f>IF(LEFT(D3947,6)="CLIENT",IF(E3947=0,WORKDAY(A3947-1,1,Dias_Sem_Compensacao!$A$2:$A$500),WORKDAY(A3947,E3947,Dias_Sem_Compensacao!$A$2:$A$500)),"")</f>
        <v/>
      </c>
      <c r="H3947" s="25">
        <v>839.25</v>
      </c>
      <c r="I3947" s="28">
        <v>46302</v>
      </c>
      <c r="J3947" t="s">
        <v>3589</v>
      </c>
      <c r="K3947" t="s">
        <v>3590</v>
      </c>
    </row>
    <row r="3948" spans="1:11" hidden="1">
      <c r="A3948" s="28">
        <v>46302</v>
      </c>
      <c r="B3948" t="s">
        <v>3523</v>
      </c>
      <c r="C3948" t="s">
        <v>151</v>
      </c>
      <c r="D3948" t="s">
        <v>3462</v>
      </c>
      <c r="E3948" t="str">
        <f>IF(LEFT(D3948,6)="CLIENT",IFERROR(VLOOKUP(C3948,Config_Carteiras!$A:$B,2,FALSE),1),"")</f>
        <v/>
      </c>
      <c r="F3948" s="25">
        <v>0</v>
      </c>
      <c r="G3948" s="28" t="str">
        <f>IF(LEFT(D3948,6)="CLIENT",IF(E3948=0,WORKDAY(A3948-1,1,Dias_Sem_Compensacao!$A$2:$A$500),WORKDAY(A3948,E3948,Dias_Sem_Compensacao!$A$2:$A$500)),"")</f>
        <v/>
      </c>
      <c r="H3948" s="25">
        <v>283.72000000000003</v>
      </c>
      <c r="I3948" s="28">
        <v>46302</v>
      </c>
      <c r="J3948" t="s">
        <v>42</v>
      </c>
      <c r="K3948" t="s">
        <v>3591</v>
      </c>
    </row>
    <row r="3949" spans="1:11" hidden="1">
      <c r="A3949" s="28">
        <v>46302</v>
      </c>
      <c r="B3949" t="s">
        <v>3523</v>
      </c>
      <c r="C3949" t="s">
        <v>151</v>
      </c>
      <c r="D3949" t="s">
        <v>3462</v>
      </c>
      <c r="E3949" t="str">
        <f>IF(LEFT(D3949,6)="CLIENT",IFERROR(VLOOKUP(C3949,Config_Carteiras!$A:$B,2,FALSE),1),"")</f>
        <v/>
      </c>
      <c r="F3949" s="25">
        <v>0</v>
      </c>
      <c r="G3949" s="28" t="str">
        <f>IF(LEFT(D3949,6)="CLIENT",IF(E3949=0,WORKDAY(A3949-1,1,Dias_Sem_Compensacao!$A$2:$A$500),WORKDAY(A3949,E3949,Dias_Sem_Compensacao!$A$2:$A$500)),"")</f>
        <v/>
      </c>
      <c r="H3949" s="25">
        <v>1077.8900000000001</v>
      </c>
      <c r="I3949" s="28">
        <v>46302</v>
      </c>
      <c r="J3949" t="s">
        <v>3592</v>
      </c>
      <c r="K3949" t="s">
        <v>3593</v>
      </c>
    </row>
    <row r="3950" spans="1:11" hidden="1">
      <c r="A3950" s="28">
        <v>46302</v>
      </c>
      <c r="B3950" t="s">
        <v>3523</v>
      </c>
      <c r="C3950" t="s">
        <v>151</v>
      </c>
      <c r="D3950" t="s">
        <v>3462</v>
      </c>
      <c r="E3950" t="str">
        <f>IF(LEFT(D3950,6)="CLIENT",IFERROR(VLOOKUP(C3950,Config_Carteiras!$A:$B,2,FALSE),1),"")</f>
        <v/>
      </c>
      <c r="F3950" s="25">
        <v>0</v>
      </c>
      <c r="G3950" s="28" t="str">
        <f>IF(LEFT(D3950,6)="CLIENT",IF(E3950=0,WORKDAY(A3950-1,1,Dias_Sem_Compensacao!$A$2:$A$500),WORKDAY(A3950,E3950,Dias_Sem_Compensacao!$A$2:$A$500)),"")</f>
        <v/>
      </c>
      <c r="H3950" s="25">
        <v>4637.38</v>
      </c>
      <c r="I3950" s="28">
        <v>46302</v>
      </c>
      <c r="J3950" t="s">
        <v>3594</v>
      </c>
      <c r="K3950" t="s">
        <v>3595</v>
      </c>
    </row>
    <row r="3951" spans="1:11" hidden="1">
      <c r="A3951" s="28">
        <v>46302</v>
      </c>
      <c r="B3951" t="s">
        <v>3523</v>
      </c>
      <c r="C3951" t="s">
        <v>151</v>
      </c>
      <c r="D3951" t="s">
        <v>3462</v>
      </c>
      <c r="E3951" t="str">
        <f>IF(LEFT(D3951,6)="CLIENT",IFERROR(VLOOKUP(C3951,Config_Carteiras!$A:$B,2,FALSE),1),"")</f>
        <v/>
      </c>
      <c r="F3951" s="25">
        <v>0</v>
      </c>
      <c r="G3951" s="28" t="str">
        <f>IF(LEFT(D3951,6)="CLIENT",IF(E3951=0,WORKDAY(A3951-1,1,Dias_Sem_Compensacao!$A$2:$A$500),WORKDAY(A3951,E3951,Dias_Sem_Compensacao!$A$2:$A$500)),"")</f>
        <v/>
      </c>
      <c r="H3951" s="25">
        <v>10864.48</v>
      </c>
      <c r="I3951" s="28">
        <v>46302</v>
      </c>
      <c r="J3951" t="s">
        <v>44</v>
      </c>
      <c r="K3951" t="s">
        <v>3596</v>
      </c>
    </row>
    <row r="3952" spans="1:11" hidden="1">
      <c r="A3952" s="28">
        <v>46303</v>
      </c>
      <c r="B3952" t="s">
        <v>3523</v>
      </c>
      <c r="C3952" t="s">
        <v>151</v>
      </c>
      <c r="D3952" t="s">
        <v>3462</v>
      </c>
      <c r="E3952" t="str">
        <f>IF(LEFT(D3952,6)="CLIENT",IFERROR(VLOOKUP(C3952,Config_Carteiras!$A:$B,2,FALSE),1),"")</f>
        <v/>
      </c>
      <c r="F3952" s="25">
        <v>0</v>
      </c>
      <c r="G3952" s="28" t="str">
        <f>IF(LEFT(D3952,6)="CLIENT",IF(E3952=0,WORKDAY(A3952-1,1,Dias_Sem_Compensacao!$A$2:$A$500),WORKDAY(A3952,E3952,Dias_Sem_Compensacao!$A$2:$A$500)),"")</f>
        <v/>
      </c>
      <c r="H3952" s="25">
        <v>1000</v>
      </c>
      <c r="I3952" s="28">
        <v>46303</v>
      </c>
      <c r="J3952" t="s">
        <v>123</v>
      </c>
      <c r="K3952" t="s">
        <v>3597</v>
      </c>
    </row>
    <row r="3953" spans="1:11" hidden="1">
      <c r="A3953" s="28">
        <v>46303</v>
      </c>
      <c r="B3953" t="s">
        <v>3523</v>
      </c>
      <c r="C3953" t="s">
        <v>151</v>
      </c>
      <c r="D3953" t="s">
        <v>3462</v>
      </c>
      <c r="E3953" t="str">
        <f>IF(LEFT(D3953,6)="CLIENT",IFERROR(VLOOKUP(C3953,Config_Carteiras!$A:$B,2,FALSE),1),"")</f>
        <v/>
      </c>
      <c r="F3953" s="25">
        <v>0</v>
      </c>
      <c r="G3953" s="28" t="str">
        <f>IF(LEFT(D3953,6)="CLIENT",IF(E3953=0,WORKDAY(A3953-1,1,Dias_Sem_Compensacao!$A$2:$A$500),WORKDAY(A3953,E3953,Dias_Sem_Compensacao!$A$2:$A$500)),"")</f>
        <v/>
      </c>
      <c r="H3953" s="25">
        <v>15</v>
      </c>
      <c r="I3953" s="28">
        <v>46303</v>
      </c>
      <c r="J3953" t="s">
        <v>3598</v>
      </c>
      <c r="K3953" t="s">
        <v>3599</v>
      </c>
    </row>
    <row r="3954" spans="1:11" hidden="1">
      <c r="A3954" s="28">
        <v>46303</v>
      </c>
      <c r="B3954" t="s">
        <v>3523</v>
      </c>
      <c r="C3954" t="s">
        <v>151</v>
      </c>
      <c r="D3954" t="s">
        <v>3462</v>
      </c>
      <c r="E3954" t="str">
        <f>IF(LEFT(D3954,6)="CLIENT",IFERROR(VLOOKUP(C3954,Config_Carteiras!$A:$B,2,FALSE),1),"")</f>
        <v/>
      </c>
      <c r="F3954" s="25">
        <v>0</v>
      </c>
      <c r="G3954" s="28" t="str">
        <f>IF(LEFT(D3954,6)="CLIENT",IF(E3954=0,WORKDAY(A3954-1,1,Dias_Sem_Compensacao!$A$2:$A$500),WORKDAY(A3954,E3954,Dias_Sem_Compensacao!$A$2:$A$500)),"")</f>
        <v/>
      </c>
      <c r="H3954" s="25">
        <v>2427.9699999999998</v>
      </c>
      <c r="I3954" s="28">
        <v>46303</v>
      </c>
      <c r="J3954" t="s">
        <v>3600</v>
      </c>
      <c r="K3954" t="s">
        <v>3601</v>
      </c>
    </row>
    <row r="3955" spans="1:11" hidden="1">
      <c r="A3955" s="28">
        <v>46303</v>
      </c>
      <c r="B3955" t="s">
        <v>3523</v>
      </c>
      <c r="C3955" t="s">
        <v>151</v>
      </c>
      <c r="D3955" t="s">
        <v>3462</v>
      </c>
      <c r="E3955" t="str">
        <f>IF(LEFT(D3955,6)="CLIENT",IFERROR(VLOOKUP(C3955,Config_Carteiras!$A:$B,2,FALSE),1),"")</f>
        <v/>
      </c>
      <c r="F3955" s="25">
        <v>0</v>
      </c>
      <c r="G3955" s="28" t="str">
        <f>IF(LEFT(D3955,6)="CLIENT",IF(E3955=0,WORKDAY(A3955-1,1,Dias_Sem_Compensacao!$A$2:$A$500),WORKDAY(A3955,E3955,Dias_Sem_Compensacao!$A$2:$A$500)),"")</f>
        <v/>
      </c>
      <c r="H3955" s="25">
        <v>1410</v>
      </c>
      <c r="I3955" s="28">
        <v>46303</v>
      </c>
      <c r="J3955" t="s">
        <v>3602</v>
      </c>
      <c r="K3955" t="s">
        <v>3603</v>
      </c>
    </row>
    <row r="3956" spans="1:11" hidden="1">
      <c r="A3956" s="28">
        <v>46303</v>
      </c>
      <c r="B3956" t="s">
        <v>3523</v>
      </c>
      <c r="C3956" t="s">
        <v>151</v>
      </c>
      <c r="D3956" t="s">
        <v>3462</v>
      </c>
      <c r="E3956" t="str">
        <f>IF(LEFT(D3956,6)="CLIENT",IFERROR(VLOOKUP(C3956,Config_Carteiras!$A:$B,2,FALSE),1),"")</f>
        <v/>
      </c>
      <c r="F3956" s="25">
        <v>0</v>
      </c>
      <c r="G3956" s="28" t="str">
        <f>IF(LEFT(D3956,6)="CLIENT",IF(E3956=0,WORKDAY(A3956-1,1,Dias_Sem_Compensacao!$A$2:$A$500),WORKDAY(A3956,E3956,Dias_Sem_Compensacao!$A$2:$A$500)),"")</f>
        <v/>
      </c>
      <c r="H3956" s="25">
        <v>16905.88</v>
      </c>
      <c r="I3956" s="28">
        <v>46303</v>
      </c>
      <c r="J3956" t="s">
        <v>76</v>
      </c>
      <c r="K3956" t="s">
        <v>3604</v>
      </c>
    </row>
    <row r="3957" spans="1:11" hidden="1">
      <c r="A3957" s="28">
        <v>46303</v>
      </c>
      <c r="B3957" t="s">
        <v>3523</v>
      </c>
      <c r="C3957" t="s">
        <v>151</v>
      </c>
      <c r="D3957" t="s">
        <v>3462</v>
      </c>
      <c r="E3957" t="str">
        <f>IF(LEFT(D3957,6)="CLIENT",IFERROR(VLOOKUP(C3957,Config_Carteiras!$A:$B,2,FALSE),1),"")</f>
        <v/>
      </c>
      <c r="F3957" s="25">
        <v>0</v>
      </c>
      <c r="G3957" s="28" t="str">
        <f>IF(LEFT(D3957,6)="CLIENT",IF(E3957=0,WORKDAY(A3957-1,1,Dias_Sem_Compensacao!$A$2:$A$500),WORKDAY(A3957,E3957,Dias_Sem_Compensacao!$A$2:$A$500)),"")</f>
        <v/>
      </c>
      <c r="H3957" s="25">
        <v>125.2</v>
      </c>
      <c r="I3957" s="28">
        <v>46303</v>
      </c>
      <c r="J3957" t="s">
        <v>740</v>
      </c>
      <c r="K3957" t="s">
        <v>3605</v>
      </c>
    </row>
    <row r="3958" spans="1:11" hidden="1">
      <c r="A3958" s="28">
        <v>46303</v>
      </c>
      <c r="B3958" t="s">
        <v>3523</v>
      </c>
      <c r="C3958" t="s">
        <v>151</v>
      </c>
      <c r="D3958" t="s">
        <v>3462</v>
      </c>
      <c r="E3958" t="str">
        <f>IF(LEFT(D3958,6)="CLIENT",IFERROR(VLOOKUP(C3958,Config_Carteiras!$A:$B,2,FALSE),1),"")</f>
        <v/>
      </c>
      <c r="F3958" s="25">
        <v>0</v>
      </c>
      <c r="G3958" s="28" t="str">
        <f>IF(LEFT(D3958,6)="CLIENT",IF(E3958=0,WORKDAY(A3958-1,1,Dias_Sem_Compensacao!$A$2:$A$500),WORKDAY(A3958,E3958,Dias_Sem_Compensacao!$A$2:$A$500)),"")</f>
        <v/>
      </c>
      <c r="H3958" s="25">
        <v>224.2</v>
      </c>
      <c r="I3958" s="28">
        <v>46303</v>
      </c>
      <c r="K3958" t="s">
        <v>3606</v>
      </c>
    </row>
    <row r="3959" spans="1:11" hidden="1">
      <c r="A3959" s="28">
        <v>46303</v>
      </c>
      <c r="B3959" t="s">
        <v>3523</v>
      </c>
      <c r="C3959" t="s">
        <v>151</v>
      </c>
      <c r="D3959" t="s">
        <v>3462</v>
      </c>
      <c r="E3959" t="str">
        <f>IF(LEFT(D3959,6)="CLIENT",IFERROR(VLOOKUP(C3959,Config_Carteiras!$A:$B,2,FALSE),1),"")</f>
        <v/>
      </c>
      <c r="F3959" s="25">
        <v>0</v>
      </c>
      <c r="G3959" s="28" t="str">
        <f>IF(LEFT(D3959,6)="CLIENT",IF(E3959=0,WORKDAY(A3959-1,1,Dias_Sem_Compensacao!$A$2:$A$500),WORKDAY(A3959,E3959,Dias_Sem_Compensacao!$A$2:$A$500)),"")</f>
        <v/>
      </c>
      <c r="H3959" s="25">
        <v>37862.720000000001</v>
      </c>
      <c r="I3959" s="28">
        <v>46303</v>
      </c>
      <c r="J3959" t="s">
        <v>3607</v>
      </c>
      <c r="K3959" t="s">
        <v>3608</v>
      </c>
    </row>
    <row r="3960" spans="1:11" hidden="1">
      <c r="A3960" s="28">
        <v>46303</v>
      </c>
      <c r="B3960" t="s">
        <v>3523</v>
      </c>
      <c r="C3960" t="s">
        <v>151</v>
      </c>
      <c r="D3960" t="s">
        <v>3462</v>
      </c>
      <c r="E3960" t="str">
        <f>IF(LEFT(D3960,6)="CLIENT",IFERROR(VLOOKUP(C3960,Config_Carteiras!$A:$B,2,FALSE),1),"")</f>
        <v/>
      </c>
      <c r="F3960" s="25">
        <v>0</v>
      </c>
      <c r="G3960" s="28" t="str">
        <f>IF(LEFT(D3960,6)="CLIENT",IF(E3960=0,WORKDAY(A3960-1,1,Dias_Sem_Compensacao!$A$2:$A$500),WORKDAY(A3960,E3960,Dias_Sem_Compensacao!$A$2:$A$500)),"")</f>
        <v/>
      </c>
      <c r="H3960" s="25">
        <v>2175</v>
      </c>
      <c r="I3960" s="28">
        <v>46303</v>
      </c>
      <c r="J3960" t="s">
        <v>3609</v>
      </c>
      <c r="K3960" t="s">
        <v>3610</v>
      </c>
    </row>
    <row r="3961" spans="1:11" hidden="1">
      <c r="A3961" s="28">
        <v>46303</v>
      </c>
      <c r="B3961" t="s">
        <v>3523</v>
      </c>
      <c r="C3961" t="s">
        <v>151</v>
      </c>
      <c r="D3961" t="s">
        <v>3462</v>
      </c>
      <c r="E3961" t="str">
        <f>IF(LEFT(D3961,6)="CLIENT",IFERROR(VLOOKUP(C3961,Config_Carteiras!$A:$B,2,FALSE),1),"")</f>
        <v/>
      </c>
      <c r="F3961" s="25">
        <v>0</v>
      </c>
      <c r="G3961" s="28" t="str">
        <f>IF(LEFT(D3961,6)="CLIENT",IF(E3961=0,WORKDAY(A3961-1,1,Dias_Sem_Compensacao!$A$2:$A$500),WORKDAY(A3961,E3961,Dias_Sem_Compensacao!$A$2:$A$500)),"")</f>
        <v/>
      </c>
      <c r="H3961" s="25">
        <v>233.87</v>
      </c>
      <c r="I3961" s="28">
        <v>46303</v>
      </c>
      <c r="J3961" t="s">
        <v>42</v>
      </c>
      <c r="K3961" t="s">
        <v>3611</v>
      </c>
    </row>
    <row r="3962" spans="1:11" hidden="1">
      <c r="A3962" s="28">
        <v>46303</v>
      </c>
      <c r="B3962" t="s">
        <v>3523</v>
      </c>
      <c r="C3962" t="s">
        <v>151</v>
      </c>
      <c r="D3962" t="s">
        <v>3462</v>
      </c>
      <c r="E3962" t="str">
        <f>IF(LEFT(D3962,6)="CLIENT",IFERROR(VLOOKUP(C3962,Config_Carteiras!$A:$B,2,FALSE),1),"")</f>
        <v/>
      </c>
      <c r="F3962" s="25">
        <v>0</v>
      </c>
      <c r="G3962" s="28" t="str">
        <f>IF(LEFT(D3962,6)="CLIENT",IF(E3962=0,WORKDAY(A3962-1,1,Dias_Sem_Compensacao!$A$2:$A$500),WORKDAY(A3962,E3962,Dias_Sem_Compensacao!$A$2:$A$500)),"")</f>
        <v/>
      </c>
      <c r="H3962" s="25">
        <v>7832.26</v>
      </c>
      <c r="I3962" s="28">
        <v>46303</v>
      </c>
      <c r="J3962" t="s">
        <v>106</v>
      </c>
      <c r="K3962" t="s">
        <v>3612</v>
      </c>
    </row>
    <row r="3963" spans="1:11" hidden="1">
      <c r="A3963" s="28">
        <v>46303</v>
      </c>
      <c r="B3963" t="s">
        <v>3523</v>
      </c>
      <c r="C3963" t="s">
        <v>151</v>
      </c>
      <c r="D3963" t="s">
        <v>3462</v>
      </c>
      <c r="E3963" t="str">
        <f>IF(LEFT(D3963,6)="CLIENT",IFERROR(VLOOKUP(C3963,Config_Carteiras!$A:$B,2,FALSE),1),"")</f>
        <v/>
      </c>
      <c r="F3963" s="25">
        <v>0</v>
      </c>
      <c r="G3963" s="28" t="str">
        <f>IF(LEFT(D3963,6)="CLIENT",IF(E3963=0,WORKDAY(A3963-1,1,Dias_Sem_Compensacao!$A$2:$A$500),WORKDAY(A3963,E3963,Dias_Sem_Compensacao!$A$2:$A$500)),"")</f>
        <v/>
      </c>
      <c r="H3963" s="25">
        <v>90</v>
      </c>
      <c r="I3963" s="28">
        <v>46303</v>
      </c>
      <c r="J3963" t="s">
        <v>48</v>
      </c>
      <c r="K3963" t="s">
        <v>3613</v>
      </c>
    </row>
    <row r="3964" spans="1:11" hidden="1">
      <c r="A3964" s="28">
        <v>46304</v>
      </c>
      <c r="B3964" t="s">
        <v>3523</v>
      </c>
      <c r="C3964" t="s">
        <v>151</v>
      </c>
      <c r="D3964" t="s">
        <v>3462</v>
      </c>
      <c r="E3964" t="str">
        <f>IF(LEFT(D3964,6)="CLIENT",IFERROR(VLOOKUP(C3964,Config_Carteiras!$A:$B,2,FALSE),1),"")</f>
        <v/>
      </c>
      <c r="F3964" s="25">
        <v>0</v>
      </c>
      <c r="G3964" s="28" t="str">
        <f>IF(LEFT(D3964,6)="CLIENT",IF(E3964=0,WORKDAY(A3964-1,1,Dias_Sem_Compensacao!$A$2:$A$500),WORKDAY(A3964,E3964,Dias_Sem_Compensacao!$A$2:$A$500)),"")</f>
        <v/>
      </c>
      <c r="H3964" s="25">
        <v>536.16</v>
      </c>
      <c r="I3964" s="28">
        <v>46304</v>
      </c>
      <c r="J3964" t="s">
        <v>3549</v>
      </c>
      <c r="K3964" t="s">
        <v>3614</v>
      </c>
    </row>
    <row r="3965" spans="1:11" hidden="1">
      <c r="A3965" s="28">
        <v>46304</v>
      </c>
      <c r="B3965" t="s">
        <v>3523</v>
      </c>
      <c r="C3965" t="s">
        <v>151</v>
      </c>
      <c r="D3965" t="s">
        <v>3462</v>
      </c>
      <c r="E3965" t="str">
        <f>IF(LEFT(D3965,6)="CLIENT",IFERROR(VLOOKUP(C3965,Config_Carteiras!$A:$B,2,FALSE),1),"")</f>
        <v/>
      </c>
      <c r="F3965" s="25">
        <v>0</v>
      </c>
      <c r="G3965" s="28" t="str">
        <f>IF(LEFT(D3965,6)="CLIENT",IF(E3965=0,WORKDAY(A3965-1,1,Dias_Sem_Compensacao!$A$2:$A$500),WORKDAY(A3965,E3965,Dias_Sem_Compensacao!$A$2:$A$500)),"")</f>
        <v/>
      </c>
      <c r="H3965" s="25">
        <v>4595</v>
      </c>
      <c r="I3965" s="28">
        <v>46304</v>
      </c>
      <c r="J3965" t="s">
        <v>3615</v>
      </c>
      <c r="K3965" t="s">
        <v>3616</v>
      </c>
    </row>
    <row r="3966" spans="1:11" hidden="1">
      <c r="A3966" s="28">
        <v>46304</v>
      </c>
      <c r="B3966" t="s">
        <v>3523</v>
      </c>
      <c r="C3966" t="s">
        <v>151</v>
      </c>
      <c r="D3966" t="s">
        <v>3462</v>
      </c>
      <c r="E3966" t="str">
        <f>IF(LEFT(D3966,6)="CLIENT",IFERROR(VLOOKUP(C3966,Config_Carteiras!$A:$B,2,FALSE),1),"")</f>
        <v/>
      </c>
      <c r="F3966" s="25">
        <v>0</v>
      </c>
      <c r="G3966" s="28" t="str">
        <f>IF(LEFT(D3966,6)="CLIENT",IF(E3966=0,WORKDAY(A3966-1,1,Dias_Sem_Compensacao!$A$2:$A$500),WORKDAY(A3966,E3966,Dias_Sem_Compensacao!$A$2:$A$500)),"")</f>
        <v/>
      </c>
      <c r="H3966" s="25">
        <v>33214.15</v>
      </c>
      <c r="I3966" s="28">
        <v>46304</v>
      </c>
      <c r="J3966" t="s">
        <v>150</v>
      </c>
      <c r="K3966" t="s">
        <v>3617</v>
      </c>
    </row>
    <row r="3967" spans="1:11" hidden="1">
      <c r="A3967" s="28">
        <v>46304</v>
      </c>
      <c r="B3967" t="s">
        <v>3523</v>
      </c>
      <c r="C3967" t="s">
        <v>151</v>
      </c>
      <c r="D3967" t="s">
        <v>3462</v>
      </c>
      <c r="E3967" t="str">
        <f>IF(LEFT(D3967,6)="CLIENT",IFERROR(VLOOKUP(C3967,Config_Carteiras!$A:$B,2,FALSE),1),"")</f>
        <v/>
      </c>
      <c r="F3967" s="25">
        <v>0</v>
      </c>
      <c r="G3967" s="28" t="str">
        <f>IF(LEFT(D3967,6)="CLIENT",IF(E3967=0,WORKDAY(A3967-1,1,Dias_Sem_Compensacao!$A$2:$A$500),WORKDAY(A3967,E3967,Dias_Sem_Compensacao!$A$2:$A$500)),"")</f>
        <v/>
      </c>
      <c r="H3967" s="25">
        <v>514.5</v>
      </c>
      <c r="I3967" s="28">
        <v>46304</v>
      </c>
      <c r="J3967" t="s">
        <v>74</v>
      </c>
      <c r="K3967" t="s">
        <v>3618</v>
      </c>
    </row>
    <row r="3968" spans="1:11" hidden="1">
      <c r="A3968" s="28">
        <v>46304</v>
      </c>
      <c r="B3968" t="s">
        <v>3523</v>
      </c>
      <c r="C3968" t="s">
        <v>151</v>
      </c>
      <c r="D3968" t="s">
        <v>3462</v>
      </c>
      <c r="E3968" t="str">
        <f>IF(LEFT(D3968,6)="CLIENT",IFERROR(VLOOKUP(C3968,Config_Carteiras!$A:$B,2,FALSE),1),"")</f>
        <v/>
      </c>
      <c r="F3968" s="25">
        <v>0</v>
      </c>
      <c r="G3968" s="28" t="str">
        <f>IF(LEFT(D3968,6)="CLIENT",IF(E3968=0,WORKDAY(A3968-1,1,Dias_Sem_Compensacao!$A$2:$A$500),WORKDAY(A3968,E3968,Dias_Sem_Compensacao!$A$2:$A$500)),"")</f>
        <v/>
      </c>
      <c r="H3968" s="25">
        <v>1860</v>
      </c>
      <c r="I3968" s="28">
        <v>46304</v>
      </c>
      <c r="J3968" t="s">
        <v>3619</v>
      </c>
      <c r="K3968" t="s">
        <v>118</v>
      </c>
    </row>
    <row r="3969" spans="1:11" hidden="1">
      <c r="A3969" s="28">
        <v>46304</v>
      </c>
      <c r="B3969" t="s">
        <v>3523</v>
      </c>
      <c r="C3969" t="s">
        <v>151</v>
      </c>
      <c r="D3969" t="s">
        <v>3462</v>
      </c>
      <c r="E3969" t="str">
        <f>IF(LEFT(D3969,6)="CLIENT",IFERROR(VLOOKUP(C3969,Config_Carteiras!$A:$B,2,FALSE),1),"")</f>
        <v/>
      </c>
      <c r="F3969" s="25">
        <v>0</v>
      </c>
      <c r="G3969" s="28" t="str">
        <f>IF(LEFT(D3969,6)="CLIENT",IF(E3969=0,WORKDAY(A3969-1,1,Dias_Sem_Compensacao!$A$2:$A$500),WORKDAY(A3969,E3969,Dias_Sem_Compensacao!$A$2:$A$500)),"")</f>
        <v/>
      </c>
      <c r="H3969" s="25">
        <v>111.6</v>
      </c>
      <c r="I3969" s="28">
        <v>46304</v>
      </c>
      <c r="J3969" t="s">
        <v>607</v>
      </c>
      <c r="K3969" t="s">
        <v>3620</v>
      </c>
    </row>
    <row r="3970" spans="1:11" hidden="1">
      <c r="A3970" s="28">
        <v>46304</v>
      </c>
      <c r="B3970" t="s">
        <v>3523</v>
      </c>
      <c r="C3970" t="s">
        <v>151</v>
      </c>
      <c r="D3970" t="s">
        <v>3462</v>
      </c>
      <c r="E3970" t="str">
        <f>IF(LEFT(D3970,6)="CLIENT",IFERROR(VLOOKUP(C3970,Config_Carteiras!$A:$B,2,FALSE),1),"")</f>
        <v/>
      </c>
      <c r="F3970" s="25">
        <v>0</v>
      </c>
      <c r="G3970" s="28" t="str">
        <f>IF(LEFT(D3970,6)="CLIENT",IF(E3970=0,WORKDAY(A3970-1,1,Dias_Sem_Compensacao!$A$2:$A$500),WORKDAY(A3970,E3970,Dias_Sem_Compensacao!$A$2:$A$500)),"")</f>
        <v/>
      </c>
      <c r="H3970" s="25">
        <v>10978.91</v>
      </c>
      <c r="I3970" s="28">
        <v>46304</v>
      </c>
      <c r="J3970" t="s">
        <v>3621</v>
      </c>
      <c r="K3970" t="s">
        <v>3622</v>
      </c>
    </row>
    <row r="3971" spans="1:11" hidden="1">
      <c r="A3971" s="28">
        <v>46304</v>
      </c>
      <c r="B3971" t="s">
        <v>3523</v>
      </c>
      <c r="C3971" t="s">
        <v>151</v>
      </c>
      <c r="D3971" t="s">
        <v>3462</v>
      </c>
      <c r="E3971" t="str">
        <f>IF(LEFT(D3971,6)="CLIENT",IFERROR(VLOOKUP(C3971,Config_Carteiras!$A:$B,2,FALSE),1),"")</f>
        <v/>
      </c>
      <c r="F3971" s="25">
        <v>0</v>
      </c>
      <c r="G3971" s="28" t="str">
        <f>IF(LEFT(D3971,6)="CLIENT",IF(E3971=0,WORKDAY(A3971-1,1,Dias_Sem_Compensacao!$A$2:$A$500),WORKDAY(A3971,E3971,Dias_Sem_Compensacao!$A$2:$A$500)),"")</f>
        <v/>
      </c>
      <c r="H3971" s="25">
        <v>282.69</v>
      </c>
      <c r="I3971" s="28">
        <v>46304</v>
      </c>
      <c r="J3971" t="s">
        <v>3623</v>
      </c>
      <c r="K3971" t="s">
        <v>3624</v>
      </c>
    </row>
    <row r="3972" spans="1:11" hidden="1">
      <c r="A3972" s="28">
        <v>46304</v>
      </c>
      <c r="B3972" t="s">
        <v>3523</v>
      </c>
      <c r="C3972" t="s">
        <v>151</v>
      </c>
      <c r="D3972" t="s">
        <v>3462</v>
      </c>
      <c r="E3972" t="str">
        <f>IF(LEFT(D3972,6)="CLIENT",IFERROR(VLOOKUP(C3972,Config_Carteiras!$A:$B,2,FALSE),1),"")</f>
        <v/>
      </c>
      <c r="F3972" s="25">
        <v>0</v>
      </c>
      <c r="G3972" s="28" t="str">
        <f>IF(LEFT(D3972,6)="CLIENT",IF(E3972=0,WORKDAY(A3972-1,1,Dias_Sem_Compensacao!$A$2:$A$500),WORKDAY(A3972,E3972,Dias_Sem_Compensacao!$A$2:$A$500)),"")</f>
        <v/>
      </c>
      <c r="H3972" s="25">
        <v>4331.9399999999996</v>
      </c>
      <c r="I3972" s="28">
        <v>46304</v>
      </c>
      <c r="J3972" t="s">
        <v>106</v>
      </c>
      <c r="K3972" t="s">
        <v>3625</v>
      </c>
    </row>
    <row r="3973" spans="1:11" hidden="1">
      <c r="A3973" s="28">
        <v>46304</v>
      </c>
      <c r="B3973" t="s">
        <v>3523</v>
      </c>
      <c r="C3973" t="s">
        <v>151</v>
      </c>
      <c r="D3973" t="s">
        <v>3462</v>
      </c>
      <c r="E3973" t="str">
        <f>IF(LEFT(D3973,6)="CLIENT",IFERROR(VLOOKUP(C3973,Config_Carteiras!$A:$B,2,FALSE),1),"")</f>
        <v/>
      </c>
      <c r="F3973" s="25">
        <v>0</v>
      </c>
      <c r="G3973" s="28" t="str">
        <f>IF(LEFT(D3973,6)="CLIENT",IF(E3973=0,WORKDAY(A3973-1,1,Dias_Sem_Compensacao!$A$2:$A$500),WORKDAY(A3973,E3973,Dias_Sem_Compensacao!$A$2:$A$500)),"")</f>
        <v/>
      </c>
      <c r="H3973" s="25">
        <v>222</v>
      </c>
      <c r="I3973" s="28">
        <v>46304</v>
      </c>
      <c r="J3973" t="s">
        <v>3626</v>
      </c>
      <c r="K3973" t="s">
        <v>3627</v>
      </c>
    </row>
    <row r="3974" spans="1:11" hidden="1">
      <c r="A3974" s="28">
        <v>46304</v>
      </c>
      <c r="B3974" t="s">
        <v>3523</v>
      </c>
      <c r="C3974" t="s">
        <v>151</v>
      </c>
      <c r="D3974" t="s">
        <v>3462</v>
      </c>
      <c r="E3974" t="str">
        <f>IF(LEFT(D3974,6)="CLIENT",IFERROR(VLOOKUP(C3974,Config_Carteiras!$A:$B,2,FALSE),1),"")</f>
        <v/>
      </c>
      <c r="F3974" s="25">
        <v>0</v>
      </c>
      <c r="G3974" s="28" t="str">
        <f>IF(LEFT(D3974,6)="CLIENT",IF(E3974=0,WORKDAY(A3974-1,1,Dias_Sem_Compensacao!$A$2:$A$500),WORKDAY(A3974,E3974,Dias_Sem_Compensacao!$A$2:$A$500)),"")</f>
        <v/>
      </c>
      <c r="H3974" s="25">
        <v>4000</v>
      </c>
      <c r="I3974" s="28">
        <v>46304</v>
      </c>
      <c r="J3974" t="s">
        <v>173</v>
      </c>
      <c r="K3974" t="s">
        <v>172</v>
      </c>
    </row>
    <row r="3975" spans="1:11" hidden="1">
      <c r="A3975" s="28">
        <v>46304</v>
      </c>
      <c r="B3975" t="s">
        <v>3523</v>
      </c>
      <c r="C3975" t="s">
        <v>151</v>
      </c>
      <c r="D3975" t="s">
        <v>3462</v>
      </c>
      <c r="E3975" t="str">
        <f>IF(LEFT(D3975,6)="CLIENT",IFERROR(VLOOKUP(C3975,Config_Carteiras!$A:$B,2,FALSE),1),"")</f>
        <v/>
      </c>
      <c r="F3975" s="25">
        <v>0</v>
      </c>
      <c r="G3975" s="28" t="str">
        <f>IF(LEFT(D3975,6)="CLIENT",IF(E3975=0,WORKDAY(A3975-1,1,Dias_Sem_Compensacao!$A$2:$A$500),WORKDAY(A3975,E3975,Dias_Sem_Compensacao!$A$2:$A$500)),"")</f>
        <v/>
      </c>
      <c r="H3975" s="25">
        <v>531.5</v>
      </c>
      <c r="I3975" s="28">
        <v>46304</v>
      </c>
      <c r="J3975" t="s">
        <v>3628</v>
      </c>
      <c r="K3975" t="s">
        <v>3629</v>
      </c>
    </row>
    <row r="3976" spans="1:11" hidden="1">
      <c r="A3976" s="28">
        <v>46305</v>
      </c>
      <c r="B3976" t="s">
        <v>3523</v>
      </c>
      <c r="C3976" t="s">
        <v>151</v>
      </c>
      <c r="D3976" t="s">
        <v>3462</v>
      </c>
      <c r="E3976" t="str">
        <f>IF(LEFT(D3976,6)="CLIENT",IFERROR(VLOOKUP(C3976,Config_Carteiras!$A:$B,2,FALSE),1),"")</f>
        <v/>
      </c>
      <c r="F3976" s="25">
        <v>0</v>
      </c>
      <c r="G3976" s="28" t="str">
        <f>IF(LEFT(D3976,6)="CLIENT",IF(E3976=0,WORKDAY(A3976-1,1,Dias_Sem_Compensacao!$A$2:$A$500),WORKDAY(A3976,E3976,Dias_Sem_Compensacao!$A$2:$A$500)),"")</f>
        <v/>
      </c>
      <c r="H3976" s="25">
        <v>671.8</v>
      </c>
      <c r="I3976" s="28">
        <v>46305</v>
      </c>
      <c r="J3976" t="s">
        <v>3630</v>
      </c>
      <c r="K3976" t="s">
        <v>3631</v>
      </c>
    </row>
    <row r="3977" spans="1:11" hidden="1">
      <c r="A3977" s="28">
        <v>46305</v>
      </c>
      <c r="B3977" t="s">
        <v>3523</v>
      </c>
      <c r="C3977" t="s">
        <v>151</v>
      </c>
      <c r="D3977" t="s">
        <v>3462</v>
      </c>
      <c r="E3977" t="str">
        <f>IF(LEFT(D3977,6)="CLIENT",IFERROR(VLOOKUP(C3977,Config_Carteiras!$A:$B,2,FALSE),1),"")</f>
        <v/>
      </c>
      <c r="F3977" s="25">
        <v>0</v>
      </c>
      <c r="G3977" s="28" t="str">
        <f>IF(LEFT(D3977,6)="CLIENT",IF(E3977=0,WORKDAY(A3977-1,1,Dias_Sem_Compensacao!$A$2:$A$500),WORKDAY(A3977,E3977,Dias_Sem_Compensacao!$A$2:$A$500)),"")</f>
        <v/>
      </c>
      <c r="H3977" s="25">
        <v>9545.4500000000007</v>
      </c>
      <c r="I3977" s="28">
        <v>46305</v>
      </c>
      <c r="J3977" t="s">
        <v>3632</v>
      </c>
      <c r="K3977" t="s">
        <v>3633</v>
      </c>
    </row>
    <row r="3978" spans="1:11" hidden="1">
      <c r="A3978" s="28">
        <v>46305</v>
      </c>
      <c r="B3978" t="s">
        <v>3523</v>
      </c>
      <c r="C3978" t="s">
        <v>151</v>
      </c>
      <c r="D3978" t="s">
        <v>3462</v>
      </c>
      <c r="E3978" t="str">
        <f>IF(LEFT(D3978,6)="CLIENT",IFERROR(VLOOKUP(C3978,Config_Carteiras!$A:$B,2,FALSE),1),"")</f>
        <v/>
      </c>
      <c r="F3978" s="25">
        <v>0</v>
      </c>
      <c r="G3978" s="28" t="str">
        <f>IF(LEFT(D3978,6)="CLIENT",IF(E3978=0,WORKDAY(A3978-1,1,Dias_Sem_Compensacao!$A$2:$A$500),WORKDAY(A3978,E3978,Dias_Sem_Compensacao!$A$2:$A$500)),"")</f>
        <v/>
      </c>
      <c r="H3978" s="25">
        <v>1000</v>
      </c>
      <c r="I3978" s="28">
        <v>46305</v>
      </c>
      <c r="J3978" t="s">
        <v>3634</v>
      </c>
      <c r="K3978" t="s">
        <v>3635</v>
      </c>
    </row>
    <row r="3979" spans="1:11" hidden="1">
      <c r="A3979" s="28">
        <v>46305</v>
      </c>
      <c r="B3979" t="s">
        <v>3523</v>
      </c>
      <c r="C3979" t="s">
        <v>151</v>
      </c>
      <c r="D3979" t="s">
        <v>3462</v>
      </c>
      <c r="E3979" t="str">
        <f>IF(LEFT(D3979,6)="CLIENT",IFERROR(VLOOKUP(C3979,Config_Carteiras!$A:$B,2,FALSE),1),"")</f>
        <v/>
      </c>
      <c r="F3979" s="25">
        <v>0</v>
      </c>
      <c r="G3979" s="28" t="str">
        <f>IF(LEFT(D3979,6)="CLIENT",IF(E3979=0,WORKDAY(A3979-1,1,Dias_Sem_Compensacao!$A$2:$A$500),WORKDAY(A3979,E3979,Dias_Sem_Compensacao!$A$2:$A$500)),"")</f>
        <v/>
      </c>
      <c r="H3979" s="25">
        <v>422.4</v>
      </c>
      <c r="I3979" s="28">
        <v>46305</v>
      </c>
      <c r="J3979" t="s">
        <v>96</v>
      </c>
      <c r="K3979" t="s">
        <v>3636</v>
      </c>
    </row>
    <row r="3980" spans="1:11" hidden="1">
      <c r="A3980" s="28">
        <v>46305</v>
      </c>
      <c r="B3980" t="s">
        <v>3523</v>
      </c>
      <c r="C3980" t="s">
        <v>151</v>
      </c>
      <c r="D3980" t="s">
        <v>3462</v>
      </c>
      <c r="E3980" t="str">
        <f>IF(LEFT(D3980,6)="CLIENT",IFERROR(VLOOKUP(C3980,Config_Carteiras!$A:$B,2,FALSE),1),"")</f>
        <v/>
      </c>
      <c r="F3980" s="25">
        <v>0</v>
      </c>
      <c r="G3980" s="28" t="str">
        <f>IF(LEFT(D3980,6)="CLIENT",IF(E3980=0,WORKDAY(A3980-1,1,Dias_Sem_Compensacao!$A$2:$A$500),WORKDAY(A3980,E3980,Dias_Sem_Compensacao!$A$2:$A$500)),"")</f>
        <v/>
      </c>
      <c r="H3980" s="25">
        <v>422.4</v>
      </c>
      <c r="I3980" s="28">
        <v>46305</v>
      </c>
      <c r="K3980" t="s">
        <v>3637</v>
      </c>
    </row>
    <row r="3981" spans="1:11" hidden="1">
      <c r="A3981" s="28">
        <v>46305</v>
      </c>
      <c r="B3981" t="s">
        <v>3523</v>
      </c>
      <c r="C3981" t="s">
        <v>151</v>
      </c>
      <c r="D3981" t="s">
        <v>3462</v>
      </c>
      <c r="E3981" t="str">
        <f>IF(LEFT(D3981,6)="CLIENT",IFERROR(VLOOKUP(C3981,Config_Carteiras!$A:$B,2,FALSE),1),"")</f>
        <v/>
      </c>
      <c r="F3981" s="25">
        <v>0</v>
      </c>
      <c r="G3981" s="28" t="str">
        <f>IF(LEFT(D3981,6)="CLIENT",IF(E3981=0,WORKDAY(A3981-1,1,Dias_Sem_Compensacao!$A$2:$A$500),WORKDAY(A3981,E3981,Dias_Sem_Compensacao!$A$2:$A$500)),"")</f>
        <v/>
      </c>
      <c r="H3981" s="25">
        <v>460</v>
      </c>
      <c r="I3981" s="28">
        <v>46305</v>
      </c>
      <c r="J3981" t="s">
        <v>3638</v>
      </c>
      <c r="K3981" t="s">
        <v>3639</v>
      </c>
    </row>
    <row r="3982" spans="1:11" hidden="1">
      <c r="A3982" s="28">
        <v>46305</v>
      </c>
      <c r="B3982" t="s">
        <v>3523</v>
      </c>
      <c r="C3982" t="s">
        <v>151</v>
      </c>
      <c r="D3982" t="s">
        <v>3462</v>
      </c>
      <c r="E3982" t="str">
        <f>IF(LEFT(D3982,6)="CLIENT",IFERROR(VLOOKUP(C3982,Config_Carteiras!$A:$B,2,FALSE),1),"")</f>
        <v/>
      </c>
      <c r="F3982" s="25">
        <v>0</v>
      </c>
      <c r="G3982" s="28" t="str">
        <f>IF(LEFT(D3982,6)="CLIENT",IF(E3982=0,WORKDAY(A3982-1,1,Dias_Sem_Compensacao!$A$2:$A$500),WORKDAY(A3982,E3982,Dias_Sem_Compensacao!$A$2:$A$500)),"")</f>
        <v/>
      </c>
      <c r="H3982" s="25">
        <v>129.01</v>
      </c>
      <c r="I3982" s="28">
        <v>46305</v>
      </c>
      <c r="J3982" t="s">
        <v>3640</v>
      </c>
      <c r="K3982" t="s">
        <v>3641</v>
      </c>
    </row>
    <row r="3983" spans="1:11" hidden="1">
      <c r="A3983" s="28">
        <v>46305</v>
      </c>
      <c r="B3983" t="s">
        <v>3523</v>
      </c>
      <c r="C3983" t="s">
        <v>151</v>
      </c>
      <c r="D3983" t="s">
        <v>3462</v>
      </c>
      <c r="E3983" t="str">
        <f>IF(LEFT(D3983,6)="CLIENT",IFERROR(VLOOKUP(C3983,Config_Carteiras!$A:$B,2,FALSE),1),"")</f>
        <v/>
      </c>
      <c r="F3983" s="25">
        <v>0</v>
      </c>
      <c r="G3983" s="28" t="str">
        <f>IF(LEFT(D3983,6)="CLIENT",IF(E3983=0,WORKDAY(A3983-1,1,Dias_Sem_Compensacao!$A$2:$A$500),WORKDAY(A3983,E3983,Dias_Sem_Compensacao!$A$2:$A$500)),"")</f>
        <v/>
      </c>
      <c r="H3983" s="25">
        <v>3666.75</v>
      </c>
      <c r="I3983" s="28">
        <v>46305</v>
      </c>
      <c r="J3983" t="s">
        <v>106</v>
      </c>
      <c r="K3983" t="s">
        <v>3642</v>
      </c>
    </row>
    <row r="3984" spans="1:11" hidden="1">
      <c r="A3984" s="28">
        <v>46306</v>
      </c>
      <c r="B3984" t="s">
        <v>3523</v>
      </c>
      <c r="C3984" t="s">
        <v>151</v>
      </c>
      <c r="D3984" t="s">
        <v>3462</v>
      </c>
      <c r="E3984" t="str">
        <f>IF(LEFT(D3984,6)="CLIENT",IFERROR(VLOOKUP(C3984,Config_Carteiras!$A:$B,2,FALSE),1),"")</f>
        <v/>
      </c>
      <c r="F3984" s="25">
        <v>0</v>
      </c>
      <c r="G3984" s="28" t="str">
        <f>IF(LEFT(D3984,6)="CLIENT",IF(E3984=0,WORKDAY(A3984-1,1,Dias_Sem_Compensacao!$A$2:$A$500),WORKDAY(A3984,E3984,Dias_Sem_Compensacao!$A$2:$A$500)),"")</f>
        <v/>
      </c>
      <c r="H3984" s="25">
        <v>622.5</v>
      </c>
      <c r="I3984" s="28">
        <v>46306</v>
      </c>
      <c r="J3984" t="s">
        <v>3638</v>
      </c>
      <c r="K3984" t="s">
        <v>3643</v>
      </c>
    </row>
    <row r="3985" spans="1:11" hidden="1">
      <c r="A3985" s="28">
        <v>46306</v>
      </c>
      <c r="B3985" t="s">
        <v>3523</v>
      </c>
      <c r="C3985" t="s">
        <v>151</v>
      </c>
      <c r="D3985" t="s">
        <v>3462</v>
      </c>
      <c r="E3985" t="str">
        <f>IF(LEFT(D3985,6)="CLIENT",IFERROR(VLOOKUP(C3985,Config_Carteiras!$A:$B,2,FALSE),1),"")</f>
        <v/>
      </c>
      <c r="F3985" s="25">
        <v>0</v>
      </c>
      <c r="G3985" s="28" t="str">
        <f>IF(LEFT(D3985,6)="CLIENT",IF(E3985=0,WORKDAY(A3985-1,1,Dias_Sem_Compensacao!$A$2:$A$500),WORKDAY(A3985,E3985,Dias_Sem_Compensacao!$A$2:$A$500)),"")</f>
        <v/>
      </c>
      <c r="H3985" s="25">
        <v>5162.2299999999996</v>
      </c>
      <c r="I3985" s="28">
        <v>46306</v>
      </c>
      <c r="J3985" t="s">
        <v>106</v>
      </c>
      <c r="K3985" t="s">
        <v>3644</v>
      </c>
    </row>
    <row r="3986" spans="1:11" hidden="1">
      <c r="A3986" s="28">
        <v>46307</v>
      </c>
      <c r="B3986" t="s">
        <v>3523</v>
      </c>
      <c r="C3986" t="s">
        <v>151</v>
      </c>
      <c r="D3986" t="s">
        <v>3462</v>
      </c>
      <c r="E3986" t="str">
        <f>IF(LEFT(D3986,6)="CLIENT",IFERROR(VLOOKUP(C3986,Config_Carteiras!$A:$B,2,FALSE),1),"")</f>
        <v/>
      </c>
      <c r="F3986" s="25">
        <v>0</v>
      </c>
      <c r="G3986" s="28" t="str">
        <f>IF(LEFT(D3986,6)="CLIENT",IF(E3986=0,WORKDAY(A3986-1,1,Dias_Sem_Compensacao!$A$2:$A$500),WORKDAY(A3986,E3986,Dias_Sem_Compensacao!$A$2:$A$500)),"")</f>
        <v/>
      </c>
      <c r="H3986" s="25">
        <v>2100</v>
      </c>
      <c r="I3986" s="28">
        <v>46307</v>
      </c>
      <c r="J3986" t="s">
        <v>3645</v>
      </c>
      <c r="K3986" t="s">
        <v>3646</v>
      </c>
    </row>
    <row r="3987" spans="1:11" hidden="1">
      <c r="A3987" s="28">
        <v>46307</v>
      </c>
      <c r="B3987" t="s">
        <v>3523</v>
      </c>
      <c r="C3987" t="s">
        <v>151</v>
      </c>
      <c r="D3987" t="s">
        <v>3462</v>
      </c>
      <c r="E3987" t="str">
        <f>IF(LEFT(D3987,6)="CLIENT",IFERROR(VLOOKUP(C3987,Config_Carteiras!$A:$B,2,FALSE),1),"")</f>
        <v/>
      </c>
      <c r="F3987" s="25">
        <v>0</v>
      </c>
      <c r="G3987" s="28" t="str">
        <f>IF(LEFT(D3987,6)="CLIENT",IF(E3987=0,WORKDAY(A3987-1,1,Dias_Sem_Compensacao!$A$2:$A$500),WORKDAY(A3987,E3987,Dias_Sem_Compensacao!$A$2:$A$500)),"")</f>
        <v/>
      </c>
      <c r="H3987" s="25">
        <v>12217.16</v>
      </c>
      <c r="I3987" s="28">
        <v>46307</v>
      </c>
      <c r="J3987" t="s">
        <v>44</v>
      </c>
      <c r="K3987" t="s">
        <v>3647</v>
      </c>
    </row>
    <row r="3988" spans="1:11" hidden="1">
      <c r="A3988" s="28">
        <v>46307</v>
      </c>
      <c r="B3988" t="s">
        <v>3523</v>
      </c>
      <c r="C3988" t="s">
        <v>151</v>
      </c>
      <c r="D3988" t="s">
        <v>3462</v>
      </c>
      <c r="E3988" t="str">
        <f>IF(LEFT(D3988,6)="CLIENT",IFERROR(VLOOKUP(C3988,Config_Carteiras!$A:$B,2,FALSE),1),"")</f>
        <v/>
      </c>
      <c r="F3988" s="25">
        <v>0</v>
      </c>
      <c r="G3988" s="28" t="str">
        <f>IF(LEFT(D3988,6)="CLIENT",IF(E3988=0,WORKDAY(A3988-1,1,Dias_Sem_Compensacao!$A$2:$A$500),WORKDAY(A3988,E3988,Dias_Sem_Compensacao!$A$2:$A$500)),"")</f>
        <v/>
      </c>
      <c r="H3988" s="25">
        <v>12076.5</v>
      </c>
      <c r="I3988" s="28">
        <v>46307</v>
      </c>
      <c r="J3988" t="s">
        <v>46</v>
      </c>
      <c r="K3988" t="s">
        <v>3648</v>
      </c>
    </row>
    <row r="3989" spans="1:11" hidden="1">
      <c r="A3989" s="28">
        <v>46308</v>
      </c>
      <c r="B3989" t="s">
        <v>3523</v>
      </c>
      <c r="C3989" t="s">
        <v>151</v>
      </c>
      <c r="D3989" t="s">
        <v>3462</v>
      </c>
      <c r="E3989" t="str">
        <f>IF(LEFT(D3989,6)="CLIENT",IFERROR(VLOOKUP(C3989,Config_Carteiras!$A:$B,2,FALSE),1),"")</f>
        <v/>
      </c>
      <c r="F3989" s="25">
        <v>0</v>
      </c>
      <c r="G3989" s="28" t="str">
        <f>IF(LEFT(D3989,6)="CLIENT",IF(E3989=0,WORKDAY(A3989-1,1,Dias_Sem_Compensacao!$A$2:$A$500),WORKDAY(A3989,E3989,Dias_Sem_Compensacao!$A$2:$A$500)),"")</f>
        <v/>
      </c>
      <c r="H3989" s="25">
        <v>101</v>
      </c>
      <c r="I3989" s="28">
        <v>46308</v>
      </c>
      <c r="J3989" t="s">
        <v>3549</v>
      </c>
      <c r="K3989" t="s">
        <v>3649</v>
      </c>
    </row>
    <row r="3990" spans="1:11" hidden="1">
      <c r="A3990" s="28">
        <v>46308</v>
      </c>
      <c r="B3990" t="s">
        <v>3523</v>
      </c>
      <c r="C3990" t="s">
        <v>151</v>
      </c>
      <c r="D3990" t="s">
        <v>3462</v>
      </c>
      <c r="E3990" t="str">
        <f>IF(LEFT(D3990,6)="CLIENT",IFERROR(VLOOKUP(C3990,Config_Carteiras!$A:$B,2,FALSE),1),"")</f>
        <v/>
      </c>
      <c r="F3990" s="25">
        <v>0</v>
      </c>
      <c r="G3990" s="28" t="str">
        <f>IF(LEFT(D3990,6)="CLIENT",IF(E3990=0,WORKDAY(A3990-1,1,Dias_Sem_Compensacao!$A$2:$A$500),WORKDAY(A3990,E3990,Dias_Sem_Compensacao!$A$2:$A$500)),"")</f>
        <v/>
      </c>
      <c r="H3990" s="25">
        <v>177.14</v>
      </c>
      <c r="I3990" s="28">
        <v>46308</v>
      </c>
      <c r="J3990" t="s">
        <v>3650</v>
      </c>
      <c r="K3990" t="s">
        <v>3651</v>
      </c>
    </row>
    <row r="3991" spans="1:11" hidden="1">
      <c r="A3991" s="28">
        <v>46308</v>
      </c>
      <c r="B3991" t="s">
        <v>3523</v>
      </c>
      <c r="C3991" t="s">
        <v>151</v>
      </c>
      <c r="D3991" t="s">
        <v>3462</v>
      </c>
      <c r="E3991" t="str">
        <f>IF(LEFT(D3991,6)="CLIENT",IFERROR(VLOOKUP(C3991,Config_Carteiras!$A:$B,2,FALSE),1),"")</f>
        <v/>
      </c>
      <c r="F3991" s="25">
        <v>0</v>
      </c>
      <c r="G3991" s="28" t="str">
        <f>IF(LEFT(D3991,6)="CLIENT",IF(E3991=0,WORKDAY(A3991-1,1,Dias_Sem_Compensacao!$A$2:$A$500),WORKDAY(A3991,E3991,Dias_Sem_Compensacao!$A$2:$A$500)),"")</f>
        <v/>
      </c>
      <c r="H3991" s="25">
        <v>627.67999999999995</v>
      </c>
      <c r="I3991" s="28">
        <v>46308</v>
      </c>
      <c r="K3991" t="s">
        <v>3652</v>
      </c>
    </row>
    <row r="3992" spans="1:11" hidden="1">
      <c r="A3992" s="28">
        <v>46308</v>
      </c>
      <c r="B3992" t="s">
        <v>3523</v>
      </c>
      <c r="C3992" t="s">
        <v>151</v>
      </c>
      <c r="D3992" t="s">
        <v>3462</v>
      </c>
      <c r="E3992" t="str">
        <f>IF(LEFT(D3992,6)="CLIENT",IFERROR(VLOOKUP(C3992,Config_Carteiras!$A:$B,2,FALSE),1),"")</f>
        <v/>
      </c>
      <c r="F3992" s="25">
        <v>0</v>
      </c>
      <c r="G3992" s="28" t="str">
        <f>IF(LEFT(D3992,6)="CLIENT",IF(E3992=0,WORKDAY(A3992-1,1,Dias_Sem_Compensacao!$A$2:$A$500),WORKDAY(A3992,E3992,Dias_Sem_Compensacao!$A$2:$A$500)),"")</f>
        <v/>
      </c>
      <c r="H3992" s="25">
        <v>3027.8</v>
      </c>
      <c r="I3992" s="28">
        <v>46308</v>
      </c>
      <c r="J3992" t="s">
        <v>3653</v>
      </c>
      <c r="K3992" t="s">
        <v>3654</v>
      </c>
    </row>
    <row r="3993" spans="1:11" hidden="1">
      <c r="A3993" s="28">
        <v>46308</v>
      </c>
      <c r="B3993" t="s">
        <v>3523</v>
      </c>
      <c r="C3993" t="s">
        <v>151</v>
      </c>
      <c r="D3993" t="s">
        <v>3462</v>
      </c>
      <c r="E3993" t="str">
        <f>IF(LEFT(D3993,6)="CLIENT",IFERROR(VLOOKUP(C3993,Config_Carteiras!$A:$B,2,FALSE),1),"")</f>
        <v/>
      </c>
      <c r="F3993" s="25">
        <v>0</v>
      </c>
      <c r="G3993" s="28" t="str">
        <f>IF(LEFT(D3993,6)="CLIENT",IF(E3993=0,WORKDAY(A3993-1,1,Dias_Sem_Compensacao!$A$2:$A$500),WORKDAY(A3993,E3993,Dias_Sem_Compensacao!$A$2:$A$500)),"")</f>
        <v/>
      </c>
      <c r="H3993" s="25">
        <v>360</v>
      </c>
      <c r="I3993" s="28">
        <v>46308</v>
      </c>
      <c r="J3993" t="s">
        <v>3655</v>
      </c>
      <c r="K3993" t="s">
        <v>3656</v>
      </c>
    </row>
    <row r="3994" spans="1:11" hidden="1">
      <c r="A3994" s="28">
        <v>46308</v>
      </c>
      <c r="B3994" t="s">
        <v>3523</v>
      </c>
      <c r="C3994" t="s">
        <v>151</v>
      </c>
      <c r="D3994" t="s">
        <v>3462</v>
      </c>
      <c r="E3994" t="str">
        <f>IF(LEFT(D3994,6)="CLIENT",IFERROR(VLOOKUP(C3994,Config_Carteiras!$A:$B,2,FALSE),1),"")</f>
        <v/>
      </c>
      <c r="F3994" s="25">
        <v>0</v>
      </c>
      <c r="G3994" s="28" t="str">
        <f>IF(LEFT(D3994,6)="CLIENT",IF(E3994=0,WORKDAY(A3994-1,1,Dias_Sem_Compensacao!$A$2:$A$500),WORKDAY(A3994,E3994,Dias_Sem_Compensacao!$A$2:$A$500)),"")</f>
        <v/>
      </c>
      <c r="H3994" s="25">
        <v>2378.0500000000002</v>
      </c>
      <c r="I3994" s="28">
        <v>46308</v>
      </c>
      <c r="J3994" t="s">
        <v>3657</v>
      </c>
      <c r="K3994" t="s">
        <v>3658</v>
      </c>
    </row>
    <row r="3995" spans="1:11" hidden="1">
      <c r="A3995" s="28">
        <v>46308</v>
      </c>
      <c r="B3995" t="s">
        <v>3523</v>
      </c>
      <c r="C3995" t="s">
        <v>151</v>
      </c>
      <c r="D3995" t="s">
        <v>3462</v>
      </c>
      <c r="E3995" t="str">
        <f>IF(LEFT(D3995,6)="CLIENT",IFERROR(VLOOKUP(C3995,Config_Carteiras!$A:$B,2,FALSE),1),"")</f>
        <v/>
      </c>
      <c r="F3995" s="25">
        <v>0</v>
      </c>
      <c r="G3995" s="28" t="str">
        <f>IF(LEFT(D3995,6)="CLIENT",IF(E3995=0,WORKDAY(A3995-1,1,Dias_Sem_Compensacao!$A$2:$A$500),WORKDAY(A3995,E3995,Dias_Sem_Compensacao!$A$2:$A$500)),"")</f>
        <v/>
      </c>
      <c r="H3995" s="25">
        <v>5000</v>
      </c>
      <c r="I3995" s="28">
        <v>46308</v>
      </c>
      <c r="J3995" t="s">
        <v>3578</v>
      </c>
      <c r="K3995" t="s">
        <v>3579</v>
      </c>
    </row>
    <row r="3996" spans="1:11" hidden="1">
      <c r="A3996" s="28">
        <v>46308</v>
      </c>
      <c r="B3996" t="s">
        <v>3523</v>
      </c>
      <c r="C3996" t="s">
        <v>151</v>
      </c>
      <c r="D3996" t="s">
        <v>3462</v>
      </c>
      <c r="E3996" t="str">
        <f>IF(LEFT(D3996,6)="CLIENT",IFERROR(VLOOKUP(C3996,Config_Carteiras!$A:$B,2,FALSE),1),"")</f>
        <v/>
      </c>
      <c r="F3996" s="25">
        <v>0</v>
      </c>
      <c r="G3996" s="28" t="str">
        <f>IF(LEFT(D3996,6)="CLIENT",IF(E3996=0,WORKDAY(A3996-1,1,Dias_Sem_Compensacao!$A$2:$A$500),WORKDAY(A3996,E3996,Dias_Sem_Compensacao!$A$2:$A$500)),"")</f>
        <v/>
      </c>
      <c r="H3996" s="25">
        <v>477</v>
      </c>
      <c r="I3996" s="28">
        <v>46308</v>
      </c>
      <c r="J3996" t="s">
        <v>74</v>
      </c>
      <c r="K3996" t="s">
        <v>3659</v>
      </c>
    </row>
    <row r="3997" spans="1:11" hidden="1">
      <c r="A3997" s="28">
        <v>46308</v>
      </c>
      <c r="B3997" t="s">
        <v>3523</v>
      </c>
      <c r="C3997" t="s">
        <v>151</v>
      </c>
      <c r="D3997" t="s">
        <v>3462</v>
      </c>
      <c r="E3997" t="str">
        <f>IF(LEFT(D3997,6)="CLIENT",IFERROR(VLOOKUP(C3997,Config_Carteiras!$A:$B,2,FALSE),1),"")</f>
        <v/>
      </c>
      <c r="F3997" s="25">
        <v>0</v>
      </c>
      <c r="G3997" s="28" t="str">
        <f>IF(LEFT(D3997,6)="CLIENT",IF(E3997=0,WORKDAY(A3997-1,1,Dias_Sem_Compensacao!$A$2:$A$500),WORKDAY(A3997,E3997,Dias_Sem_Compensacao!$A$2:$A$500)),"")</f>
        <v/>
      </c>
      <c r="H3997" s="25">
        <v>439.5</v>
      </c>
      <c r="I3997" s="28">
        <v>46308</v>
      </c>
      <c r="K3997" t="s">
        <v>3660</v>
      </c>
    </row>
    <row r="3998" spans="1:11" hidden="1">
      <c r="A3998" s="28">
        <v>46308</v>
      </c>
      <c r="B3998" t="s">
        <v>3523</v>
      </c>
      <c r="C3998" t="s">
        <v>151</v>
      </c>
      <c r="D3998" t="s">
        <v>3462</v>
      </c>
      <c r="E3998" t="str">
        <f>IF(LEFT(D3998,6)="CLIENT",IFERROR(VLOOKUP(C3998,Config_Carteiras!$A:$B,2,FALSE),1),"")</f>
        <v/>
      </c>
      <c r="F3998" s="25">
        <v>0</v>
      </c>
      <c r="G3998" s="28" t="str">
        <f>IF(LEFT(D3998,6)="CLIENT",IF(E3998=0,WORKDAY(A3998-1,1,Dias_Sem_Compensacao!$A$2:$A$500),WORKDAY(A3998,E3998,Dias_Sem_Compensacao!$A$2:$A$500)),"")</f>
        <v/>
      </c>
      <c r="H3998" s="25">
        <v>2061.31</v>
      </c>
      <c r="I3998" s="28">
        <v>46308</v>
      </c>
      <c r="J3998" t="s">
        <v>3661</v>
      </c>
      <c r="K3998" t="s">
        <v>3662</v>
      </c>
    </row>
    <row r="3999" spans="1:11" hidden="1">
      <c r="A3999" s="28">
        <v>46308</v>
      </c>
      <c r="B3999" t="s">
        <v>3523</v>
      </c>
      <c r="C3999" t="s">
        <v>151</v>
      </c>
      <c r="D3999" t="s">
        <v>3462</v>
      </c>
      <c r="E3999" t="str">
        <f>IF(LEFT(D3999,6)="CLIENT",IFERROR(VLOOKUP(C3999,Config_Carteiras!$A:$B,2,FALSE),1),"")</f>
        <v/>
      </c>
      <c r="F3999" s="25">
        <v>0</v>
      </c>
      <c r="G3999" s="28" t="str">
        <f>IF(LEFT(D3999,6)="CLIENT",IF(E3999=0,WORKDAY(A3999-1,1,Dias_Sem_Compensacao!$A$2:$A$500),WORKDAY(A3999,E3999,Dias_Sem_Compensacao!$A$2:$A$500)),"")</f>
        <v/>
      </c>
      <c r="H3999" s="25">
        <v>11173</v>
      </c>
      <c r="I3999" s="28">
        <v>46308</v>
      </c>
      <c r="J3999" t="s">
        <v>32</v>
      </c>
      <c r="K3999" t="s">
        <v>31</v>
      </c>
    </row>
    <row r="4000" spans="1:11" hidden="1">
      <c r="A4000" s="28">
        <v>46308</v>
      </c>
      <c r="B4000" t="s">
        <v>3523</v>
      </c>
      <c r="C4000" t="s">
        <v>151</v>
      </c>
      <c r="D4000" t="s">
        <v>3462</v>
      </c>
      <c r="E4000" t="str">
        <f>IF(LEFT(D4000,6)="CLIENT",IFERROR(VLOOKUP(C4000,Config_Carteiras!$A:$B,2,FALSE),1),"")</f>
        <v/>
      </c>
      <c r="F4000" s="25">
        <v>0</v>
      </c>
      <c r="G4000" s="28" t="str">
        <f>IF(LEFT(D4000,6)="CLIENT",IF(E4000=0,WORKDAY(A4000-1,1,Dias_Sem_Compensacao!$A$2:$A$500),WORKDAY(A4000,E4000,Dias_Sem_Compensacao!$A$2:$A$500)),"")</f>
        <v/>
      </c>
      <c r="H4000" s="25">
        <v>6072.93</v>
      </c>
      <c r="I4000" s="28">
        <v>46308</v>
      </c>
      <c r="J4000" t="s">
        <v>3561</v>
      </c>
      <c r="K4000" t="s">
        <v>3663</v>
      </c>
    </row>
    <row r="4001" spans="1:11" hidden="1">
      <c r="A4001" s="28">
        <v>46308</v>
      </c>
      <c r="B4001" t="s">
        <v>3523</v>
      </c>
      <c r="C4001" t="s">
        <v>151</v>
      </c>
      <c r="D4001" t="s">
        <v>3462</v>
      </c>
      <c r="E4001" t="str">
        <f>IF(LEFT(D4001,6)="CLIENT",IFERROR(VLOOKUP(C4001,Config_Carteiras!$A:$B,2,FALSE),1),"")</f>
        <v/>
      </c>
      <c r="F4001" s="25">
        <v>0</v>
      </c>
      <c r="G4001" s="28" t="str">
        <f>IF(LEFT(D4001,6)="CLIENT",IF(E4001=0,WORKDAY(A4001-1,1,Dias_Sem_Compensacao!$A$2:$A$500),WORKDAY(A4001,E4001,Dias_Sem_Compensacao!$A$2:$A$500)),"")</f>
        <v/>
      </c>
      <c r="H4001" s="25">
        <v>16000</v>
      </c>
      <c r="I4001" s="28">
        <v>46308</v>
      </c>
      <c r="J4001" t="s">
        <v>34</v>
      </c>
      <c r="K4001" t="s">
        <v>33</v>
      </c>
    </row>
    <row r="4002" spans="1:11" hidden="1">
      <c r="A4002" s="28">
        <v>46308</v>
      </c>
      <c r="B4002" t="s">
        <v>3523</v>
      </c>
      <c r="C4002" t="s">
        <v>151</v>
      </c>
      <c r="D4002" t="s">
        <v>3462</v>
      </c>
      <c r="E4002" t="str">
        <f>IF(LEFT(D4002,6)="CLIENT",IFERROR(VLOOKUP(C4002,Config_Carteiras!$A:$B,2,FALSE),1),"")</f>
        <v/>
      </c>
      <c r="F4002" s="25">
        <v>0</v>
      </c>
      <c r="G4002" s="28" t="str">
        <f>IF(LEFT(D4002,6)="CLIENT",IF(E4002=0,WORKDAY(A4002-1,1,Dias_Sem_Compensacao!$A$2:$A$500),WORKDAY(A4002,E4002,Dias_Sem_Compensacao!$A$2:$A$500)),"")</f>
        <v/>
      </c>
      <c r="H4002" s="25">
        <v>3375</v>
      </c>
      <c r="I4002" s="28">
        <v>46308</v>
      </c>
      <c r="J4002" t="s">
        <v>36</v>
      </c>
      <c r="K4002" t="s">
        <v>35</v>
      </c>
    </row>
    <row r="4003" spans="1:11" hidden="1">
      <c r="A4003" s="28">
        <v>46308</v>
      </c>
      <c r="B4003" t="s">
        <v>3523</v>
      </c>
      <c r="C4003" t="s">
        <v>151</v>
      </c>
      <c r="D4003" t="s">
        <v>3462</v>
      </c>
      <c r="E4003" t="str">
        <f>IF(LEFT(D4003,6)="CLIENT",IFERROR(VLOOKUP(C4003,Config_Carteiras!$A:$B,2,FALSE),1),"")</f>
        <v/>
      </c>
      <c r="F4003" s="25">
        <v>0</v>
      </c>
      <c r="G4003" s="28" t="str">
        <f>IF(LEFT(D4003,6)="CLIENT",IF(E4003=0,WORKDAY(A4003-1,1,Dias_Sem_Compensacao!$A$2:$A$500),WORKDAY(A4003,E4003,Dias_Sem_Compensacao!$A$2:$A$500)),"")</f>
        <v/>
      </c>
      <c r="H4003" s="25">
        <v>2853.16</v>
      </c>
      <c r="I4003" s="28">
        <v>46308</v>
      </c>
      <c r="J4003" t="s">
        <v>136</v>
      </c>
      <c r="K4003" t="s">
        <v>3664</v>
      </c>
    </row>
    <row r="4004" spans="1:11" hidden="1">
      <c r="A4004" s="28">
        <v>46308</v>
      </c>
      <c r="B4004" t="s">
        <v>3523</v>
      </c>
      <c r="C4004" t="s">
        <v>151</v>
      </c>
      <c r="D4004" t="s">
        <v>3462</v>
      </c>
      <c r="E4004" t="str">
        <f>IF(LEFT(D4004,6)="CLIENT",IFERROR(VLOOKUP(C4004,Config_Carteiras!$A:$B,2,FALSE),1),"")</f>
        <v/>
      </c>
      <c r="F4004" s="25">
        <v>0</v>
      </c>
      <c r="G4004" s="28" t="str">
        <f>IF(LEFT(D4004,6)="CLIENT",IF(E4004=0,WORKDAY(A4004-1,1,Dias_Sem_Compensacao!$A$2:$A$500),WORKDAY(A4004,E4004,Dias_Sem_Compensacao!$A$2:$A$500)),"")</f>
        <v/>
      </c>
      <c r="H4004" s="25">
        <v>1062.5</v>
      </c>
      <c r="I4004" s="28">
        <v>46308</v>
      </c>
      <c r="K4004" t="s">
        <v>3665</v>
      </c>
    </row>
    <row r="4005" spans="1:11" hidden="1">
      <c r="A4005" s="28">
        <v>46308</v>
      </c>
      <c r="B4005" t="s">
        <v>3523</v>
      </c>
      <c r="C4005" t="s">
        <v>151</v>
      </c>
      <c r="D4005" t="s">
        <v>3462</v>
      </c>
      <c r="E4005" t="str">
        <f>IF(LEFT(D4005,6)="CLIENT",IFERROR(VLOOKUP(C4005,Config_Carteiras!$A:$B,2,FALSE),1),"")</f>
        <v/>
      </c>
      <c r="F4005" s="25">
        <v>0</v>
      </c>
      <c r="G4005" s="28" t="str">
        <f>IF(LEFT(D4005,6)="CLIENT",IF(E4005=0,WORKDAY(A4005-1,1,Dias_Sem_Compensacao!$A$2:$A$500),WORKDAY(A4005,E4005,Dias_Sem_Compensacao!$A$2:$A$500)),"")</f>
        <v/>
      </c>
      <c r="H4005" s="25">
        <v>1816.67</v>
      </c>
      <c r="I4005" s="28">
        <v>46308</v>
      </c>
      <c r="J4005" t="s">
        <v>3666</v>
      </c>
      <c r="K4005" t="s">
        <v>3667</v>
      </c>
    </row>
    <row r="4006" spans="1:11" hidden="1">
      <c r="A4006" s="28">
        <v>46308</v>
      </c>
      <c r="B4006" t="s">
        <v>3523</v>
      </c>
      <c r="C4006" t="s">
        <v>151</v>
      </c>
      <c r="D4006" t="s">
        <v>3462</v>
      </c>
      <c r="E4006" t="str">
        <f>IF(LEFT(D4006,6)="CLIENT",IFERROR(VLOOKUP(C4006,Config_Carteiras!$A:$B,2,FALSE),1),"")</f>
        <v/>
      </c>
      <c r="F4006" s="25">
        <v>0</v>
      </c>
      <c r="G4006" s="28" t="str">
        <f>IF(LEFT(D4006,6)="CLIENT",IF(E4006=0,WORKDAY(A4006-1,1,Dias_Sem_Compensacao!$A$2:$A$500),WORKDAY(A4006,E4006,Dias_Sem_Compensacao!$A$2:$A$500)),"")</f>
        <v/>
      </c>
      <c r="H4006" s="25">
        <v>11565.86</v>
      </c>
      <c r="I4006" s="28">
        <v>46308</v>
      </c>
      <c r="J4006" t="s">
        <v>3621</v>
      </c>
      <c r="K4006" t="s">
        <v>3668</v>
      </c>
    </row>
    <row r="4007" spans="1:11" hidden="1">
      <c r="A4007" s="28">
        <v>46308</v>
      </c>
      <c r="B4007" t="s">
        <v>3523</v>
      </c>
      <c r="C4007" t="s">
        <v>151</v>
      </c>
      <c r="D4007" t="s">
        <v>3462</v>
      </c>
      <c r="E4007" t="str">
        <f>IF(LEFT(D4007,6)="CLIENT",IFERROR(VLOOKUP(C4007,Config_Carteiras!$A:$B,2,FALSE),1),"")</f>
        <v/>
      </c>
      <c r="F4007" s="25">
        <v>0</v>
      </c>
      <c r="G4007" s="28" t="str">
        <f>IF(LEFT(D4007,6)="CLIENT",IF(E4007=0,WORKDAY(A4007-1,1,Dias_Sem_Compensacao!$A$2:$A$500),WORKDAY(A4007,E4007,Dias_Sem_Compensacao!$A$2:$A$500)),"")</f>
        <v/>
      </c>
      <c r="H4007" s="25">
        <v>104.51</v>
      </c>
      <c r="I4007" s="28">
        <v>46308</v>
      </c>
      <c r="J4007" t="s">
        <v>42</v>
      </c>
      <c r="K4007" t="s">
        <v>3669</v>
      </c>
    </row>
    <row r="4008" spans="1:11" hidden="1">
      <c r="A4008" s="28">
        <v>46308</v>
      </c>
      <c r="B4008" t="s">
        <v>3523</v>
      </c>
      <c r="C4008" t="s">
        <v>151</v>
      </c>
      <c r="D4008" t="s">
        <v>3462</v>
      </c>
      <c r="E4008" t="str">
        <f>IF(LEFT(D4008,6)="CLIENT",IFERROR(VLOOKUP(C4008,Config_Carteiras!$A:$B,2,FALSE),1),"")</f>
        <v/>
      </c>
      <c r="F4008" s="25">
        <v>0</v>
      </c>
      <c r="G4008" s="28" t="str">
        <f>IF(LEFT(D4008,6)="CLIENT",IF(E4008=0,WORKDAY(A4008-1,1,Dias_Sem_Compensacao!$A$2:$A$500),WORKDAY(A4008,E4008,Dias_Sem_Compensacao!$A$2:$A$500)),"")</f>
        <v/>
      </c>
      <c r="H4008" s="25">
        <v>287.3</v>
      </c>
      <c r="I4008" s="28">
        <v>46308</v>
      </c>
      <c r="K4008" t="s">
        <v>2438</v>
      </c>
    </row>
    <row r="4009" spans="1:11" hidden="1">
      <c r="A4009" s="28">
        <v>46308</v>
      </c>
      <c r="B4009" t="s">
        <v>3523</v>
      </c>
      <c r="C4009" t="s">
        <v>151</v>
      </c>
      <c r="D4009" t="s">
        <v>3462</v>
      </c>
      <c r="E4009" t="str">
        <f>IF(LEFT(D4009,6)="CLIENT",IFERROR(VLOOKUP(C4009,Config_Carteiras!$A:$B,2,FALSE),1),"")</f>
        <v/>
      </c>
      <c r="F4009" s="25">
        <v>0</v>
      </c>
      <c r="G4009" s="28" t="str">
        <f>IF(LEFT(D4009,6)="CLIENT",IF(E4009=0,WORKDAY(A4009-1,1,Dias_Sem_Compensacao!$A$2:$A$500),WORKDAY(A4009,E4009,Dias_Sem_Compensacao!$A$2:$A$500)),"")</f>
        <v/>
      </c>
      <c r="H4009" s="25">
        <v>246.13</v>
      </c>
      <c r="I4009" s="28">
        <v>46308</v>
      </c>
      <c r="K4009" t="s">
        <v>3670</v>
      </c>
    </row>
    <row r="4010" spans="1:11" hidden="1">
      <c r="A4010" s="28">
        <v>46308</v>
      </c>
      <c r="B4010" t="s">
        <v>3523</v>
      </c>
      <c r="C4010" t="s">
        <v>151</v>
      </c>
      <c r="D4010" t="s">
        <v>3462</v>
      </c>
      <c r="E4010" t="str">
        <f>IF(LEFT(D4010,6)="CLIENT",IFERROR(VLOOKUP(C4010,Config_Carteiras!$A:$B,2,FALSE),1),"")</f>
        <v/>
      </c>
      <c r="F4010" s="25">
        <v>0</v>
      </c>
      <c r="G4010" s="28" t="str">
        <f>IF(LEFT(D4010,6)="CLIENT",IF(E4010=0,WORKDAY(A4010-1,1,Dias_Sem_Compensacao!$A$2:$A$500),WORKDAY(A4010,E4010,Dias_Sem_Compensacao!$A$2:$A$500)),"")</f>
        <v/>
      </c>
      <c r="H4010" s="25">
        <v>234.68</v>
      </c>
      <c r="I4010" s="28">
        <v>46308</v>
      </c>
      <c r="K4010" t="s">
        <v>3671</v>
      </c>
    </row>
    <row r="4011" spans="1:11" hidden="1">
      <c r="A4011" s="28">
        <v>46308</v>
      </c>
      <c r="B4011" t="s">
        <v>3523</v>
      </c>
      <c r="C4011" t="s">
        <v>151</v>
      </c>
      <c r="D4011" t="s">
        <v>3462</v>
      </c>
      <c r="E4011" t="str">
        <f>IF(LEFT(D4011,6)="CLIENT",IFERROR(VLOOKUP(C4011,Config_Carteiras!$A:$B,2,FALSE),1),"")</f>
        <v/>
      </c>
      <c r="F4011" s="25">
        <v>0</v>
      </c>
      <c r="G4011" s="28" t="str">
        <f>IF(LEFT(D4011,6)="CLIENT",IF(E4011=0,WORKDAY(A4011-1,1,Dias_Sem_Compensacao!$A$2:$A$500),WORKDAY(A4011,E4011,Dias_Sem_Compensacao!$A$2:$A$500)),"")</f>
        <v/>
      </c>
      <c r="H4011" s="25">
        <v>131.97</v>
      </c>
      <c r="I4011" s="28">
        <v>46308</v>
      </c>
      <c r="K4011" t="s">
        <v>3672</v>
      </c>
    </row>
    <row r="4012" spans="1:11" hidden="1">
      <c r="A4012" s="28">
        <v>46308</v>
      </c>
      <c r="B4012" t="s">
        <v>3523</v>
      </c>
      <c r="C4012" t="s">
        <v>151</v>
      </c>
      <c r="D4012" t="s">
        <v>3462</v>
      </c>
      <c r="E4012" t="str">
        <f>IF(LEFT(D4012,6)="CLIENT",IFERROR(VLOOKUP(C4012,Config_Carteiras!$A:$B,2,FALSE),1),"")</f>
        <v/>
      </c>
      <c r="F4012" s="25">
        <v>0</v>
      </c>
      <c r="G4012" s="28" t="str">
        <f>IF(LEFT(D4012,6)="CLIENT",IF(E4012=0,WORKDAY(A4012-1,1,Dias_Sem_Compensacao!$A$2:$A$500),WORKDAY(A4012,E4012,Dias_Sem_Compensacao!$A$2:$A$500)),"")</f>
        <v/>
      </c>
      <c r="H4012" s="25">
        <v>149.97999999999999</v>
      </c>
      <c r="I4012" s="28">
        <v>46308</v>
      </c>
      <c r="K4012" t="s">
        <v>3673</v>
      </c>
    </row>
    <row r="4013" spans="1:11" hidden="1">
      <c r="A4013" s="28">
        <v>46308</v>
      </c>
      <c r="B4013" t="s">
        <v>3523</v>
      </c>
      <c r="C4013" t="s">
        <v>151</v>
      </c>
      <c r="D4013" t="s">
        <v>3462</v>
      </c>
      <c r="E4013" t="str">
        <f>IF(LEFT(D4013,6)="CLIENT",IFERROR(VLOOKUP(C4013,Config_Carteiras!$A:$B,2,FALSE),1),"")</f>
        <v/>
      </c>
      <c r="F4013" s="25">
        <v>0</v>
      </c>
      <c r="G4013" s="28" t="str">
        <f>IF(LEFT(D4013,6)="CLIENT",IF(E4013=0,WORKDAY(A4013-1,1,Dias_Sem_Compensacao!$A$2:$A$500),WORKDAY(A4013,E4013,Dias_Sem_Compensacao!$A$2:$A$500)),"")</f>
        <v/>
      </c>
      <c r="H4013" s="25">
        <v>4774.8900000000003</v>
      </c>
      <c r="I4013" s="28">
        <v>46308</v>
      </c>
      <c r="J4013" t="s">
        <v>3674</v>
      </c>
      <c r="K4013" t="s">
        <v>3675</v>
      </c>
    </row>
    <row r="4014" spans="1:11" hidden="1">
      <c r="A4014" s="28">
        <v>46308</v>
      </c>
      <c r="B4014" t="s">
        <v>3523</v>
      </c>
      <c r="C4014" t="s">
        <v>151</v>
      </c>
      <c r="D4014" t="s">
        <v>3462</v>
      </c>
      <c r="E4014" t="str">
        <f>IF(LEFT(D4014,6)="CLIENT",IFERROR(VLOOKUP(C4014,Config_Carteiras!$A:$B,2,FALSE),1),"")</f>
        <v/>
      </c>
      <c r="F4014" s="25">
        <v>0</v>
      </c>
      <c r="G4014" s="28" t="str">
        <f>IF(LEFT(D4014,6)="CLIENT",IF(E4014=0,WORKDAY(A4014-1,1,Dias_Sem_Compensacao!$A$2:$A$500),WORKDAY(A4014,E4014,Dias_Sem_Compensacao!$A$2:$A$500)),"")</f>
        <v/>
      </c>
      <c r="H4014" s="25">
        <v>698</v>
      </c>
      <c r="I4014" s="28">
        <v>46308</v>
      </c>
      <c r="J4014" t="s">
        <v>48</v>
      </c>
      <c r="K4014" t="s">
        <v>3676</v>
      </c>
    </row>
    <row r="4015" spans="1:11" hidden="1">
      <c r="A4015" s="28">
        <v>46309</v>
      </c>
      <c r="B4015" t="s">
        <v>3523</v>
      </c>
      <c r="C4015" t="s">
        <v>151</v>
      </c>
      <c r="D4015" t="s">
        <v>3462</v>
      </c>
      <c r="E4015" t="str">
        <f>IF(LEFT(D4015,6)="CLIENT",IFERROR(VLOOKUP(C4015,Config_Carteiras!$A:$B,2,FALSE),1),"")</f>
        <v/>
      </c>
      <c r="F4015" s="25">
        <v>0</v>
      </c>
      <c r="G4015" s="28" t="str">
        <f>IF(LEFT(D4015,6)="CLIENT",IF(E4015=0,WORKDAY(A4015-1,1,Dias_Sem_Compensacao!$A$2:$A$500),WORKDAY(A4015,E4015,Dias_Sem_Compensacao!$A$2:$A$500)),"")</f>
        <v/>
      </c>
      <c r="H4015" s="25">
        <v>121.57</v>
      </c>
      <c r="I4015" s="28">
        <v>46309</v>
      </c>
      <c r="J4015" t="s">
        <v>3677</v>
      </c>
      <c r="K4015" t="s">
        <v>3678</v>
      </c>
    </row>
    <row r="4016" spans="1:11" hidden="1">
      <c r="A4016" s="28">
        <v>46309</v>
      </c>
      <c r="B4016" t="s">
        <v>3523</v>
      </c>
      <c r="C4016" t="s">
        <v>151</v>
      </c>
      <c r="D4016" t="s">
        <v>3462</v>
      </c>
      <c r="E4016" t="str">
        <f>IF(LEFT(D4016,6)="CLIENT",IFERROR(VLOOKUP(C4016,Config_Carteiras!$A:$B,2,FALSE),1),"")</f>
        <v/>
      </c>
      <c r="F4016" s="25">
        <v>0</v>
      </c>
      <c r="G4016" s="28" t="str">
        <f>IF(LEFT(D4016,6)="CLIENT",IF(E4016=0,WORKDAY(A4016-1,1,Dias_Sem_Compensacao!$A$2:$A$500),WORKDAY(A4016,E4016,Dias_Sem_Compensacao!$A$2:$A$500)),"")</f>
        <v/>
      </c>
      <c r="H4016" s="25">
        <v>51488.14</v>
      </c>
      <c r="I4016" s="28">
        <v>46309</v>
      </c>
      <c r="J4016" t="s">
        <v>2595</v>
      </c>
      <c r="K4016" t="s">
        <v>3679</v>
      </c>
    </row>
    <row r="4017" spans="1:11" hidden="1">
      <c r="A4017" s="28">
        <v>46309</v>
      </c>
      <c r="B4017" t="s">
        <v>3523</v>
      </c>
      <c r="C4017" t="s">
        <v>151</v>
      </c>
      <c r="D4017" t="s">
        <v>3462</v>
      </c>
      <c r="E4017" t="str">
        <f>IF(LEFT(D4017,6)="CLIENT",IFERROR(VLOOKUP(C4017,Config_Carteiras!$A:$B,2,FALSE),1),"")</f>
        <v/>
      </c>
      <c r="F4017" s="25">
        <v>0</v>
      </c>
      <c r="G4017" s="28" t="str">
        <f>IF(LEFT(D4017,6)="CLIENT",IF(E4017=0,WORKDAY(A4017-1,1,Dias_Sem_Compensacao!$A$2:$A$500),WORKDAY(A4017,E4017,Dias_Sem_Compensacao!$A$2:$A$500)),"")</f>
        <v/>
      </c>
      <c r="H4017" s="25">
        <v>155.53</v>
      </c>
      <c r="I4017" s="28">
        <v>46309</v>
      </c>
      <c r="K4017" t="s">
        <v>3680</v>
      </c>
    </row>
    <row r="4018" spans="1:11" hidden="1">
      <c r="A4018" s="28">
        <v>46309</v>
      </c>
      <c r="B4018" t="s">
        <v>3523</v>
      </c>
      <c r="C4018" t="s">
        <v>151</v>
      </c>
      <c r="D4018" t="s">
        <v>3462</v>
      </c>
      <c r="E4018" t="str">
        <f>IF(LEFT(D4018,6)="CLIENT",IFERROR(VLOOKUP(C4018,Config_Carteiras!$A:$B,2,FALSE),1),"")</f>
        <v/>
      </c>
      <c r="F4018" s="25">
        <v>0</v>
      </c>
      <c r="G4018" s="28" t="str">
        <f>IF(LEFT(D4018,6)="CLIENT",IF(E4018=0,WORKDAY(A4018-1,1,Dias_Sem_Compensacao!$A$2:$A$500),WORKDAY(A4018,E4018,Dias_Sem_Compensacao!$A$2:$A$500)),"")</f>
        <v/>
      </c>
      <c r="H4018" s="25">
        <v>112.3</v>
      </c>
      <c r="I4018" s="28">
        <v>46309</v>
      </c>
      <c r="K4018" t="s">
        <v>3681</v>
      </c>
    </row>
    <row r="4019" spans="1:11" hidden="1">
      <c r="A4019" s="28">
        <v>46309</v>
      </c>
      <c r="B4019" t="s">
        <v>3523</v>
      </c>
      <c r="C4019" t="s">
        <v>151</v>
      </c>
      <c r="D4019" t="s">
        <v>3462</v>
      </c>
      <c r="E4019" t="str">
        <f>IF(LEFT(D4019,6)="CLIENT",IFERROR(VLOOKUP(C4019,Config_Carteiras!$A:$B,2,FALSE),1),"")</f>
        <v/>
      </c>
      <c r="F4019" s="25">
        <v>0</v>
      </c>
      <c r="G4019" s="28" t="str">
        <f>IF(LEFT(D4019,6)="CLIENT",IF(E4019=0,WORKDAY(A4019-1,1,Dias_Sem_Compensacao!$A$2:$A$500),WORKDAY(A4019,E4019,Dias_Sem_Compensacao!$A$2:$A$500)),"")</f>
        <v/>
      </c>
      <c r="H4019" s="25">
        <v>414.66</v>
      </c>
      <c r="I4019" s="28">
        <v>46309</v>
      </c>
      <c r="K4019" t="s">
        <v>3682</v>
      </c>
    </row>
    <row r="4020" spans="1:11" hidden="1">
      <c r="A4020" s="28">
        <v>46309</v>
      </c>
      <c r="B4020" t="s">
        <v>3523</v>
      </c>
      <c r="C4020" t="s">
        <v>151</v>
      </c>
      <c r="D4020" t="s">
        <v>3462</v>
      </c>
      <c r="E4020" t="str">
        <f>IF(LEFT(D4020,6)="CLIENT",IFERROR(VLOOKUP(C4020,Config_Carteiras!$A:$B,2,FALSE),1),"")</f>
        <v/>
      </c>
      <c r="F4020" s="25">
        <v>0</v>
      </c>
      <c r="G4020" s="28" t="str">
        <f>IF(LEFT(D4020,6)="CLIENT",IF(E4020=0,WORKDAY(A4020-1,1,Dias_Sem_Compensacao!$A$2:$A$500),WORKDAY(A4020,E4020,Dias_Sem_Compensacao!$A$2:$A$500)),"")</f>
        <v/>
      </c>
      <c r="H4020" s="25">
        <v>309.26</v>
      </c>
      <c r="I4020" s="28">
        <v>46309</v>
      </c>
      <c r="K4020" t="s">
        <v>3683</v>
      </c>
    </row>
    <row r="4021" spans="1:11" hidden="1">
      <c r="A4021" s="28">
        <v>46309</v>
      </c>
      <c r="B4021" t="s">
        <v>3523</v>
      </c>
      <c r="C4021" t="s">
        <v>151</v>
      </c>
      <c r="D4021" t="s">
        <v>3462</v>
      </c>
      <c r="E4021" t="str">
        <f>IF(LEFT(D4021,6)="CLIENT",IFERROR(VLOOKUP(C4021,Config_Carteiras!$A:$B,2,FALSE),1),"")</f>
        <v/>
      </c>
      <c r="F4021" s="25">
        <v>0</v>
      </c>
      <c r="G4021" s="28" t="str">
        <f>IF(LEFT(D4021,6)="CLIENT",IF(E4021=0,WORKDAY(A4021-1,1,Dias_Sem_Compensacao!$A$2:$A$500),WORKDAY(A4021,E4021,Dias_Sem_Compensacao!$A$2:$A$500)),"")</f>
        <v/>
      </c>
      <c r="H4021" s="25">
        <v>96.44</v>
      </c>
      <c r="I4021" s="28">
        <v>46309</v>
      </c>
      <c r="K4021" t="s">
        <v>3684</v>
      </c>
    </row>
    <row r="4022" spans="1:11" hidden="1">
      <c r="A4022" s="28">
        <v>46309</v>
      </c>
      <c r="B4022" t="s">
        <v>3523</v>
      </c>
      <c r="C4022" t="s">
        <v>151</v>
      </c>
      <c r="D4022" t="s">
        <v>3462</v>
      </c>
      <c r="E4022" t="str">
        <f>IF(LEFT(D4022,6)="CLIENT",IFERROR(VLOOKUP(C4022,Config_Carteiras!$A:$B,2,FALSE),1),"")</f>
        <v/>
      </c>
      <c r="F4022" s="25">
        <v>0</v>
      </c>
      <c r="G4022" s="28" t="str">
        <f>IF(LEFT(D4022,6)="CLIENT",IF(E4022=0,WORKDAY(A4022-1,1,Dias_Sem_Compensacao!$A$2:$A$500),WORKDAY(A4022,E4022,Dias_Sem_Compensacao!$A$2:$A$500)),"")</f>
        <v/>
      </c>
      <c r="H4022" s="25">
        <v>348.72</v>
      </c>
      <c r="I4022" s="28">
        <v>46309</v>
      </c>
      <c r="K4022" t="s">
        <v>3685</v>
      </c>
    </row>
    <row r="4023" spans="1:11" hidden="1">
      <c r="A4023" s="28">
        <v>46309</v>
      </c>
      <c r="B4023" t="s">
        <v>3523</v>
      </c>
      <c r="C4023" t="s">
        <v>151</v>
      </c>
      <c r="D4023" t="s">
        <v>3462</v>
      </c>
      <c r="E4023" t="str">
        <f>IF(LEFT(D4023,6)="CLIENT",IFERROR(VLOOKUP(C4023,Config_Carteiras!$A:$B,2,FALSE),1),"")</f>
        <v/>
      </c>
      <c r="F4023" s="25">
        <v>0</v>
      </c>
      <c r="G4023" s="28" t="str">
        <f>IF(LEFT(D4023,6)="CLIENT",IF(E4023=0,WORKDAY(A4023-1,1,Dias_Sem_Compensacao!$A$2:$A$500),WORKDAY(A4023,E4023,Dias_Sem_Compensacao!$A$2:$A$500)),"")</f>
        <v/>
      </c>
      <c r="H4023" s="25">
        <v>361.99</v>
      </c>
      <c r="I4023" s="28">
        <v>46309</v>
      </c>
      <c r="K4023" t="s">
        <v>3686</v>
      </c>
    </row>
    <row r="4024" spans="1:11" hidden="1">
      <c r="A4024" s="28">
        <v>46309</v>
      </c>
      <c r="B4024" t="s">
        <v>3523</v>
      </c>
      <c r="C4024" t="s">
        <v>151</v>
      </c>
      <c r="D4024" t="s">
        <v>3462</v>
      </c>
      <c r="E4024" t="str">
        <f>IF(LEFT(D4024,6)="CLIENT",IFERROR(VLOOKUP(C4024,Config_Carteiras!$A:$B,2,FALSE),1),"")</f>
        <v/>
      </c>
      <c r="F4024" s="25">
        <v>0</v>
      </c>
      <c r="G4024" s="28" t="str">
        <f>IF(LEFT(D4024,6)="CLIENT",IF(E4024=0,WORKDAY(A4024-1,1,Dias_Sem_Compensacao!$A$2:$A$500),WORKDAY(A4024,E4024,Dias_Sem_Compensacao!$A$2:$A$500)),"")</f>
        <v/>
      </c>
      <c r="H4024" s="25">
        <v>186.62</v>
      </c>
      <c r="I4024" s="28">
        <v>46309</v>
      </c>
      <c r="K4024" t="s">
        <v>3687</v>
      </c>
    </row>
    <row r="4025" spans="1:11" hidden="1">
      <c r="A4025" s="28">
        <v>46309</v>
      </c>
      <c r="B4025" t="s">
        <v>3523</v>
      </c>
      <c r="C4025" t="s">
        <v>151</v>
      </c>
      <c r="D4025" t="s">
        <v>3462</v>
      </c>
      <c r="E4025" t="str">
        <f>IF(LEFT(D4025,6)="CLIENT",IFERROR(VLOOKUP(C4025,Config_Carteiras!$A:$B,2,FALSE),1),"")</f>
        <v/>
      </c>
      <c r="F4025" s="25">
        <v>0</v>
      </c>
      <c r="G4025" s="28" t="str">
        <f>IF(LEFT(D4025,6)="CLIENT",IF(E4025=0,WORKDAY(A4025-1,1,Dias_Sem_Compensacao!$A$2:$A$500),WORKDAY(A4025,E4025,Dias_Sem_Compensacao!$A$2:$A$500)),"")</f>
        <v/>
      </c>
      <c r="H4025" s="25">
        <v>361.99</v>
      </c>
      <c r="I4025" s="28">
        <v>46309</v>
      </c>
      <c r="K4025" t="s">
        <v>3688</v>
      </c>
    </row>
    <row r="4026" spans="1:11" hidden="1">
      <c r="A4026" s="28">
        <v>46309</v>
      </c>
      <c r="B4026" t="s">
        <v>3523</v>
      </c>
      <c r="C4026" t="s">
        <v>151</v>
      </c>
      <c r="D4026" t="s">
        <v>3462</v>
      </c>
      <c r="E4026" t="str">
        <f>IF(LEFT(D4026,6)="CLIENT",IFERROR(VLOOKUP(C4026,Config_Carteiras!$A:$B,2,FALSE),1),"")</f>
        <v/>
      </c>
      <c r="F4026" s="25">
        <v>0</v>
      </c>
      <c r="G4026" s="28" t="str">
        <f>IF(LEFT(D4026,6)="CLIENT",IF(E4026=0,WORKDAY(A4026-1,1,Dias_Sem_Compensacao!$A$2:$A$500),WORKDAY(A4026,E4026,Dias_Sem_Compensacao!$A$2:$A$500)),"")</f>
        <v/>
      </c>
      <c r="H4026" s="25">
        <v>1240.43</v>
      </c>
      <c r="I4026" s="28">
        <v>46309</v>
      </c>
      <c r="K4026" t="s">
        <v>3689</v>
      </c>
    </row>
    <row r="4027" spans="1:11" hidden="1">
      <c r="A4027" s="28">
        <v>46309</v>
      </c>
      <c r="B4027" t="s">
        <v>3523</v>
      </c>
      <c r="C4027" t="s">
        <v>151</v>
      </c>
      <c r="D4027" t="s">
        <v>3462</v>
      </c>
      <c r="E4027" t="str">
        <f>IF(LEFT(D4027,6)="CLIENT",IFERROR(VLOOKUP(C4027,Config_Carteiras!$A:$B,2,FALSE),1),"")</f>
        <v/>
      </c>
      <c r="F4027" s="25">
        <v>0</v>
      </c>
      <c r="G4027" s="28" t="str">
        <f>IF(LEFT(D4027,6)="CLIENT",IF(E4027=0,WORKDAY(A4027-1,1,Dias_Sem_Compensacao!$A$2:$A$500),WORKDAY(A4027,E4027,Dias_Sem_Compensacao!$A$2:$A$500)),"")</f>
        <v/>
      </c>
      <c r="H4027" s="25">
        <v>211.77</v>
      </c>
      <c r="I4027" s="28">
        <v>46309</v>
      </c>
      <c r="K4027" t="s">
        <v>3690</v>
      </c>
    </row>
    <row r="4028" spans="1:11" hidden="1">
      <c r="A4028" s="28">
        <v>46309</v>
      </c>
      <c r="B4028" t="s">
        <v>3523</v>
      </c>
      <c r="C4028" t="s">
        <v>151</v>
      </c>
      <c r="D4028" t="s">
        <v>3462</v>
      </c>
      <c r="E4028" t="str">
        <f>IF(LEFT(D4028,6)="CLIENT",IFERROR(VLOOKUP(C4028,Config_Carteiras!$A:$B,2,FALSE),1),"")</f>
        <v/>
      </c>
      <c r="F4028" s="25">
        <v>0</v>
      </c>
      <c r="G4028" s="28" t="str">
        <f>IF(LEFT(D4028,6)="CLIENT",IF(E4028=0,WORKDAY(A4028-1,1,Dias_Sem_Compensacao!$A$2:$A$500),WORKDAY(A4028,E4028,Dias_Sem_Compensacao!$A$2:$A$500)),"")</f>
        <v/>
      </c>
      <c r="H4028" s="25">
        <v>484.74</v>
      </c>
      <c r="I4028" s="28">
        <v>46309</v>
      </c>
      <c r="K4028" t="s">
        <v>3691</v>
      </c>
    </row>
    <row r="4029" spans="1:11" hidden="1">
      <c r="A4029" s="28">
        <v>46309</v>
      </c>
      <c r="B4029" t="s">
        <v>3523</v>
      </c>
      <c r="C4029" t="s">
        <v>151</v>
      </c>
      <c r="D4029" t="s">
        <v>3462</v>
      </c>
      <c r="E4029" t="str">
        <f>IF(LEFT(D4029,6)="CLIENT",IFERROR(VLOOKUP(C4029,Config_Carteiras!$A:$B,2,FALSE),1),"")</f>
        <v/>
      </c>
      <c r="F4029" s="25">
        <v>0</v>
      </c>
      <c r="G4029" s="28" t="str">
        <f>IF(LEFT(D4029,6)="CLIENT",IF(E4029=0,WORKDAY(A4029-1,1,Dias_Sem_Compensacao!$A$2:$A$500),WORKDAY(A4029,E4029,Dias_Sem_Compensacao!$A$2:$A$500)),"")</f>
        <v/>
      </c>
      <c r="H4029" s="25">
        <v>112.51</v>
      </c>
      <c r="I4029" s="28">
        <v>46309</v>
      </c>
      <c r="K4029" t="s">
        <v>3692</v>
      </c>
    </row>
    <row r="4030" spans="1:11" hidden="1">
      <c r="A4030" s="28">
        <v>46309</v>
      </c>
      <c r="B4030" t="s">
        <v>3523</v>
      </c>
      <c r="C4030" t="s">
        <v>151</v>
      </c>
      <c r="D4030" t="s">
        <v>3462</v>
      </c>
      <c r="E4030" t="str">
        <f>IF(LEFT(D4030,6)="CLIENT",IFERROR(VLOOKUP(C4030,Config_Carteiras!$A:$B,2,FALSE),1),"")</f>
        <v/>
      </c>
      <c r="F4030" s="25">
        <v>0</v>
      </c>
      <c r="G4030" s="28" t="str">
        <f>IF(LEFT(D4030,6)="CLIENT",IF(E4030=0,WORKDAY(A4030-1,1,Dias_Sem_Compensacao!$A$2:$A$500),WORKDAY(A4030,E4030,Dias_Sem_Compensacao!$A$2:$A$500)),"")</f>
        <v/>
      </c>
      <c r="H4030" s="25">
        <v>69.069999999999993</v>
      </c>
      <c r="I4030" s="28">
        <v>46309</v>
      </c>
      <c r="K4030" t="s">
        <v>3693</v>
      </c>
    </row>
    <row r="4031" spans="1:11" hidden="1">
      <c r="A4031" s="28">
        <v>46309</v>
      </c>
      <c r="B4031" t="s">
        <v>3523</v>
      </c>
      <c r="C4031" t="s">
        <v>151</v>
      </c>
      <c r="D4031" t="s">
        <v>3462</v>
      </c>
      <c r="E4031" t="str">
        <f>IF(LEFT(D4031,6)="CLIENT",IFERROR(VLOOKUP(C4031,Config_Carteiras!$A:$B,2,FALSE),1),"")</f>
        <v/>
      </c>
      <c r="F4031" s="25">
        <v>0</v>
      </c>
      <c r="G4031" s="28" t="str">
        <f>IF(LEFT(D4031,6)="CLIENT",IF(E4031=0,WORKDAY(A4031-1,1,Dias_Sem_Compensacao!$A$2:$A$500),WORKDAY(A4031,E4031,Dias_Sem_Compensacao!$A$2:$A$500)),"")</f>
        <v/>
      </c>
      <c r="H4031" s="25">
        <v>117.41</v>
      </c>
      <c r="I4031" s="28">
        <v>46309</v>
      </c>
      <c r="K4031" t="s">
        <v>3694</v>
      </c>
    </row>
    <row r="4032" spans="1:11" hidden="1">
      <c r="A4032" s="28">
        <v>46309</v>
      </c>
      <c r="B4032" t="s">
        <v>3523</v>
      </c>
      <c r="C4032" t="s">
        <v>151</v>
      </c>
      <c r="D4032" t="s">
        <v>3462</v>
      </c>
      <c r="E4032" t="str">
        <f>IF(LEFT(D4032,6)="CLIENT",IFERROR(VLOOKUP(C4032,Config_Carteiras!$A:$B,2,FALSE),1),"")</f>
        <v/>
      </c>
      <c r="F4032" s="25">
        <v>0</v>
      </c>
      <c r="G4032" s="28" t="str">
        <f>IF(LEFT(D4032,6)="CLIENT",IF(E4032=0,WORKDAY(A4032-1,1,Dias_Sem_Compensacao!$A$2:$A$500),WORKDAY(A4032,E4032,Dias_Sem_Compensacao!$A$2:$A$500)),"")</f>
        <v/>
      </c>
      <c r="H4032" s="25">
        <v>198.93</v>
      </c>
      <c r="I4032" s="28">
        <v>46309</v>
      </c>
      <c r="K4032" t="s">
        <v>3695</v>
      </c>
    </row>
    <row r="4033" spans="1:11" hidden="1">
      <c r="A4033" s="28">
        <v>46309</v>
      </c>
      <c r="B4033" t="s">
        <v>3523</v>
      </c>
      <c r="C4033" t="s">
        <v>151</v>
      </c>
      <c r="D4033" t="s">
        <v>3462</v>
      </c>
      <c r="E4033" t="str">
        <f>IF(LEFT(D4033,6)="CLIENT",IFERROR(VLOOKUP(C4033,Config_Carteiras!$A:$B,2,FALSE),1),"")</f>
        <v/>
      </c>
      <c r="F4033" s="25">
        <v>0</v>
      </c>
      <c r="G4033" s="28" t="str">
        <f>IF(LEFT(D4033,6)="CLIENT",IF(E4033=0,WORKDAY(A4033-1,1,Dias_Sem_Compensacao!$A$2:$A$500),WORKDAY(A4033,E4033,Dias_Sem_Compensacao!$A$2:$A$500)),"")</f>
        <v/>
      </c>
      <c r="H4033" s="25">
        <v>150.65</v>
      </c>
      <c r="I4033" s="28">
        <v>46309</v>
      </c>
      <c r="K4033" t="s">
        <v>3696</v>
      </c>
    </row>
    <row r="4034" spans="1:11" hidden="1">
      <c r="A4034" s="28">
        <v>46309</v>
      </c>
      <c r="B4034" t="s">
        <v>3523</v>
      </c>
      <c r="C4034" t="s">
        <v>151</v>
      </c>
      <c r="D4034" t="s">
        <v>3462</v>
      </c>
      <c r="E4034" t="str">
        <f>IF(LEFT(D4034,6)="CLIENT",IFERROR(VLOOKUP(C4034,Config_Carteiras!$A:$B,2,FALSE),1),"")</f>
        <v/>
      </c>
      <c r="F4034" s="25">
        <v>0</v>
      </c>
      <c r="G4034" s="28" t="str">
        <f>IF(LEFT(D4034,6)="CLIENT",IF(E4034=0,WORKDAY(A4034-1,1,Dias_Sem_Compensacao!$A$2:$A$500),WORKDAY(A4034,E4034,Dias_Sem_Compensacao!$A$2:$A$500)),"")</f>
        <v/>
      </c>
      <c r="H4034" s="25">
        <v>69.069999999999993</v>
      </c>
      <c r="I4034" s="28">
        <v>46309</v>
      </c>
      <c r="K4034" t="s">
        <v>3697</v>
      </c>
    </row>
    <row r="4035" spans="1:11" hidden="1">
      <c r="A4035" s="28">
        <v>46309</v>
      </c>
      <c r="B4035" t="s">
        <v>3523</v>
      </c>
      <c r="C4035" t="s">
        <v>151</v>
      </c>
      <c r="D4035" t="s">
        <v>3462</v>
      </c>
      <c r="E4035" t="str">
        <f>IF(LEFT(D4035,6)="CLIENT",IFERROR(VLOOKUP(C4035,Config_Carteiras!$A:$B,2,FALSE),1),"")</f>
        <v/>
      </c>
      <c r="F4035" s="25">
        <v>0</v>
      </c>
      <c r="G4035" s="28" t="str">
        <f>IF(LEFT(D4035,6)="CLIENT",IF(E4035=0,WORKDAY(A4035-1,1,Dias_Sem_Compensacao!$A$2:$A$500),WORKDAY(A4035,E4035,Dias_Sem_Compensacao!$A$2:$A$500)),"")</f>
        <v/>
      </c>
      <c r="H4035" s="25">
        <v>122.51</v>
      </c>
      <c r="I4035" s="28">
        <v>46309</v>
      </c>
      <c r="K4035" t="s">
        <v>3698</v>
      </c>
    </row>
    <row r="4036" spans="1:11" hidden="1">
      <c r="A4036" s="28">
        <v>46309</v>
      </c>
      <c r="B4036" t="s">
        <v>3523</v>
      </c>
      <c r="C4036" t="s">
        <v>151</v>
      </c>
      <c r="D4036" t="s">
        <v>3462</v>
      </c>
      <c r="E4036" t="str">
        <f>IF(LEFT(D4036,6)="CLIENT",IFERROR(VLOOKUP(C4036,Config_Carteiras!$A:$B,2,FALSE),1),"")</f>
        <v/>
      </c>
      <c r="F4036" s="25">
        <v>0</v>
      </c>
      <c r="G4036" s="28" t="str">
        <f>IF(LEFT(D4036,6)="CLIENT",IF(E4036=0,WORKDAY(A4036-1,1,Dias_Sem_Compensacao!$A$2:$A$500),WORKDAY(A4036,E4036,Dias_Sem_Compensacao!$A$2:$A$500)),"")</f>
        <v/>
      </c>
      <c r="H4036" s="25">
        <v>1485.98</v>
      </c>
      <c r="I4036" s="28">
        <v>46309</v>
      </c>
      <c r="K4036" t="s">
        <v>3699</v>
      </c>
    </row>
    <row r="4037" spans="1:11" hidden="1">
      <c r="A4037" s="28">
        <v>46309</v>
      </c>
      <c r="B4037" t="s">
        <v>3523</v>
      </c>
      <c r="C4037" t="s">
        <v>151</v>
      </c>
      <c r="D4037" t="s">
        <v>3462</v>
      </c>
      <c r="E4037" t="str">
        <f>IF(LEFT(D4037,6)="CLIENT",IFERROR(VLOOKUP(C4037,Config_Carteiras!$A:$B,2,FALSE),1),"")</f>
        <v/>
      </c>
      <c r="F4037" s="25">
        <v>0</v>
      </c>
      <c r="G4037" s="28" t="str">
        <f>IF(LEFT(D4037,6)="CLIENT",IF(E4037=0,WORKDAY(A4037-1,1,Dias_Sem_Compensacao!$A$2:$A$500),WORKDAY(A4037,E4037,Dias_Sem_Compensacao!$A$2:$A$500)),"")</f>
        <v/>
      </c>
      <c r="H4037" s="25">
        <v>172.86</v>
      </c>
      <c r="I4037" s="28">
        <v>46309</v>
      </c>
      <c r="K4037" t="s">
        <v>3700</v>
      </c>
    </row>
    <row r="4038" spans="1:11" hidden="1">
      <c r="A4038" s="28">
        <v>46309</v>
      </c>
      <c r="B4038" t="s">
        <v>3523</v>
      </c>
      <c r="C4038" t="s">
        <v>151</v>
      </c>
      <c r="D4038" t="s">
        <v>3462</v>
      </c>
      <c r="E4038" t="str">
        <f>IF(LEFT(D4038,6)="CLIENT",IFERROR(VLOOKUP(C4038,Config_Carteiras!$A:$B,2,FALSE),1),"")</f>
        <v/>
      </c>
      <c r="F4038" s="25">
        <v>0</v>
      </c>
      <c r="G4038" s="28" t="str">
        <f>IF(LEFT(D4038,6)="CLIENT",IF(E4038=0,WORKDAY(A4038-1,1,Dias_Sem_Compensacao!$A$2:$A$500),WORKDAY(A4038,E4038,Dias_Sem_Compensacao!$A$2:$A$500)),"")</f>
        <v/>
      </c>
      <c r="H4038" s="25">
        <v>217.16</v>
      </c>
      <c r="I4038" s="28">
        <v>46309</v>
      </c>
      <c r="K4038" t="s">
        <v>3701</v>
      </c>
    </row>
    <row r="4039" spans="1:11" hidden="1">
      <c r="A4039" s="28">
        <v>46309</v>
      </c>
      <c r="B4039" t="s">
        <v>3523</v>
      </c>
      <c r="C4039" t="s">
        <v>151</v>
      </c>
      <c r="D4039" t="s">
        <v>3462</v>
      </c>
      <c r="E4039" t="str">
        <f>IF(LEFT(D4039,6)="CLIENT",IFERROR(VLOOKUP(C4039,Config_Carteiras!$A:$B,2,FALSE),1),"")</f>
        <v/>
      </c>
      <c r="F4039" s="25">
        <v>0</v>
      </c>
      <c r="G4039" s="28" t="str">
        <f>IF(LEFT(D4039,6)="CLIENT",IF(E4039=0,WORKDAY(A4039-1,1,Dias_Sem_Compensacao!$A$2:$A$500),WORKDAY(A4039,E4039,Dias_Sem_Compensacao!$A$2:$A$500)),"")</f>
        <v/>
      </c>
      <c r="H4039" s="25">
        <v>259.88</v>
      </c>
      <c r="I4039" s="28">
        <v>46309</v>
      </c>
      <c r="K4039" t="s">
        <v>3702</v>
      </c>
    </row>
    <row r="4040" spans="1:11" hidden="1">
      <c r="A4040" s="28">
        <v>46309</v>
      </c>
      <c r="B4040" t="s">
        <v>3523</v>
      </c>
      <c r="C4040" t="s">
        <v>151</v>
      </c>
      <c r="D4040" t="s">
        <v>3462</v>
      </c>
      <c r="E4040" t="str">
        <f>IF(LEFT(D4040,6)="CLIENT",IFERROR(VLOOKUP(C4040,Config_Carteiras!$A:$B,2,FALSE),1),"")</f>
        <v/>
      </c>
      <c r="F4040" s="25">
        <v>0</v>
      </c>
      <c r="G4040" s="28" t="str">
        <f>IF(LEFT(D4040,6)="CLIENT",IF(E4040=0,WORKDAY(A4040-1,1,Dias_Sem_Compensacao!$A$2:$A$500),WORKDAY(A4040,E4040,Dias_Sem_Compensacao!$A$2:$A$500)),"")</f>
        <v/>
      </c>
      <c r="H4040" s="25">
        <v>185.81</v>
      </c>
      <c r="I4040" s="28">
        <v>46309</v>
      </c>
      <c r="J4040" t="s">
        <v>130</v>
      </c>
      <c r="K4040" t="s">
        <v>3703</v>
      </c>
    </row>
    <row r="4041" spans="1:11" hidden="1">
      <c r="A4041" s="28">
        <v>46309</v>
      </c>
      <c r="B4041" t="s">
        <v>3523</v>
      </c>
      <c r="C4041" t="s">
        <v>151</v>
      </c>
      <c r="D4041" t="s">
        <v>3462</v>
      </c>
      <c r="E4041" t="str">
        <f>IF(LEFT(D4041,6)="CLIENT",IFERROR(VLOOKUP(C4041,Config_Carteiras!$A:$B,2,FALSE),1),"")</f>
        <v/>
      </c>
      <c r="F4041" s="25">
        <v>0</v>
      </c>
      <c r="G4041" s="28" t="str">
        <f>IF(LEFT(D4041,6)="CLIENT",IF(E4041=0,WORKDAY(A4041-1,1,Dias_Sem_Compensacao!$A$2:$A$500),WORKDAY(A4041,E4041,Dias_Sem_Compensacao!$A$2:$A$500)),"")</f>
        <v/>
      </c>
      <c r="H4041" s="25">
        <v>321.85000000000002</v>
      </c>
      <c r="I4041" s="28">
        <v>46309</v>
      </c>
      <c r="K4041" t="s">
        <v>3704</v>
      </c>
    </row>
    <row r="4042" spans="1:11" hidden="1">
      <c r="A4042" s="28">
        <v>46309</v>
      </c>
      <c r="B4042" t="s">
        <v>3523</v>
      </c>
      <c r="C4042" t="s">
        <v>151</v>
      </c>
      <c r="D4042" t="s">
        <v>3462</v>
      </c>
      <c r="E4042" t="str">
        <f>IF(LEFT(D4042,6)="CLIENT",IFERROR(VLOOKUP(C4042,Config_Carteiras!$A:$B,2,FALSE),1),"")</f>
        <v/>
      </c>
      <c r="F4042" s="25">
        <v>0</v>
      </c>
      <c r="G4042" s="28" t="str">
        <f>IF(LEFT(D4042,6)="CLIENT",IF(E4042=0,WORKDAY(A4042-1,1,Dias_Sem_Compensacao!$A$2:$A$500),WORKDAY(A4042,E4042,Dias_Sem_Compensacao!$A$2:$A$500)),"")</f>
        <v/>
      </c>
      <c r="H4042" s="25">
        <v>210.72</v>
      </c>
      <c r="I4042" s="28">
        <v>46309</v>
      </c>
      <c r="K4042" t="s">
        <v>3705</v>
      </c>
    </row>
    <row r="4043" spans="1:11" hidden="1">
      <c r="A4043" s="28">
        <v>46309</v>
      </c>
      <c r="B4043" t="s">
        <v>3523</v>
      </c>
      <c r="C4043" t="s">
        <v>151</v>
      </c>
      <c r="D4043" t="s">
        <v>3462</v>
      </c>
      <c r="E4043" t="str">
        <f>IF(LEFT(D4043,6)="CLIENT",IFERROR(VLOOKUP(C4043,Config_Carteiras!$A:$B,2,FALSE),1),"")</f>
        <v/>
      </c>
      <c r="F4043" s="25">
        <v>0</v>
      </c>
      <c r="G4043" s="28" t="str">
        <f>IF(LEFT(D4043,6)="CLIENT",IF(E4043=0,WORKDAY(A4043-1,1,Dias_Sem_Compensacao!$A$2:$A$500),WORKDAY(A4043,E4043,Dias_Sem_Compensacao!$A$2:$A$500)),"")</f>
        <v/>
      </c>
      <c r="H4043" s="25">
        <v>487.27</v>
      </c>
      <c r="I4043" s="28">
        <v>46309</v>
      </c>
      <c r="K4043" t="s">
        <v>3706</v>
      </c>
    </row>
    <row r="4044" spans="1:11" hidden="1">
      <c r="A4044" s="28">
        <v>46309</v>
      </c>
      <c r="B4044" t="s">
        <v>3523</v>
      </c>
      <c r="C4044" t="s">
        <v>151</v>
      </c>
      <c r="D4044" t="s">
        <v>3462</v>
      </c>
      <c r="E4044" t="str">
        <f>IF(LEFT(D4044,6)="CLIENT",IFERROR(VLOOKUP(C4044,Config_Carteiras!$A:$B,2,FALSE),1),"")</f>
        <v/>
      </c>
      <c r="F4044" s="25">
        <v>0</v>
      </c>
      <c r="G4044" s="28" t="str">
        <f>IF(LEFT(D4044,6)="CLIENT",IF(E4044=0,WORKDAY(A4044-1,1,Dias_Sem_Compensacao!$A$2:$A$500),WORKDAY(A4044,E4044,Dias_Sem_Compensacao!$A$2:$A$500)),"")</f>
        <v/>
      </c>
      <c r="H4044" s="25">
        <v>298.60000000000002</v>
      </c>
      <c r="I4044" s="28">
        <v>46309</v>
      </c>
      <c r="K4044" t="s">
        <v>3707</v>
      </c>
    </row>
    <row r="4045" spans="1:11" hidden="1">
      <c r="A4045" s="28">
        <v>46309</v>
      </c>
      <c r="B4045" t="s">
        <v>3523</v>
      </c>
      <c r="C4045" t="s">
        <v>151</v>
      </c>
      <c r="D4045" t="s">
        <v>3462</v>
      </c>
      <c r="E4045" t="str">
        <f>IF(LEFT(D4045,6)="CLIENT",IFERROR(VLOOKUP(C4045,Config_Carteiras!$A:$B,2,FALSE),1),"")</f>
        <v/>
      </c>
      <c r="F4045" s="25">
        <v>0</v>
      </c>
      <c r="G4045" s="28" t="str">
        <f>IF(LEFT(D4045,6)="CLIENT",IF(E4045=0,WORKDAY(A4045-1,1,Dias_Sem_Compensacao!$A$2:$A$500),WORKDAY(A4045,E4045,Dias_Sem_Compensacao!$A$2:$A$500)),"")</f>
        <v/>
      </c>
      <c r="H4045" s="25">
        <v>84.69</v>
      </c>
      <c r="I4045" s="28">
        <v>46309</v>
      </c>
      <c r="K4045" t="s">
        <v>3708</v>
      </c>
    </row>
    <row r="4046" spans="1:11" hidden="1">
      <c r="A4046" s="28">
        <v>46309</v>
      </c>
      <c r="B4046" t="s">
        <v>3523</v>
      </c>
      <c r="C4046" t="s">
        <v>151</v>
      </c>
      <c r="D4046" t="s">
        <v>3462</v>
      </c>
      <c r="E4046" t="str">
        <f>IF(LEFT(D4046,6)="CLIENT",IFERROR(VLOOKUP(C4046,Config_Carteiras!$A:$B,2,FALSE),1),"")</f>
        <v/>
      </c>
      <c r="F4046" s="25">
        <v>0</v>
      </c>
      <c r="G4046" s="28" t="str">
        <f>IF(LEFT(D4046,6)="CLIENT",IF(E4046=0,WORKDAY(A4046-1,1,Dias_Sem_Compensacao!$A$2:$A$500),WORKDAY(A4046,E4046,Dias_Sem_Compensacao!$A$2:$A$500)),"")</f>
        <v/>
      </c>
      <c r="H4046" s="25">
        <v>234.69</v>
      </c>
      <c r="I4046" s="28">
        <v>46309</v>
      </c>
      <c r="K4046" t="s">
        <v>3709</v>
      </c>
    </row>
    <row r="4047" spans="1:11" hidden="1">
      <c r="A4047" s="28">
        <v>46309</v>
      </c>
      <c r="B4047" t="s">
        <v>3523</v>
      </c>
      <c r="C4047" t="s">
        <v>151</v>
      </c>
      <c r="D4047" t="s">
        <v>3462</v>
      </c>
      <c r="E4047" t="str">
        <f>IF(LEFT(D4047,6)="CLIENT",IFERROR(VLOOKUP(C4047,Config_Carteiras!$A:$B,2,FALSE),1),"")</f>
        <v/>
      </c>
      <c r="F4047" s="25">
        <v>0</v>
      </c>
      <c r="G4047" s="28" t="str">
        <f>IF(LEFT(D4047,6)="CLIENT",IF(E4047=0,WORKDAY(A4047-1,1,Dias_Sem_Compensacao!$A$2:$A$500),WORKDAY(A4047,E4047,Dias_Sem_Compensacao!$A$2:$A$500)),"")</f>
        <v/>
      </c>
      <c r="H4047" s="25">
        <v>287.74</v>
      </c>
      <c r="I4047" s="28">
        <v>46309</v>
      </c>
      <c r="K4047" t="s">
        <v>3710</v>
      </c>
    </row>
    <row r="4048" spans="1:11" hidden="1">
      <c r="A4048" s="28">
        <v>46309</v>
      </c>
      <c r="B4048" t="s">
        <v>3523</v>
      </c>
      <c r="C4048" t="s">
        <v>151</v>
      </c>
      <c r="D4048" t="s">
        <v>3462</v>
      </c>
      <c r="E4048" t="str">
        <f>IF(LEFT(D4048,6)="CLIENT",IFERROR(VLOOKUP(C4048,Config_Carteiras!$A:$B,2,FALSE),1),"")</f>
        <v/>
      </c>
      <c r="F4048" s="25">
        <v>0</v>
      </c>
      <c r="G4048" s="28" t="str">
        <f>IF(LEFT(D4048,6)="CLIENT",IF(E4048=0,WORKDAY(A4048-1,1,Dias_Sem_Compensacao!$A$2:$A$500),WORKDAY(A4048,E4048,Dias_Sem_Compensacao!$A$2:$A$500)),"")</f>
        <v/>
      </c>
      <c r="H4048" s="25">
        <v>356.02</v>
      </c>
      <c r="I4048" s="28">
        <v>46309</v>
      </c>
      <c r="K4048" t="s">
        <v>3711</v>
      </c>
    </row>
    <row r="4049" spans="1:11" hidden="1">
      <c r="A4049" s="28">
        <v>46309</v>
      </c>
      <c r="B4049" t="s">
        <v>3523</v>
      </c>
      <c r="C4049" t="s">
        <v>151</v>
      </c>
      <c r="D4049" t="s">
        <v>3462</v>
      </c>
      <c r="E4049" t="str">
        <f>IF(LEFT(D4049,6)="CLIENT",IFERROR(VLOOKUP(C4049,Config_Carteiras!$A:$B,2,FALSE),1),"")</f>
        <v/>
      </c>
      <c r="F4049" s="25">
        <v>0</v>
      </c>
      <c r="G4049" s="28" t="str">
        <f>IF(LEFT(D4049,6)="CLIENT",IF(E4049=0,WORKDAY(A4049-1,1,Dias_Sem_Compensacao!$A$2:$A$500),WORKDAY(A4049,E4049,Dias_Sem_Compensacao!$A$2:$A$500)),"")</f>
        <v/>
      </c>
      <c r="H4049" s="25">
        <v>168.33</v>
      </c>
      <c r="I4049" s="28">
        <v>46309</v>
      </c>
      <c r="K4049" t="s">
        <v>3712</v>
      </c>
    </row>
    <row r="4050" spans="1:11" hidden="1">
      <c r="A4050" s="28">
        <v>46309</v>
      </c>
      <c r="B4050" t="s">
        <v>3523</v>
      </c>
      <c r="C4050" t="s">
        <v>151</v>
      </c>
      <c r="D4050" t="s">
        <v>3462</v>
      </c>
      <c r="E4050" t="str">
        <f>IF(LEFT(D4050,6)="CLIENT",IFERROR(VLOOKUP(C4050,Config_Carteiras!$A:$B,2,FALSE),1),"")</f>
        <v/>
      </c>
      <c r="F4050" s="25">
        <v>0</v>
      </c>
      <c r="G4050" s="28" t="str">
        <f>IF(LEFT(D4050,6)="CLIENT",IF(E4050=0,WORKDAY(A4050-1,1,Dias_Sem_Compensacao!$A$2:$A$500),WORKDAY(A4050,E4050,Dias_Sem_Compensacao!$A$2:$A$500)),"")</f>
        <v/>
      </c>
      <c r="H4050" s="25">
        <v>170.03</v>
      </c>
      <c r="I4050" s="28">
        <v>46309</v>
      </c>
      <c r="K4050" t="s">
        <v>3713</v>
      </c>
    </row>
    <row r="4051" spans="1:11" hidden="1">
      <c r="A4051" s="28">
        <v>46309</v>
      </c>
      <c r="B4051" t="s">
        <v>3523</v>
      </c>
      <c r="C4051" t="s">
        <v>151</v>
      </c>
      <c r="D4051" t="s">
        <v>3462</v>
      </c>
      <c r="E4051" t="str">
        <f>IF(LEFT(D4051,6)="CLIENT",IFERROR(VLOOKUP(C4051,Config_Carteiras!$A:$B,2,FALSE),1),"")</f>
        <v/>
      </c>
      <c r="F4051" s="25">
        <v>0</v>
      </c>
      <c r="G4051" s="28" t="str">
        <f>IF(LEFT(D4051,6)="CLIENT",IF(E4051=0,WORKDAY(A4051-1,1,Dias_Sem_Compensacao!$A$2:$A$500),WORKDAY(A4051,E4051,Dias_Sem_Compensacao!$A$2:$A$500)),"")</f>
        <v/>
      </c>
      <c r="H4051" s="25">
        <v>521.64</v>
      </c>
      <c r="I4051" s="28">
        <v>46309</v>
      </c>
      <c r="K4051" t="s">
        <v>3714</v>
      </c>
    </row>
    <row r="4052" spans="1:11" hidden="1">
      <c r="A4052" s="28">
        <v>46309</v>
      </c>
      <c r="B4052" t="s">
        <v>3523</v>
      </c>
      <c r="C4052" t="s">
        <v>151</v>
      </c>
      <c r="D4052" t="s">
        <v>3462</v>
      </c>
      <c r="E4052" t="str">
        <f>IF(LEFT(D4052,6)="CLIENT",IFERROR(VLOOKUP(C4052,Config_Carteiras!$A:$B,2,FALSE),1),"")</f>
        <v/>
      </c>
      <c r="F4052" s="25">
        <v>0</v>
      </c>
      <c r="G4052" s="28" t="str">
        <f>IF(LEFT(D4052,6)="CLIENT",IF(E4052=0,WORKDAY(A4052-1,1,Dias_Sem_Compensacao!$A$2:$A$500),WORKDAY(A4052,E4052,Dias_Sem_Compensacao!$A$2:$A$500)),"")</f>
        <v/>
      </c>
      <c r="H4052" s="25">
        <v>135.55000000000001</v>
      </c>
      <c r="I4052" s="28">
        <v>46309</v>
      </c>
      <c r="K4052" t="s">
        <v>3715</v>
      </c>
    </row>
    <row r="4053" spans="1:11" hidden="1">
      <c r="A4053" s="28">
        <v>46309</v>
      </c>
      <c r="B4053" t="s">
        <v>3523</v>
      </c>
      <c r="C4053" t="s">
        <v>151</v>
      </c>
      <c r="D4053" t="s">
        <v>3462</v>
      </c>
      <c r="E4053" t="str">
        <f>IF(LEFT(D4053,6)="CLIENT",IFERROR(VLOOKUP(C4053,Config_Carteiras!$A:$B,2,FALSE),1),"")</f>
        <v/>
      </c>
      <c r="F4053" s="25">
        <v>0</v>
      </c>
      <c r="G4053" s="28" t="str">
        <f>IF(LEFT(D4053,6)="CLIENT",IF(E4053=0,WORKDAY(A4053-1,1,Dias_Sem_Compensacao!$A$2:$A$500),WORKDAY(A4053,E4053,Dias_Sem_Compensacao!$A$2:$A$500)),"")</f>
        <v/>
      </c>
      <c r="H4053" s="25">
        <v>508</v>
      </c>
      <c r="I4053" s="28">
        <v>46309</v>
      </c>
      <c r="J4053" t="s">
        <v>3716</v>
      </c>
      <c r="K4053" t="s">
        <v>3717</v>
      </c>
    </row>
    <row r="4054" spans="1:11" hidden="1">
      <c r="A4054" s="28">
        <v>46309</v>
      </c>
      <c r="B4054" t="s">
        <v>3523</v>
      </c>
      <c r="C4054" t="s">
        <v>151</v>
      </c>
      <c r="D4054" t="s">
        <v>3462</v>
      </c>
      <c r="E4054" t="str">
        <f>IF(LEFT(D4054,6)="CLIENT",IFERROR(VLOOKUP(C4054,Config_Carteiras!$A:$B,2,FALSE),1),"")</f>
        <v/>
      </c>
      <c r="F4054" s="25">
        <v>0</v>
      </c>
      <c r="G4054" s="28" t="str">
        <f>IF(LEFT(D4054,6)="CLIENT",IF(E4054=0,WORKDAY(A4054-1,1,Dias_Sem_Compensacao!$A$2:$A$500),WORKDAY(A4054,E4054,Dias_Sem_Compensacao!$A$2:$A$500)),"")</f>
        <v/>
      </c>
      <c r="H4054" s="25">
        <v>781.4</v>
      </c>
      <c r="I4054" s="28">
        <v>46309</v>
      </c>
      <c r="J4054" t="s">
        <v>157</v>
      </c>
      <c r="K4054" t="s">
        <v>3718</v>
      </c>
    </row>
    <row r="4055" spans="1:11" hidden="1">
      <c r="A4055" s="28">
        <v>46309</v>
      </c>
      <c r="B4055" t="s">
        <v>3523</v>
      </c>
      <c r="C4055" t="s">
        <v>151</v>
      </c>
      <c r="D4055" t="s">
        <v>3462</v>
      </c>
      <c r="E4055" t="str">
        <f>IF(LEFT(D4055,6)="CLIENT",IFERROR(VLOOKUP(C4055,Config_Carteiras!$A:$B,2,FALSE),1),"")</f>
        <v/>
      </c>
      <c r="F4055" s="25">
        <v>0</v>
      </c>
      <c r="G4055" s="28" t="str">
        <f>IF(LEFT(D4055,6)="CLIENT",IF(E4055=0,WORKDAY(A4055-1,1,Dias_Sem_Compensacao!$A$2:$A$500),WORKDAY(A4055,E4055,Dias_Sem_Compensacao!$A$2:$A$500)),"")</f>
        <v/>
      </c>
      <c r="H4055" s="25">
        <v>138</v>
      </c>
      <c r="I4055" s="28">
        <v>46309</v>
      </c>
      <c r="J4055" t="s">
        <v>160</v>
      </c>
      <c r="K4055" t="s">
        <v>3719</v>
      </c>
    </row>
    <row r="4056" spans="1:11" hidden="1">
      <c r="A4056" s="28">
        <v>46309</v>
      </c>
      <c r="B4056" t="s">
        <v>3523</v>
      </c>
      <c r="C4056" t="s">
        <v>151</v>
      </c>
      <c r="D4056" t="s">
        <v>3462</v>
      </c>
      <c r="E4056" t="str">
        <f>IF(LEFT(D4056,6)="CLIENT",IFERROR(VLOOKUP(C4056,Config_Carteiras!$A:$B,2,FALSE),1),"")</f>
        <v/>
      </c>
      <c r="F4056" s="25">
        <v>0</v>
      </c>
      <c r="G4056" s="28" t="str">
        <f>IF(LEFT(D4056,6)="CLIENT",IF(E4056=0,WORKDAY(A4056-1,1,Dias_Sem_Compensacao!$A$2:$A$500),WORKDAY(A4056,E4056,Dias_Sem_Compensacao!$A$2:$A$500)),"")</f>
        <v/>
      </c>
      <c r="H4056" s="25">
        <v>127.18</v>
      </c>
      <c r="I4056" s="28">
        <v>46309</v>
      </c>
      <c r="J4056" t="s">
        <v>3720</v>
      </c>
      <c r="K4056" t="s">
        <v>3721</v>
      </c>
    </row>
    <row r="4057" spans="1:11" hidden="1">
      <c r="A4057" s="28">
        <v>46309</v>
      </c>
      <c r="B4057" t="s">
        <v>3523</v>
      </c>
      <c r="C4057" t="s">
        <v>151</v>
      </c>
      <c r="D4057" t="s">
        <v>3462</v>
      </c>
      <c r="E4057" t="str">
        <f>IF(LEFT(D4057,6)="CLIENT",IFERROR(VLOOKUP(C4057,Config_Carteiras!$A:$B,2,FALSE),1),"")</f>
        <v/>
      </c>
      <c r="F4057" s="25">
        <v>0</v>
      </c>
      <c r="G4057" s="28" t="str">
        <f>IF(LEFT(D4057,6)="CLIENT",IF(E4057=0,WORKDAY(A4057-1,1,Dias_Sem_Compensacao!$A$2:$A$500),WORKDAY(A4057,E4057,Dias_Sem_Compensacao!$A$2:$A$500)),"")</f>
        <v/>
      </c>
      <c r="H4057" s="25">
        <v>30.35</v>
      </c>
      <c r="I4057" s="28">
        <v>46309</v>
      </c>
      <c r="K4057" t="s">
        <v>3722</v>
      </c>
    </row>
    <row r="4058" spans="1:11" hidden="1">
      <c r="A4058" s="28">
        <v>46309</v>
      </c>
      <c r="B4058" t="s">
        <v>3523</v>
      </c>
      <c r="C4058" t="s">
        <v>151</v>
      </c>
      <c r="D4058" t="s">
        <v>3462</v>
      </c>
      <c r="E4058" t="str">
        <f>IF(LEFT(D4058,6)="CLIENT",IFERROR(VLOOKUP(C4058,Config_Carteiras!$A:$B,2,FALSE),1),"")</f>
        <v/>
      </c>
      <c r="F4058" s="25">
        <v>0</v>
      </c>
      <c r="G4058" s="28" t="str">
        <f>IF(LEFT(D4058,6)="CLIENT",IF(E4058=0,WORKDAY(A4058-1,1,Dias_Sem_Compensacao!$A$2:$A$500),WORKDAY(A4058,E4058,Dias_Sem_Compensacao!$A$2:$A$500)),"")</f>
        <v/>
      </c>
      <c r="H4058" s="25">
        <v>12586.76</v>
      </c>
      <c r="I4058" s="28">
        <v>46309</v>
      </c>
      <c r="J4058" t="s">
        <v>40</v>
      </c>
      <c r="K4058" t="s">
        <v>3723</v>
      </c>
    </row>
    <row r="4059" spans="1:11" hidden="1">
      <c r="A4059" s="28">
        <v>46309</v>
      </c>
      <c r="B4059" t="s">
        <v>3523</v>
      </c>
      <c r="C4059" t="s">
        <v>151</v>
      </c>
      <c r="D4059" t="s">
        <v>3462</v>
      </c>
      <c r="E4059" t="str">
        <f>IF(LEFT(D4059,6)="CLIENT",IFERROR(VLOOKUP(C4059,Config_Carteiras!$A:$B,2,FALSE),1),"")</f>
        <v/>
      </c>
      <c r="F4059" s="25">
        <v>0</v>
      </c>
      <c r="G4059" s="28" t="str">
        <f>IF(LEFT(D4059,6)="CLIENT",IF(E4059=0,WORKDAY(A4059-1,1,Dias_Sem_Compensacao!$A$2:$A$500),WORKDAY(A4059,E4059,Dias_Sem_Compensacao!$A$2:$A$500)),"")</f>
        <v/>
      </c>
      <c r="H4059" s="25">
        <v>1131.72</v>
      </c>
      <c r="I4059" s="28">
        <v>46309</v>
      </c>
      <c r="J4059" t="s">
        <v>3724</v>
      </c>
      <c r="K4059" t="s">
        <v>3725</v>
      </c>
    </row>
    <row r="4060" spans="1:11" hidden="1">
      <c r="A4060" s="28">
        <v>46309</v>
      </c>
      <c r="B4060" t="s">
        <v>3523</v>
      </c>
      <c r="C4060" t="s">
        <v>151</v>
      </c>
      <c r="D4060" t="s">
        <v>3462</v>
      </c>
      <c r="E4060" t="str">
        <f>IF(LEFT(D4060,6)="CLIENT",IFERROR(VLOOKUP(C4060,Config_Carteiras!$A:$B,2,FALSE),1),"")</f>
        <v/>
      </c>
      <c r="F4060" s="25">
        <v>0</v>
      </c>
      <c r="G4060" s="28" t="str">
        <f>IF(LEFT(D4060,6)="CLIENT",IF(E4060=0,WORKDAY(A4060-1,1,Dias_Sem_Compensacao!$A$2:$A$500),WORKDAY(A4060,E4060,Dias_Sem_Compensacao!$A$2:$A$500)),"")</f>
        <v/>
      </c>
      <c r="H4060" s="25">
        <v>927.94</v>
      </c>
      <c r="I4060" s="28">
        <v>46309</v>
      </c>
      <c r="J4060" t="s">
        <v>3640</v>
      </c>
      <c r="K4060" t="s">
        <v>3726</v>
      </c>
    </row>
    <row r="4061" spans="1:11" hidden="1">
      <c r="A4061" s="28">
        <v>46309</v>
      </c>
      <c r="B4061" t="s">
        <v>3523</v>
      </c>
      <c r="C4061" t="s">
        <v>151</v>
      </c>
      <c r="D4061" t="s">
        <v>3462</v>
      </c>
      <c r="E4061" t="str">
        <f>IF(LEFT(D4061,6)="CLIENT",IFERROR(VLOOKUP(C4061,Config_Carteiras!$A:$B,2,FALSE),1),"")</f>
        <v/>
      </c>
      <c r="F4061" s="25">
        <v>0</v>
      </c>
      <c r="G4061" s="28" t="str">
        <f>IF(LEFT(D4061,6)="CLIENT",IF(E4061=0,WORKDAY(A4061-1,1,Dias_Sem_Compensacao!$A$2:$A$500),WORKDAY(A4061,E4061,Dias_Sem_Compensacao!$A$2:$A$500)),"")</f>
        <v/>
      </c>
      <c r="H4061" s="25">
        <v>11344.86</v>
      </c>
      <c r="I4061" s="28">
        <v>46309</v>
      </c>
      <c r="J4061" t="s">
        <v>46</v>
      </c>
      <c r="K4061" t="s">
        <v>3727</v>
      </c>
    </row>
    <row r="4062" spans="1:11" hidden="1">
      <c r="A4062" s="28">
        <v>46310</v>
      </c>
      <c r="B4062" t="s">
        <v>3523</v>
      </c>
      <c r="C4062" t="s">
        <v>151</v>
      </c>
      <c r="D4062" t="s">
        <v>3462</v>
      </c>
      <c r="E4062" t="str">
        <f>IF(LEFT(D4062,6)="CLIENT",IFERROR(VLOOKUP(C4062,Config_Carteiras!$A:$B,2,FALSE),1),"")</f>
        <v/>
      </c>
      <c r="F4062" s="25">
        <v>0</v>
      </c>
      <c r="G4062" s="28" t="str">
        <f>IF(LEFT(D4062,6)="CLIENT",IF(E4062=0,WORKDAY(A4062-1,1,Dias_Sem_Compensacao!$A$2:$A$500),WORKDAY(A4062,E4062,Dias_Sem_Compensacao!$A$2:$A$500)),"")</f>
        <v/>
      </c>
      <c r="H4062" s="25">
        <v>500</v>
      </c>
      <c r="I4062" s="28">
        <v>46310</v>
      </c>
      <c r="J4062" t="s">
        <v>3728</v>
      </c>
      <c r="K4062" t="s">
        <v>3729</v>
      </c>
    </row>
    <row r="4063" spans="1:11" hidden="1">
      <c r="A4063" s="28">
        <v>46310</v>
      </c>
      <c r="B4063" t="s">
        <v>3523</v>
      </c>
      <c r="C4063" t="s">
        <v>151</v>
      </c>
      <c r="D4063" t="s">
        <v>3462</v>
      </c>
      <c r="E4063" t="str">
        <f>IF(LEFT(D4063,6)="CLIENT",IFERROR(VLOOKUP(C4063,Config_Carteiras!$A:$B,2,FALSE),1),"")</f>
        <v/>
      </c>
      <c r="F4063" s="25">
        <v>0</v>
      </c>
      <c r="G4063" s="28" t="str">
        <f>IF(LEFT(D4063,6)="CLIENT",IF(E4063=0,WORKDAY(A4063-1,1,Dias_Sem_Compensacao!$A$2:$A$500),WORKDAY(A4063,E4063,Dias_Sem_Compensacao!$A$2:$A$500)),"")</f>
        <v/>
      </c>
      <c r="H4063" s="25">
        <v>230</v>
      </c>
      <c r="I4063" s="28">
        <v>46310</v>
      </c>
      <c r="J4063" t="s">
        <v>3615</v>
      </c>
      <c r="K4063" t="s">
        <v>3730</v>
      </c>
    </row>
    <row r="4064" spans="1:11" hidden="1">
      <c r="A4064" s="28">
        <v>46310</v>
      </c>
      <c r="B4064" t="s">
        <v>3523</v>
      </c>
      <c r="C4064" t="s">
        <v>151</v>
      </c>
      <c r="D4064" t="s">
        <v>3462</v>
      </c>
      <c r="E4064" t="str">
        <f>IF(LEFT(D4064,6)="CLIENT",IFERROR(VLOOKUP(C4064,Config_Carteiras!$A:$B,2,FALSE),1),"")</f>
        <v/>
      </c>
      <c r="F4064" s="25">
        <v>0</v>
      </c>
      <c r="G4064" s="28" t="str">
        <f>IF(LEFT(D4064,6)="CLIENT",IF(E4064=0,WORKDAY(A4064-1,1,Dias_Sem_Compensacao!$A$2:$A$500),WORKDAY(A4064,E4064,Dias_Sem_Compensacao!$A$2:$A$500)),"")</f>
        <v/>
      </c>
      <c r="H4064" s="25">
        <v>469.5</v>
      </c>
      <c r="I4064" s="28">
        <v>46310</v>
      </c>
      <c r="J4064" t="s">
        <v>74</v>
      </c>
      <c r="K4064" t="s">
        <v>3731</v>
      </c>
    </row>
    <row r="4065" spans="1:11" hidden="1">
      <c r="A4065" s="28">
        <v>46310</v>
      </c>
      <c r="B4065" t="s">
        <v>3523</v>
      </c>
      <c r="C4065" t="s">
        <v>151</v>
      </c>
      <c r="D4065" t="s">
        <v>3462</v>
      </c>
      <c r="E4065" t="str">
        <f>IF(LEFT(D4065,6)="CLIENT",IFERROR(VLOOKUP(C4065,Config_Carteiras!$A:$B,2,FALSE),1),"")</f>
        <v/>
      </c>
      <c r="F4065" s="25">
        <v>0</v>
      </c>
      <c r="G4065" s="28" t="str">
        <f>IF(LEFT(D4065,6)="CLIENT",IF(E4065=0,WORKDAY(A4065-1,1,Dias_Sem_Compensacao!$A$2:$A$500),WORKDAY(A4065,E4065,Dias_Sem_Compensacao!$A$2:$A$500)),"")</f>
        <v/>
      </c>
      <c r="H4065" s="25">
        <v>134.76</v>
      </c>
      <c r="I4065" s="28">
        <v>46310</v>
      </c>
      <c r="J4065" t="s">
        <v>2595</v>
      </c>
      <c r="K4065" t="s">
        <v>3732</v>
      </c>
    </row>
    <row r="4066" spans="1:11" hidden="1">
      <c r="A4066" s="28">
        <v>46310</v>
      </c>
      <c r="B4066" t="s">
        <v>3523</v>
      </c>
      <c r="C4066" t="s">
        <v>151</v>
      </c>
      <c r="D4066" t="s">
        <v>3462</v>
      </c>
      <c r="E4066" t="str">
        <f>IF(LEFT(D4066,6)="CLIENT",IFERROR(VLOOKUP(C4066,Config_Carteiras!$A:$B,2,FALSE),1),"")</f>
        <v/>
      </c>
      <c r="F4066" s="25">
        <v>0</v>
      </c>
      <c r="G4066" s="28" t="str">
        <f>IF(LEFT(D4066,6)="CLIENT",IF(E4066=0,WORKDAY(A4066-1,1,Dias_Sem_Compensacao!$A$2:$A$500),WORKDAY(A4066,E4066,Dias_Sem_Compensacao!$A$2:$A$500)),"")</f>
        <v/>
      </c>
      <c r="H4066" s="25">
        <v>193.61</v>
      </c>
      <c r="I4066" s="28">
        <v>46310</v>
      </c>
      <c r="K4066" t="s">
        <v>3733</v>
      </c>
    </row>
    <row r="4067" spans="1:11" hidden="1">
      <c r="A4067" s="28">
        <v>46310</v>
      </c>
      <c r="B4067" t="s">
        <v>3523</v>
      </c>
      <c r="C4067" t="s">
        <v>151</v>
      </c>
      <c r="D4067" t="s">
        <v>3462</v>
      </c>
      <c r="E4067" t="str">
        <f>IF(LEFT(D4067,6)="CLIENT",IFERROR(VLOOKUP(C4067,Config_Carteiras!$A:$B,2,FALSE),1),"")</f>
        <v/>
      </c>
      <c r="F4067" s="25">
        <v>0</v>
      </c>
      <c r="G4067" s="28" t="str">
        <f>IF(LEFT(D4067,6)="CLIENT",IF(E4067=0,WORKDAY(A4067-1,1,Dias_Sem_Compensacao!$A$2:$A$500),WORKDAY(A4067,E4067,Dias_Sem_Compensacao!$A$2:$A$500)),"")</f>
        <v/>
      </c>
      <c r="H4067" s="25">
        <v>78.34</v>
      </c>
      <c r="I4067" s="28">
        <v>46310</v>
      </c>
      <c r="K4067" t="s">
        <v>3734</v>
      </c>
    </row>
    <row r="4068" spans="1:11" hidden="1">
      <c r="A4068" s="28">
        <v>46310</v>
      </c>
      <c r="B4068" t="s">
        <v>3523</v>
      </c>
      <c r="C4068" t="s">
        <v>151</v>
      </c>
      <c r="D4068" t="s">
        <v>3462</v>
      </c>
      <c r="E4068" t="str">
        <f>IF(LEFT(D4068,6)="CLIENT",IFERROR(VLOOKUP(C4068,Config_Carteiras!$A:$B,2,FALSE),1),"")</f>
        <v/>
      </c>
      <c r="F4068" s="25">
        <v>0</v>
      </c>
      <c r="G4068" s="28" t="str">
        <f>IF(LEFT(D4068,6)="CLIENT",IF(E4068=0,WORKDAY(A4068-1,1,Dias_Sem_Compensacao!$A$2:$A$500),WORKDAY(A4068,E4068,Dias_Sem_Compensacao!$A$2:$A$500)),"")</f>
        <v/>
      </c>
      <c r="H4068" s="25">
        <v>69.069999999999993</v>
      </c>
      <c r="I4068" s="28">
        <v>46310</v>
      </c>
      <c r="K4068" t="s">
        <v>3735</v>
      </c>
    </row>
    <row r="4069" spans="1:11" hidden="1">
      <c r="A4069" s="28">
        <v>46310</v>
      </c>
      <c r="B4069" t="s">
        <v>3523</v>
      </c>
      <c r="C4069" t="s">
        <v>151</v>
      </c>
      <c r="D4069" t="s">
        <v>3462</v>
      </c>
      <c r="E4069" t="str">
        <f>IF(LEFT(D4069,6)="CLIENT",IFERROR(VLOOKUP(C4069,Config_Carteiras!$A:$B,2,FALSE),1),"")</f>
        <v/>
      </c>
      <c r="F4069" s="25">
        <v>0</v>
      </c>
      <c r="G4069" s="28" t="str">
        <f>IF(LEFT(D4069,6)="CLIENT",IF(E4069=0,WORKDAY(A4069-1,1,Dias_Sem_Compensacao!$A$2:$A$500),WORKDAY(A4069,E4069,Dias_Sem_Compensacao!$A$2:$A$500)),"")</f>
        <v/>
      </c>
      <c r="H4069" s="25">
        <v>69.069999999999993</v>
      </c>
      <c r="I4069" s="28">
        <v>46310</v>
      </c>
      <c r="K4069" t="s">
        <v>3736</v>
      </c>
    </row>
    <row r="4070" spans="1:11" hidden="1">
      <c r="A4070" s="28">
        <v>46310</v>
      </c>
      <c r="B4070" t="s">
        <v>3523</v>
      </c>
      <c r="C4070" t="s">
        <v>151</v>
      </c>
      <c r="D4070" t="s">
        <v>3462</v>
      </c>
      <c r="E4070" t="str">
        <f>IF(LEFT(D4070,6)="CLIENT",IFERROR(VLOOKUP(C4070,Config_Carteiras!$A:$B,2,FALSE),1),"")</f>
        <v/>
      </c>
      <c r="F4070" s="25">
        <v>0</v>
      </c>
      <c r="G4070" s="28" t="str">
        <f>IF(LEFT(D4070,6)="CLIENT",IF(E4070=0,WORKDAY(A4070-1,1,Dias_Sem_Compensacao!$A$2:$A$500),WORKDAY(A4070,E4070,Dias_Sem_Compensacao!$A$2:$A$500)),"")</f>
        <v/>
      </c>
      <c r="H4070" s="25">
        <v>94.09</v>
      </c>
      <c r="I4070" s="28">
        <v>46310</v>
      </c>
      <c r="K4070" t="s">
        <v>3737</v>
      </c>
    </row>
    <row r="4071" spans="1:11" hidden="1">
      <c r="A4071" s="28">
        <v>46310</v>
      </c>
      <c r="B4071" t="s">
        <v>3523</v>
      </c>
      <c r="C4071" t="s">
        <v>151</v>
      </c>
      <c r="D4071" t="s">
        <v>3462</v>
      </c>
      <c r="E4071" t="str">
        <f>IF(LEFT(D4071,6)="CLIENT",IFERROR(VLOOKUP(C4071,Config_Carteiras!$A:$B,2,FALSE),1),"")</f>
        <v/>
      </c>
      <c r="F4071" s="25">
        <v>0</v>
      </c>
      <c r="G4071" s="28" t="str">
        <f>IF(LEFT(D4071,6)="CLIENT",IF(E4071=0,WORKDAY(A4071-1,1,Dias_Sem_Compensacao!$A$2:$A$500),WORKDAY(A4071,E4071,Dias_Sem_Compensacao!$A$2:$A$500)),"")</f>
        <v/>
      </c>
      <c r="H4071" s="25">
        <v>79.760000000000005</v>
      </c>
      <c r="I4071" s="28">
        <v>46310</v>
      </c>
      <c r="K4071" t="s">
        <v>3738</v>
      </c>
    </row>
    <row r="4072" spans="1:11" hidden="1">
      <c r="A4072" s="28">
        <v>46310</v>
      </c>
      <c r="B4072" t="s">
        <v>3523</v>
      </c>
      <c r="C4072" t="s">
        <v>151</v>
      </c>
      <c r="D4072" t="s">
        <v>3462</v>
      </c>
      <c r="E4072" t="str">
        <f>IF(LEFT(D4072,6)="CLIENT",IFERROR(VLOOKUP(C4072,Config_Carteiras!$A:$B,2,FALSE),1),"")</f>
        <v/>
      </c>
      <c r="F4072" s="25">
        <v>0</v>
      </c>
      <c r="G4072" s="28" t="str">
        <f>IF(LEFT(D4072,6)="CLIENT",IF(E4072=0,WORKDAY(A4072-1,1,Dias_Sem_Compensacao!$A$2:$A$500),WORKDAY(A4072,E4072,Dias_Sem_Compensacao!$A$2:$A$500)),"")</f>
        <v/>
      </c>
      <c r="H4072" s="25">
        <v>217.01</v>
      </c>
      <c r="I4072" s="28">
        <v>46310</v>
      </c>
      <c r="K4072" t="s">
        <v>3739</v>
      </c>
    </row>
    <row r="4073" spans="1:11" hidden="1">
      <c r="A4073" s="28">
        <v>46310</v>
      </c>
      <c r="B4073" t="s">
        <v>3523</v>
      </c>
      <c r="C4073" t="s">
        <v>151</v>
      </c>
      <c r="D4073" t="s">
        <v>3462</v>
      </c>
      <c r="E4073" t="str">
        <f>IF(LEFT(D4073,6)="CLIENT",IFERROR(VLOOKUP(C4073,Config_Carteiras!$A:$B,2,FALSE),1),"")</f>
        <v/>
      </c>
      <c r="F4073" s="25">
        <v>0</v>
      </c>
      <c r="G4073" s="28" t="str">
        <f>IF(LEFT(D4073,6)="CLIENT",IF(E4073=0,WORKDAY(A4073-1,1,Dias_Sem_Compensacao!$A$2:$A$500),WORKDAY(A4073,E4073,Dias_Sem_Compensacao!$A$2:$A$500)),"")</f>
        <v/>
      </c>
      <c r="H4073" s="25">
        <v>135.86000000000001</v>
      </c>
      <c r="I4073" s="28">
        <v>46310</v>
      </c>
      <c r="K4073" t="s">
        <v>3740</v>
      </c>
    </row>
    <row r="4074" spans="1:11" hidden="1">
      <c r="A4074" s="28">
        <v>46310</v>
      </c>
      <c r="B4074" t="s">
        <v>3523</v>
      </c>
      <c r="C4074" t="s">
        <v>151</v>
      </c>
      <c r="D4074" t="s">
        <v>3462</v>
      </c>
      <c r="E4074" t="str">
        <f>IF(LEFT(D4074,6)="CLIENT",IFERROR(VLOOKUP(C4074,Config_Carteiras!$A:$B,2,FALSE),1),"")</f>
        <v/>
      </c>
      <c r="F4074" s="25">
        <v>0</v>
      </c>
      <c r="G4074" s="28" t="str">
        <f>IF(LEFT(D4074,6)="CLIENT",IF(E4074=0,WORKDAY(A4074-1,1,Dias_Sem_Compensacao!$A$2:$A$500),WORKDAY(A4074,E4074,Dias_Sem_Compensacao!$A$2:$A$500)),"")</f>
        <v/>
      </c>
      <c r="H4074" s="25">
        <v>169.1</v>
      </c>
      <c r="I4074" s="28">
        <v>46310</v>
      </c>
      <c r="K4074" t="s">
        <v>3741</v>
      </c>
    </row>
    <row r="4075" spans="1:11" hidden="1">
      <c r="A4075" s="28">
        <v>46310</v>
      </c>
      <c r="B4075" t="s">
        <v>3523</v>
      </c>
      <c r="C4075" t="s">
        <v>151</v>
      </c>
      <c r="D4075" t="s">
        <v>3462</v>
      </c>
      <c r="E4075" t="str">
        <f>IF(LEFT(D4075,6)="CLIENT",IFERROR(VLOOKUP(C4075,Config_Carteiras!$A:$B,2,FALSE),1),"")</f>
        <v/>
      </c>
      <c r="F4075" s="25">
        <v>0</v>
      </c>
      <c r="G4075" s="28" t="str">
        <f>IF(LEFT(D4075,6)="CLIENT",IF(E4075=0,WORKDAY(A4075-1,1,Dias_Sem_Compensacao!$A$2:$A$500),WORKDAY(A4075,E4075,Dias_Sem_Compensacao!$A$2:$A$500)),"")</f>
        <v/>
      </c>
      <c r="H4075" s="25">
        <v>277</v>
      </c>
      <c r="I4075" s="28">
        <v>46310</v>
      </c>
      <c r="K4075" t="s">
        <v>3742</v>
      </c>
    </row>
    <row r="4076" spans="1:11" hidden="1">
      <c r="A4076" s="28">
        <v>46310</v>
      </c>
      <c r="B4076" t="s">
        <v>3523</v>
      </c>
      <c r="C4076" t="s">
        <v>151</v>
      </c>
      <c r="D4076" t="s">
        <v>3462</v>
      </c>
      <c r="E4076" t="str">
        <f>IF(LEFT(D4076,6)="CLIENT",IFERROR(VLOOKUP(C4076,Config_Carteiras!$A:$B,2,FALSE),1),"")</f>
        <v/>
      </c>
      <c r="F4076" s="25">
        <v>0</v>
      </c>
      <c r="G4076" s="28" t="str">
        <f>IF(LEFT(D4076,6)="CLIENT",IF(E4076=0,WORKDAY(A4076-1,1,Dias_Sem_Compensacao!$A$2:$A$500),WORKDAY(A4076,E4076,Dias_Sem_Compensacao!$A$2:$A$500)),"")</f>
        <v/>
      </c>
      <c r="H4076" s="25">
        <v>356.78</v>
      </c>
      <c r="I4076" s="28">
        <v>46310</v>
      </c>
      <c r="K4076" t="s">
        <v>3743</v>
      </c>
    </row>
    <row r="4077" spans="1:11" hidden="1">
      <c r="A4077" s="28">
        <v>46310</v>
      </c>
      <c r="B4077" t="s">
        <v>3523</v>
      </c>
      <c r="C4077" t="s">
        <v>151</v>
      </c>
      <c r="D4077" t="s">
        <v>3462</v>
      </c>
      <c r="E4077" t="str">
        <f>IF(LEFT(D4077,6)="CLIENT",IFERROR(VLOOKUP(C4077,Config_Carteiras!$A:$B,2,FALSE),1),"")</f>
        <v/>
      </c>
      <c r="F4077" s="25">
        <v>0</v>
      </c>
      <c r="G4077" s="28" t="str">
        <f>IF(LEFT(D4077,6)="CLIENT",IF(E4077=0,WORKDAY(A4077-1,1,Dias_Sem_Compensacao!$A$2:$A$500),WORKDAY(A4077,E4077,Dias_Sem_Compensacao!$A$2:$A$500)),"")</f>
        <v/>
      </c>
      <c r="H4077" s="25">
        <v>168.02</v>
      </c>
      <c r="I4077" s="28">
        <v>46310</v>
      </c>
      <c r="K4077" t="s">
        <v>3744</v>
      </c>
    </row>
    <row r="4078" spans="1:11" hidden="1">
      <c r="A4078" s="28">
        <v>46310</v>
      </c>
      <c r="B4078" t="s">
        <v>3523</v>
      </c>
      <c r="C4078" t="s">
        <v>151</v>
      </c>
      <c r="D4078" t="s">
        <v>3462</v>
      </c>
      <c r="E4078" t="str">
        <f>IF(LEFT(D4078,6)="CLIENT",IFERROR(VLOOKUP(C4078,Config_Carteiras!$A:$B,2,FALSE),1),"")</f>
        <v/>
      </c>
      <c r="F4078" s="25">
        <v>0</v>
      </c>
      <c r="G4078" s="28" t="str">
        <f>IF(LEFT(D4078,6)="CLIENT",IF(E4078=0,WORKDAY(A4078-1,1,Dias_Sem_Compensacao!$A$2:$A$500),WORKDAY(A4078,E4078,Dias_Sem_Compensacao!$A$2:$A$500)),"")</f>
        <v/>
      </c>
      <c r="H4078" s="25">
        <v>237.03</v>
      </c>
      <c r="I4078" s="28">
        <v>46310</v>
      </c>
      <c r="K4078" t="s">
        <v>3745</v>
      </c>
    </row>
    <row r="4079" spans="1:11" hidden="1">
      <c r="A4079" s="28">
        <v>46310</v>
      </c>
      <c r="B4079" t="s">
        <v>3523</v>
      </c>
      <c r="C4079" t="s">
        <v>151</v>
      </c>
      <c r="D4079" t="s">
        <v>3462</v>
      </c>
      <c r="E4079" t="str">
        <f>IF(LEFT(D4079,6)="CLIENT",IFERROR(VLOOKUP(C4079,Config_Carteiras!$A:$B,2,FALSE),1),"")</f>
        <v/>
      </c>
      <c r="F4079" s="25">
        <v>0</v>
      </c>
      <c r="G4079" s="28" t="str">
        <f>IF(LEFT(D4079,6)="CLIENT",IF(E4079=0,WORKDAY(A4079-1,1,Dias_Sem_Compensacao!$A$2:$A$500),WORKDAY(A4079,E4079,Dias_Sem_Compensacao!$A$2:$A$500)),"")</f>
        <v/>
      </c>
      <c r="H4079" s="25">
        <v>81.13</v>
      </c>
      <c r="I4079" s="28">
        <v>46310</v>
      </c>
      <c r="K4079" t="s">
        <v>3746</v>
      </c>
    </row>
    <row r="4080" spans="1:11" hidden="1">
      <c r="A4080" s="28">
        <v>46310</v>
      </c>
      <c r="B4080" t="s">
        <v>3523</v>
      </c>
      <c r="C4080" t="s">
        <v>151</v>
      </c>
      <c r="D4080" t="s">
        <v>3462</v>
      </c>
      <c r="E4080" t="str">
        <f>IF(LEFT(D4080,6)="CLIENT",IFERROR(VLOOKUP(C4080,Config_Carteiras!$A:$B,2,FALSE),1),"")</f>
        <v/>
      </c>
      <c r="F4080" s="25">
        <v>0</v>
      </c>
      <c r="G4080" s="28" t="str">
        <f>IF(LEFT(D4080,6)="CLIENT",IF(E4080=0,WORKDAY(A4080-1,1,Dias_Sem_Compensacao!$A$2:$A$500),WORKDAY(A4080,E4080,Dias_Sem_Compensacao!$A$2:$A$500)),"")</f>
        <v/>
      </c>
      <c r="H4080" s="25">
        <v>69.069999999999993</v>
      </c>
      <c r="I4080" s="28">
        <v>46310</v>
      </c>
      <c r="K4080" t="s">
        <v>3747</v>
      </c>
    </row>
    <row r="4081" spans="1:11" hidden="1">
      <c r="A4081" s="28">
        <v>46310</v>
      </c>
      <c r="B4081" t="s">
        <v>3523</v>
      </c>
      <c r="C4081" t="s">
        <v>151</v>
      </c>
      <c r="D4081" t="s">
        <v>3462</v>
      </c>
      <c r="E4081" t="str">
        <f>IF(LEFT(D4081,6)="CLIENT",IFERROR(VLOOKUP(C4081,Config_Carteiras!$A:$B,2,FALSE),1),"")</f>
        <v/>
      </c>
      <c r="F4081" s="25">
        <v>0</v>
      </c>
      <c r="G4081" s="28" t="str">
        <f>IF(LEFT(D4081,6)="CLIENT",IF(E4081=0,WORKDAY(A4081-1,1,Dias_Sem_Compensacao!$A$2:$A$500),WORKDAY(A4081,E4081,Dias_Sem_Compensacao!$A$2:$A$500)),"")</f>
        <v/>
      </c>
      <c r="H4081" s="25">
        <v>396.4</v>
      </c>
      <c r="I4081" s="28">
        <v>46310</v>
      </c>
      <c r="K4081" t="s">
        <v>3748</v>
      </c>
    </row>
    <row r="4082" spans="1:11" hidden="1">
      <c r="A4082" s="28">
        <v>46310</v>
      </c>
      <c r="B4082" t="s">
        <v>3523</v>
      </c>
      <c r="C4082" t="s">
        <v>151</v>
      </c>
      <c r="D4082" t="s">
        <v>3462</v>
      </c>
      <c r="E4082" t="str">
        <f>IF(LEFT(D4082,6)="CLIENT",IFERROR(VLOOKUP(C4082,Config_Carteiras!$A:$B,2,FALSE),1),"")</f>
        <v/>
      </c>
      <c r="F4082" s="25">
        <v>0</v>
      </c>
      <c r="G4082" s="28" t="str">
        <f>IF(LEFT(D4082,6)="CLIENT",IF(E4082=0,WORKDAY(A4082-1,1,Dias_Sem_Compensacao!$A$2:$A$500),WORKDAY(A4082,E4082,Dias_Sem_Compensacao!$A$2:$A$500)),"")</f>
        <v/>
      </c>
      <c r="H4082" s="25">
        <v>204.19</v>
      </c>
      <c r="I4082" s="28">
        <v>46310</v>
      </c>
      <c r="K4082" t="s">
        <v>3749</v>
      </c>
    </row>
    <row r="4083" spans="1:11" hidden="1">
      <c r="A4083" s="28">
        <v>46310</v>
      </c>
      <c r="B4083" t="s">
        <v>3523</v>
      </c>
      <c r="C4083" t="s">
        <v>151</v>
      </c>
      <c r="D4083" t="s">
        <v>3462</v>
      </c>
      <c r="E4083" t="str">
        <f>IF(LEFT(D4083,6)="CLIENT",IFERROR(VLOOKUP(C4083,Config_Carteiras!$A:$B,2,FALSE),1),"")</f>
        <v/>
      </c>
      <c r="F4083" s="25">
        <v>0</v>
      </c>
      <c r="G4083" s="28" t="str">
        <f>IF(LEFT(D4083,6)="CLIENT",IF(E4083=0,WORKDAY(A4083-1,1,Dias_Sem_Compensacao!$A$2:$A$500),WORKDAY(A4083,E4083,Dias_Sem_Compensacao!$A$2:$A$500)),"")</f>
        <v/>
      </c>
      <c r="H4083" s="25">
        <v>644.47</v>
      </c>
      <c r="I4083" s="28">
        <v>46310</v>
      </c>
      <c r="K4083" t="s">
        <v>3750</v>
      </c>
    </row>
    <row r="4084" spans="1:11" hidden="1">
      <c r="A4084" s="28">
        <v>46310</v>
      </c>
      <c r="B4084" t="s">
        <v>3523</v>
      </c>
      <c r="C4084" t="s">
        <v>151</v>
      </c>
      <c r="D4084" t="s">
        <v>3462</v>
      </c>
      <c r="E4084" t="str">
        <f>IF(LEFT(D4084,6)="CLIENT",IFERROR(VLOOKUP(C4084,Config_Carteiras!$A:$B,2,FALSE),1),"")</f>
        <v/>
      </c>
      <c r="F4084" s="25">
        <v>0</v>
      </c>
      <c r="G4084" s="28" t="str">
        <f>IF(LEFT(D4084,6)="CLIENT",IF(E4084=0,WORKDAY(A4084-1,1,Dias_Sem_Compensacao!$A$2:$A$500),WORKDAY(A4084,E4084,Dias_Sem_Compensacao!$A$2:$A$500)),"")</f>
        <v/>
      </c>
      <c r="H4084" s="25">
        <v>97.83</v>
      </c>
      <c r="I4084" s="28">
        <v>46310</v>
      </c>
      <c r="K4084" t="s">
        <v>3751</v>
      </c>
    </row>
    <row r="4085" spans="1:11" hidden="1">
      <c r="A4085" s="28">
        <v>46310</v>
      </c>
      <c r="B4085" t="s">
        <v>3523</v>
      </c>
      <c r="C4085" t="s">
        <v>151</v>
      </c>
      <c r="D4085" t="s">
        <v>3462</v>
      </c>
      <c r="E4085" t="str">
        <f>IF(LEFT(D4085,6)="CLIENT",IFERROR(VLOOKUP(C4085,Config_Carteiras!$A:$B,2,FALSE),1),"")</f>
        <v/>
      </c>
      <c r="F4085" s="25">
        <v>0</v>
      </c>
      <c r="G4085" s="28" t="str">
        <f>IF(LEFT(D4085,6)="CLIENT",IF(E4085=0,WORKDAY(A4085-1,1,Dias_Sem_Compensacao!$A$2:$A$500),WORKDAY(A4085,E4085,Dias_Sem_Compensacao!$A$2:$A$500)),"")</f>
        <v/>
      </c>
      <c r="H4085" s="25">
        <v>155.47</v>
      </c>
      <c r="I4085" s="28">
        <v>46310</v>
      </c>
      <c r="K4085" t="s">
        <v>3752</v>
      </c>
    </row>
    <row r="4086" spans="1:11" hidden="1">
      <c r="A4086" s="28">
        <v>46310</v>
      </c>
      <c r="B4086" t="s">
        <v>3523</v>
      </c>
      <c r="C4086" t="s">
        <v>151</v>
      </c>
      <c r="D4086" t="s">
        <v>3462</v>
      </c>
      <c r="E4086" t="str">
        <f>IF(LEFT(D4086,6)="CLIENT",IFERROR(VLOOKUP(C4086,Config_Carteiras!$A:$B,2,FALSE),1),"")</f>
        <v/>
      </c>
      <c r="F4086" s="25">
        <v>0</v>
      </c>
      <c r="G4086" s="28" t="str">
        <f>IF(LEFT(D4086,6)="CLIENT",IF(E4086=0,WORKDAY(A4086-1,1,Dias_Sem_Compensacao!$A$2:$A$500),WORKDAY(A4086,E4086,Dias_Sem_Compensacao!$A$2:$A$500)),"")</f>
        <v/>
      </c>
      <c r="H4086" s="25">
        <v>200.35</v>
      </c>
      <c r="I4086" s="28">
        <v>46310</v>
      </c>
      <c r="K4086" t="s">
        <v>3753</v>
      </c>
    </row>
    <row r="4087" spans="1:11" hidden="1">
      <c r="A4087" s="28">
        <v>46310</v>
      </c>
      <c r="B4087" t="s">
        <v>3523</v>
      </c>
      <c r="C4087" t="s">
        <v>151</v>
      </c>
      <c r="D4087" t="s">
        <v>3462</v>
      </c>
      <c r="E4087" t="str">
        <f>IF(LEFT(D4087,6)="CLIENT",IFERROR(VLOOKUP(C4087,Config_Carteiras!$A:$B,2,FALSE),1),"")</f>
        <v/>
      </c>
      <c r="F4087" s="25">
        <v>0</v>
      </c>
      <c r="G4087" s="28" t="str">
        <f>IF(LEFT(D4087,6)="CLIENT",IF(E4087=0,WORKDAY(A4087-1,1,Dias_Sem_Compensacao!$A$2:$A$500),WORKDAY(A4087,E4087,Dias_Sem_Compensacao!$A$2:$A$500)),"")</f>
        <v/>
      </c>
      <c r="H4087" s="25">
        <v>120.01</v>
      </c>
      <c r="I4087" s="28">
        <v>46310</v>
      </c>
      <c r="K4087" t="s">
        <v>3754</v>
      </c>
    </row>
    <row r="4088" spans="1:11" hidden="1">
      <c r="A4088" s="28">
        <v>46310</v>
      </c>
      <c r="B4088" t="s">
        <v>3523</v>
      </c>
      <c r="C4088" t="s">
        <v>151</v>
      </c>
      <c r="D4088" t="s">
        <v>3462</v>
      </c>
      <c r="E4088" t="str">
        <f>IF(LEFT(D4088,6)="CLIENT",IFERROR(VLOOKUP(C4088,Config_Carteiras!$A:$B,2,FALSE),1),"")</f>
        <v/>
      </c>
      <c r="F4088" s="25">
        <v>0</v>
      </c>
      <c r="G4088" s="28" t="str">
        <f>IF(LEFT(D4088,6)="CLIENT",IF(E4088=0,WORKDAY(A4088-1,1,Dias_Sem_Compensacao!$A$2:$A$500),WORKDAY(A4088,E4088,Dias_Sem_Compensacao!$A$2:$A$500)),"")</f>
        <v/>
      </c>
      <c r="H4088" s="25">
        <v>300.8</v>
      </c>
      <c r="I4088" s="28">
        <v>46310</v>
      </c>
      <c r="J4088" t="s">
        <v>3755</v>
      </c>
      <c r="K4088" t="s">
        <v>3756</v>
      </c>
    </row>
    <row r="4089" spans="1:11" hidden="1">
      <c r="A4089" s="28">
        <v>46310</v>
      </c>
      <c r="B4089" t="s">
        <v>3523</v>
      </c>
      <c r="C4089" t="s">
        <v>151</v>
      </c>
      <c r="D4089" t="s">
        <v>3462</v>
      </c>
      <c r="E4089" t="str">
        <f>IF(LEFT(D4089,6)="CLIENT",IFERROR(VLOOKUP(C4089,Config_Carteiras!$A:$B,2,FALSE),1),"")</f>
        <v/>
      </c>
      <c r="F4089" s="25">
        <v>0</v>
      </c>
      <c r="G4089" s="28" t="str">
        <f>IF(LEFT(D4089,6)="CLIENT",IF(E4089=0,WORKDAY(A4089-1,1,Dias_Sem_Compensacao!$A$2:$A$500),WORKDAY(A4089,E4089,Dias_Sem_Compensacao!$A$2:$A$500)),"")</f>
        <v/>
      </c>
      <c r="H4089" s="25">
        <v>300.8</v>
      </c>
      <c r="I4089" s="28">
        <v>46310</v>
      </c>
      <c r="K4089" t="s">
        <v>3522</v>
      </c>
    </row>
    <row r="4090" spans="1:11" hidden="1">
      <c r="A4090" s="28">
        <v>46310</v>
      </c>
      <c r="B4090" t="s">
        <v>3523</v>
      </c>
      <c r="C4090" t="s">
        <v>151</v>
      </c>
      <c r="D4090" t="s">
        <v>3462</v>
      </c>
      <c r="E4090" t="str">
        <f>IF(LEFT(D4090,6)="CLIENT",IFERROR(VLOOKUP(C4090,Config_Carteiras!$A:$B,2,FALSE),1),"")</f>
        <v/>
      </c>
      <c r="F4090" s="25">
        <v>0</v>
      </c>
      <c r="G4090" s="28" t="str">
        <f>IF(LEFT(D4090,6)="CLIENT",IF(E4090=0,WORKDAY(A4090-1,1,Dias_Sem_Compensacao!$A$2:$A$500),WORKDAY(A4090,E4090,Dias_Sem_Compensacao!$A$2:$A$500)),"")</f>
        <v/>
      </c>
      <c r="H4090" s="25">
        <v>2616</v>
      </c>
      <c r="I4090" s="28">
        <v>46310</v>
      </c>
      <c r="J4090" t="s">
        <v>3561</v>
      </c>
      <c r="K4090" t="s">
        <v>3757</v>
      </c>
    </row>
    <row r="4091" spans="1:11" hidden="1">
      <c r="A4091" s="28">
        <v>46310</v>
      </c>
      <c r="B4091" t="s">
        <v>3523</v>
      </c>
      <c r="C4091" t="s">
        <v>151</v>
      </c>
      <c r="D4091" t="s">
        <v>3462</v>
      </c>
      <c r="E4091" t="str">
        <f>IF(LEFT(D4091,6)="CLIENT",IFERROR(VLOOKUP(C4091,Config_Carteiras!$A:$B,2,FALSE),1),"")</f>
        <v/>
      </c>
      <c r="F4091" s="25">
        <v>0</v>
      </c>
      <c r="G4091" s="28" t="str">
        <f>IF(LEFT(D4091,6)="CLIENT",IF(E4091=0,WORKDAY(A4091-1,1,Dias_Sem_Compensacao!$A$2:$A$500),WORKDAY(A4091,E4091,Dias_Sem_Compensacao!$A$2:$A$500)),"")</f>
        <v/>
      </c>
      <c r="H4091" s="25">
        <v>223.61</v>
      </c>
      <c r="I4091" s="28">
        <v>46310</v>
      </c>
      <c r="J4091" t="s">
        <v>3758</v>
      </c>
      <c r="K4091" t="s">
        <v>3759</v>
      </c>
    </row>
    <row r="4092" spans="1:11" hidden="1">
      <c r="A4092" s="28">
        <v>46310</v>
      </c>
      <c r="B4092" t="s">
        <v>3523</v>
      </c>
      <c r="C4092" t="s">
        <v>151</v>
      </c>
      <c r="D4092" t="s">
        <v>3462</v>
      </c>
      <c r="E4092" t="str">
        <f>IF(LEFT(D4092,6)="CLIENT",IFERROR(VLOOKUP(C4092,Config_Carteiras!$A:$B,2,FALSE),1),"")</f>
        <v/>
      </c>
      <c r="F4092" s="25">
        <v>0</v>
      </c>
      <c r="G4092" s="28" t="str">
        <f>IF(LEFT(D4092,6)="CLIENT",IF(E4092=0,WORKDAY(A4092-1,1,Dias_Sem_Compensacao!$A$2:$A$500),WORKDAY(A4092,E4092,Dias_Sem_Compensacao!$A$2:$A$500)),"")</f>
        <v/>
      </c>
      <c r="H4092" s="25">
        <v>181.89</v>
      </c>
      <c r="I4092" s="28">
        <v>46310</v>
      </c>
      <c r="K4092" t="s">
        <v>3760</v>
      </c>
    </row>
    <row r="4093" spans="1:11" hidden="1">
      <c r="A4093" s="28">
        <v>46310</v>
      </c>
      <c r="B4093" t="s">
        <v>3523</v>
      </c>
      <c r="C4093" t="s">
        <v>151</v>
      </c>
      <c r="D4093" t="s">
        <v>3462</v>
      </c>
      <c r="E4093" t="str">
        <f>IF(LEFT(D4093,6)="CLIENT",IFERROR(VLOOKUP(C4093,Config_Carteiras!$A:$B,2,FALSE),1),"")</f>
        <v/>
      </c>
      <c r="F4093" s="25">
        <v>0</v>
      </c>
      <c r="G4093" s="28" t="str">
        <f>IF(LEFT(D4093,6)="CLIENT",IF(E4093=0,WORKDAY(A4093-1,1,Dias_Sem_Compensacao!$A$2:$A$500),WORKDAY(A4093,E4093,Dias_Sem_Compensacao!$A$2:$A$500)),"")</f>
        <v/>
      </c>
      <c r="H4093" s="25">
        <v>26.97</v>
      </c>
      <c r="I4093" s="28">
        <v>46310</v>
      </c>
      <c r="K4093" t="s">
        <v>3761</v>
      </c>
    </row>
    <row r="4094" spans="1:11" hidden="1">
      <c r="A4094" s="28">
        <v>46310</v>
      </c>
      <c r="B4094" t="s">
        <v>3523</v>
      </c>
      <c r="C4094" t="s">
        <v>151</v>
      </c>
      <c r="D4094" t="s">
        <v>3462</v>
      </c>
      <c r="E4094" t="str">
        <f>IF(LEFT(D4094,6)="CLIENT",IFERROR(VLOOKUP(C4094,Config_Carteiras!$A:$B,2,FALSE),1),"")</f>
        <v/>
      </c>
      <c r="F4094" s="25">
        <v>0</v>
      </c>
      <c r="G4094" s="28" t="str">
        <f>IF(LEFT(D4094,6)="CLIENT",IF(E4094=0,WORKDAY(A4094-1,1,Dias_Sem_Compensacao!$A$2:$A$500),WORKDAY(A4094,E4094,Dias_Sem_Compensacao!$A$2:$A$500)),"")</f>
        <v/>
      </c>
      <c r="H4094" s="25">
        <v>33.950000000000003</v>
      </c>
      <c r="I4094" s="28">
        <v>46310</v>
      </c>
      <c r="K4094" t="s">
        <v>3762</v>
      </c>
    </row>
    <row r="4095" spans="1:11" hidden="1">
      <c r="A4095" s="28">
        <v>46310</v>
      </c>
      <c r="B4095" t="s">
        <v>3523</v>
      </c>
      <c r="C4095" t="s">
        <v>151</v>
      </c>
      <c r="D4095" t="s">
        <v>3462</v>
      </c>
      <c r="E4095" t="str">
        <f>IF(LEFT(D4095,6)="CLIENT",IFERROR(VLOOKUP(C4095,Config_Carteiras!$A:$B,2,FALSE),1),"")</f>
        <v/>
      </c>
      <c r="F4095" s="25">
        <v>0</v>
      </c>
      <c r="G4095" s="28" t="str">
        <f>IF(LEFT(D4095,6)="CLIENT",IF(E4095=0,WORKDAY(A4095-1,1,Dias_Sem_Compensacao!$A$2:$A$500),WORKDAY(A4095,E4095,Dias_Sem_Compensacao!$A$2:$A$500)),"")</f>
        <v/>
      </c>
      <c r="H4095" s="25">
        <v>59</v>
      </c>
      <c r="I4095" s="28">
        <v>46310</v>
      </c>
      <c r="J4095" t="s">
        <v>136</v>
      </c>
      <c r="K4095" t="s">
        <v>3763</v>
      </c>
    </row>
    <row r="4096" spans="1:11" hidden="1">
      <c r="A4096" s="28">
        <v>46310</v>
      </c>
      <c r="B4096" t="s">
        <v>3523</v>
      </c>
      <c r="C4096" t="s">
        <v>151</v>
      </c>
      <c r="D4096" t="s">
        <v>3462</v>
      </c>
      <c r="E4096" t="str">
        <f>IF(LEFT(D4096,6)="CLIENT",IFERROR(VLOOKUP(C4096,Config_Carteiras!$A:$B,2,FALSE),1),"")</f>
        <v/>
      </c>
      <c r="F4096" s="25">
        <v>0</v>
      </c>
      <c r="G4096" s="28" t="str">
        <f>IF(LEFT(D4096,6)="CLIENT",IF(E4096=0,WORKDAY(A4096-1,1,Dias_Sem_Compensacao!$A$2:$A$500),WORKDAY(A4096,E4096,Dias_Sem_Compensacao!$A$2:$A$500)),"")</f>
        <v/>
      </c>
      <c r="H4096" s="25">
        <v>46.23</v>
      </c>
      <c r="I4096" s="28">
        <v>46310</v>
      </c>
      <c r="K4096" t="s">
        <v>3764</v>
      </c>
    </row>
    <row r="4097" spans="1:11" hidden="1">
      <c r="A4097" s="28">
        <v>46310</v>
      </c>
      <c r="B4097" t="s">
        <v>3523</v>
      </c>
      <c r="C4097" t="s">
        <v>151</v>
      </c>
      <c r="D4097" t="s">
        <v>3462</v>
      </c>
      <c r="E4097" t="str">
        <f>IF(LEFT(D4097,6)="CLIENT",IFERROR(VLOOKUP(C4097,Config_Carteiras!$A:$B,2,FALSE),1),"")</f>
        <v/>
      </c>
      <c r="F4097" s="25">
        <v>0</v>
      </c>
      <c r="G4097" s="28" t="str">
        <f>IF(LEFT(D4097,6)="CLIENT",IF(E4097=0,WORKDAY(A4097-1,1,Dias_Sem_Compensacao!$A$2:$A$500),WORKDAY(A4097,E4097,Dias_Sem_Compensacao!$A$2:$A$500)),"")</f>
        <v/>
      </c>
      <c r="H4097" s="25">
        <v>136.25</v>
      </c>
      <c r="I4097" s="28">
        <v>46310</v>
      </c>
      <c r="K4097" t="s">
        <v>3765</v>
      </c>
    </row>
    <row r="4098" spans="1:11" hidden="1">
      <c r="A4098" s="28">
        <v>46310</v>
      </c>
      <c r="B4098" t="s">
        <v>3523</v>
      </c>
      <c r="C4098" t="s">
        <v>151</v>
      </c>
      <c r="D4098" t="s">
        <v>3462</v>
      </c>
      <c r="E4098" t="str">
        <f>IF(LEFT(D4098,6)="CLIENT",IFERROR(VLOOKUP(C4098,Config_Carteiras!$A:$B,2,FALSE),1),"")</f>
        <v/>
      </c>
      <c r="F4098" s="25">
        <v>0</v>
      </c>
      <c r="G4098" s="28" t="str">
        <f>IF(LEFT(D4098,6)="CLIENT",IF(E4098=0,WORKDAY(A4098-1,1,Dias_Sem_Compensacao!$A$2:$A$500),WORKDAY(A4098,E4098,Dias_Sem_Compensacao!$A$2:$A$500)),"")</f>
        <v/>
      </c>
      <c r="H4098" s="25">
        <v>15.25</v>
      </c>
      <c r="I4098" s="28">
        <v>46310</v>
      </c>
      <c r="K4098" t="s">
        <v>3766</v>
      </c>
    </row>
    <row r="4099" spans="1:11" hidden="1">
      <c r="A4099" s="28">
        <v>46310</v>
      </c>
      <c r="B4099" t="s">
        <v>3523</v>
      </c>
      <c r="C4099" t="s">
        <v>151</v>
      </c>
      <c r="D4099" t="s">
        <v>3462</v>
      </c>
      <c r="E4099" t="str">
        <f>IF(LEFT(D4099,6)="CLIENT",IFERROR(VLOOKUP(C4099,Config_Carteiras!$A:$B,2,FALSE),1),"")</f>
        <v/>
      </c>
      <c r="F4099" s="25">
        <v>0</v>
      </c>
      <c r="G4099" s="28" t="str">
        <f>IF(LEFT(D4099,6)="CLIENT",IF(E4099=0,WORKDAY(A4099-1,1,Dias_Sem_Compensacao!$A$2:$A$500),WORKDAY(A4099,E4099,Dias_Sem_Compensacao!$A$2:$A$500)),"")</f>
        <v/>
      </c>
      <c r="H4099" s="25">
        <v>424.75</v>
      </c>
      <c r="I4099" s="28">
        <v>46310</v>
      </c>
      <c r="K4099" t="s">
        <v>3767</v>
      </c>
    </row>
    <row r="4100" spans="1:11" hidden="1">
      <c r="A4100" s="28">
        <v>46310</v>
      </c>
      <c r="B4100" t="s">
        <v>3523</v>
      </c>
      <c r="C4100" t="s">
        <v>151</v>
      </c>
      <c r="D4100" t="s">
        <v>3462</v>
      </c>
      <c r="E4100" t="str">
        <f>IF(LEFT(D4100,6)="CLIENT",IFERROR(VLOOKUP(C4100,Config_Carteiras!$A:$B,2,FALSE),1),"")</f>
        <v/>
      </c>
      <c r="F4100" s="25">
        <v>0</v>
      </c>
      <c r="G4100" s="28" t="str">
        <f>IF(LEFT(D4100,6)="CLIENT",IF(E4100=0,WORKDAY(A4100-1,1,Dias_Sem_Compensacao!$A$2:$A$500),WORKDAY(A4100,E4100,Dias_Sem_Compensacao!$A$2:$A$500)),"")</f>
        <v/>
      </c>
      <c r="H4100" s="25">
        <v>22</v>
      </c>
      <c r="I4100" s="28">
        <v>46310</v>
      </c>
      <c r="K4100" t="s">
        <v>3768</v>
      </c>
    </row>
    <row r="4101" spans="1:11" hidden="1">
      <c r="A4101" s="28">
        <v>46310</v>
      </c>
      <c r="B4101" t="s">
        <v>3523</v>
      </c>
      <c r="C4101" t="s">
        <v>151</v>
      </c>
      <c r="D4101" t="s">
        <v>3462</v>
      </c>
      <c r="E4101" t="str">
        <f>IF(LEFT(D4101,6)="CLIENT",IFERROR(VLOOKUP(C4101,Config_Carteiras!$A:$B,2,FALSE),1),"")</f>
        <v/>
      </c>
      <c r="F4101" s="25">
        <v>0</v>
      </c>
      <c r="G4101" s="28" t="str">
        <f>IF(LEFT(D4101,6)="CLIENT",IF(E4101=0,WORKDAY(A4101-1,1,Dias_Sem_Compensacao!$A$2:$A$500),WORKDAY(A4101,E4101,Dias_Sem_Compensacao!$A$2:$A$500)),"")</f>
        <v/>
      </c>
      <c r="H4101" s="25">
        <v>49.75</v>
      </c>
      <c r="I4101" s="28">
        <v>46310</v>
      </c>
      <c r="K4101" t="s">
        <v>3769</v>
      </c>
    </row>
    <row r="4102" spans="1:11" hidden="1">
      <c r="A4102" s="28">
        <v>46310</v>
      </c>
      <c r="B4102" t="s">
        <v>3523</v>
      </c>
      <c r="C4102" t="s">
        <v>151</v>
      </c>
      <c r="D4102" t="s">
        <v>3462</v>
      </c>
      <c r="E4102" t="str">
        <f>IF(LEFT(D4102,6)="CLIENT",IFERROR(VLOOKUP(C4102,Config_Carteiras!$A:$B,2,FALSE),1),"")</f>
        <v/>
      </c>
      <c r="F4102" s="25">
        <v>0</v>
      </c>
      <c r="G4102" s="28" t="str">
        <f>IF(LEFT(D4102,6)="CLIENT",IF(E4102=0,WORKDAY(A4102-1,1,Dias_Sem_Compensacao!$A$2:$A$500),WORKDAY(A4102,E4102,Dias_Sem_Compensacao!$A$2:$A$500)),"")</f>
        <v/>
      </c>
      <c r="H4102" s="25">
        <v>279</v>
      </c>
      <c r="I4102" s="28">
        <v>46310</v>
      </c>
      <c r="K4102" t="s">
        <v>3770</v>
      </c>
    </row>
    <row r="4103" spans="1:11" hidden="1">
      <c r="A4103" s="28">
        <v>46310</v>
      </c>
      <c r="B4103" t="s">
        <v>3523</v>
      </c>
      <c r="C4103" t="s">
        <v>151</v>
      </c>
      <c r="D4103" t="s">
        <v>3462</v>
      </c>
      <c r="E4103" t="str">
        <f>IF(LEFT(D4103,6)="CLIENT",IFERROR(VLOOKUP(C4103,Config_Carteiras!$A:$B,2,FALSE),1),"")</f>
        <v/>
      </c>
      <c r="F4103" s="25">
        <v>0</v>
      </c>
      <c r="G4103" s="28" t="str">
        <f>IF(LEFT(D4103,6)="CLIENT",IF(E4103=0,WORKDAY(A4103-1,1,Dias_Sem_Compensacao!$A$2:$A$500),WORKDAY(A4103,E4103,Dias_Sem_Compensacao!$A$2:$A$500)),"")</f>
        <v/>
      </c>
      <c r="H4103" s="25">
        <v>11</v>
      </c>
      <c r="I4103" s="28">
        <v>46310</v>
      </c>
      <c r="K4103" t="s">
        <v>3771</v>
      </c>
    </row>
    <row r="4104" spans="1:11" hidden="1">
      <c r="A4104" s="28">
        <v>46310</v>
      </c>
      <c r="B4104" t="s">
        <v>3523</v>
      </c>
      <c r="C4104" t="s">
        <v>151</v>
      </c>
      <c r="D4104" t="s">
        <v>3462</v>
      </c>
      <c r="E4104" t="str">
        <f>IF(LEFT(D4104,6)="CLIENT",IFERROR(VLOOKUP(C4104,Config_Carteiras!$A:$B,2,FALSE),1),"")</f>
        <v/>
      </c>
      <c r="F4104" s="25">
        <v>0</v>
      </c>
      <c r="G4104" s="28" t="str">
        <f>IF(LEFT(D4104,6)="CLIENT",IF(E4104=0,WORKDAY(A4104-1,1,Dias_Sem_Compensacao!$A$2:$A$500),WORKDAY(A4104,E4104,Dias_Sem_Compensacao!$A$2:$A$500)),"")</f>
        <v/>
      </c>
      <c r="H4104" s="25">
        <v>22</v>
      </c>
      <c r="I4104" s="28">
        <v>46310</v>
      </c>
      <c r="K4104" t="s">
        <v>3772</v>
      </c>
    </row>
    <row r="4105" spans="1:11" hidden="1">
      <c r="A4105" s="28">
        <v>46310</v>
      </c>
      <c r="B4105" t="s">
        <v>3523</v>
      </c>
      <c r="C4105" t="s">
        <v>151</v>
      </c>
      <c r="D4105" t="s">
        <v>3462</v>
      </c>
      <c r="E4105" t="str">
        <f>IF(LEFT(D4105,6)="CLIENT",IFERROR(VLOOKUP(C4105,Config_Carteiras!$A:$B,2,FALSE),1),"")</f>
        <v/>
      </c>
      <c r="F4105" s="25">
        <v>0</v>
      </c>
      <c r="G4105" s="28" t="str">
        <f>IF(LEFT(D4105,6)="CLIENT",IF(E4105=0,WORKDAY(A4105-1,1,Dias_Sem_Compensacao!$A$2:$A$500),WORKDAY(A4105,E4105,Dias_Sem_Compensacao!$A$2:$A$500)),"")</f>
        <v/>
      </c>
      <c r="H4105" s="25">
        <v>214</v>
      </c>
      <c r="I4105" s="28">
        <v>46310</v>
      </c>
      <c r="K4105" t="s">
        <v>3773</v>
      </c>
    </row>
    <row r="4106" spans="1:11" hidden="1">
      <c r="A4106" s="28">
        <v>46310</v>
      </c>
      <c r="B4106" t="s">
        <v>3523</v>
      </c>
      <c r="C4106" t="s">
        <v>151</v>
      </c>
      <c r="D4106" t="s">
        <v>3462</v>
      </c>
      <c r="E4106" t="str">
        <f>IF(LEFT(D4106,6)="CLIENT",IFERROR(VLOOKUP(C4106,Config_Carteiras!$A:$B,2,FALSE),1),"")</f>
        <v/>
      </c>
      <c r="F4106" s="25">
        <v>0</v>
      </c>
      <c r="G4106" s="28" t="str">
        <f>IF(LEFT(D4106,6)="CLIENT",IF(E4106=0,WORKDAY(A4106-1,1,Dias_Sem_Compensacao!$A$2:$A$500),WORKDAY(A4106,E4106,Dias_Sem_Compensacao!$A$2:$A$500)),"")</f>
        <v/>
      </c>
      <c r="H4106" s="25">
        <v>114</v>
      </c>
      <c r="I4106" s="28">
        <v>46310</v>
      </c>
      <c r="K4106" t="s">
        <v>3774</v>
      </c>
    </row>
    <row r="4107" spans="1:11" hidden="1">
      <c r="A4107" s="28">
        <v>46310</v>
      </c>
      <c r="B4107" t="s">
        <v>3523</v>
      </c>
      <c r="C4107" t="s">
        <v>151</v>
      </c>
      <c r="D4107" t="s">
        <v>3462</v>
      </c>
      <c r="E4107" t="str">
        <f>IF(LEFT(D4107,6)="CLIENT",IFERROR(VLOOKUP(C4107,Config_Carteiras!$A:$B,2,FALSE),1),"")</f>
        <v/>
      </c>
      <c r="F4107" s="25">
        <v>0</v>
      </c>
      <c r="G4107" s="28" t="str">
        <f>IF(LEFT(D4107,6)="CLIENT",IF(E4107=0,WORKDAY(A4107-1,1,Dias_Sem_Compensacao!$A$2:$A$500),WORKDAY(A4107,E4107,Dias_Sem_Compensacao!$A$2:$A$500)),"")</f>
        <v/>
      </c>
      <c r="H4107" s="25">
        <v>47.75</v>
      </c>
      <c r="I4107" s="28">
        <v>46310</v>
      </c>
      <c r="K4107" t="s">
        <v>3775</v>
      </c>
    </row>
    <row r="4108" spans="1:11" hidden="1">
      <c r="A4108" s="28">
        <v>46310</v>
      </c>
      <c r="B4108" t="s">
        <v>3523</v>
      </c>
      <c r="C4108" t="s">
        <v>151</v>
      </c>
      <c r="D4108" t="s">
        <v>3462</v>
      </c>
      <c r="E4108" t="str">
        <f>IF(LEFT(D4108,6)="CLIENT",IFERROR(VLOOKUP(C4108,Config_Carteiras!$A:$B,2,FALSE),1),"")</f>
        <v/>
      </c>
      <c r="F4108" s="25">
        <v>0</v>
      </c>
      <c r="G4108" s="28" t="str">
        <f>IF(LEFT(D4108,6)="CLIENT",IF(E4108=0,WORKDAY(A4108-1,1,Dias_Sem_Compensacao!$A$2:$A$500),WORKDAY(A4108,E4108,Dias_Sem_Compensacao!$A$2:$A$500)),"")</f>
        <v/>
      </c>
      <c r="H4108" s="25">
        <v>177.75</v>
      </c>
      <c r="I4108" s="28">
        <v>46310</v>
      </c>
      <c r="K4108" t="s">
        <v>3776</v>
      </c>
    </row>
    <row r="4109" spans="1:11" hidden="1">
      <c r="A4109" s="28">
        <v>46310</v>
      </c>
      <c r="B4109" t="s">
        <v>3523</v>
      </c>
      <c r="C4109" t="s">
        <v>151</v>
      </c>
      <c r="D4109" t="s">
        <v>3462</v>
      </c>
      <c r="E4109" t="str">
        <f>IF(LEFT(D4109,6)="CLIENT",IFERROR(VLOOKUP(C4109,Config_Carteiras!$A:$B,2,FALSE),1),"")</f>
        <v/>
      </c>
      <c r="F4109" s="25">
        <v>0</v>
      </c>
      <c r="G4109" s="28" t="str">
        <f>IF(LEFT(D4109,6)="CLIENT",IF(E4109=0,WORKDAY(A4109-1,1,Dias_Sem_Compensacao!$A$2:$A$500),WORKDAY(A4109,E4109,Dias_Sem_Compensacao!$A$2:$A$500)),"")</f>
        <v/>
      </c>
      <c r="H4109" s="25">
        <v>197.25</v>
      </c>
      <c r="I4109" s="28">
        <v>46310</v>
      </c>
      <c r="K4109" t="s">
        <v>3777</v>
      </c>
    </row>
    <row r="4110" spans="1:11" hidden="1">
      <c r="A4110" s="28">
        <v>46310</v>
      </c>
      <c r="B4110" t="s">
        <v>3523</v>
      </c>
      <c r="C4110" t="s">
        <v>151</v>
      </c>
      <c r="D4110" t="s">
        <v>3462</v>
      </c>
      <c r="E4110" t="str">
        <f>IF(LEFT(D4110,6)="CLIENT",IFERROR(VLOOKUP(C4110,Config_Carteiras!$A:$B,2,FALSE),1),"")</f>
        <v/>
      </c>
      <c r="F4110" s="25">
        <v>0</v>
      </c>
      <c r="G4110" s="28" t="str">
        <f>IF(LEFT(D4110,6)="CLIENT",IF(E4110=0,WORKDAY(A4110-1,1,Dias_Sem_Compensacao!$A$2:$A$500),WORKDAY(A4110,E4110,Dias_Sem_Compensacao!$A$2:$A$500)),"")</f>
        <v/>
      </c>
      <c r="H4110" s="25">
        <v>68.599999999999994</v>
      </c>
      <c r="I4110" s="28">
        <v>46310</v>
      </c>
      <c r="K4110" t="s">
        <v>3778</v>
      </c>
    </row>
    <row r="4111" spans="1:11" hidden="1">
      <c r="A4111" s="28">
        <v>46310</v>
      </c>
      <c r="B4111" t="s">
        <v>3523</v>
      </c>
      <c r="C4111" t="s">
        <v>151</v>
      </c>
      <c r="D4111" t="s">
        <v>3462</v>
      </c>
      <c r="E4111" t="str">
        <f>IF(LEFT(D4111,6)="CLIENT",IFERROR(VLOOKUP(C4111,Config_Carteiras!$A:$B,2,FALSE),1),"")</f>
        <v/>
      </c>
      <c r="F4111" s="25">
        <v>0</v>
      </c>
      <c r="G4111" s="28" t="str">
        <f>IF(LEFT(D4111,6)="CLIENT",IF(E4111=0,WORKDAY(A4111-1,1,Dias_Sem_Compensacao!$A$2:$A$500),WORKDAY(A4111,E4111,Dias_Sem_Compensacao!$A$2:$A$500)),"")</f>
        <v/>
      </c>
      <c r="H4111" s="25">
        <v>16.5</v>
      </c>
      <c r="I4111" s="28">
        <v>46310</v>
      </c>
      <c r="K4111" t="s">
        <v>3779</v>
      </c>
    </row>
    <row r="4112" spans="1:11" hidden="1">
      <c r="A4112" s="28">
        <v>46310</v>
      </c>
      <c r="B4112" t="s">
        <v>3523</v>
      </c>
      <c r="C4112" t="s">
        <v>151</v>
      </c>
      <c r="D4112" t="s">
        <v>3462</v>
      </c>
      <c r="E4112" t="str">
        <f>IF(LEFT(D4112,6)="CLIENT",IFERROR(VLOOKUP(C4112,Config_Carteiras!$A:$B,2,FALSE),1),"")</f>
        <v/>
      </c>
      <c r="F4112" s="25">
        <v>0</v>
      </c>
      <c r="G4112" s="28" t="str">
        <f>IF(LEFT(D4112,6)="CLIENT",IF(E4112=0,WORKDAY(A4112-1,1,Dias_Sem_Compensacao!$A$2:$A$500),WORKDAY(A4112,E4112,Dias_Sem_Compensacao!$A$2:$A$500)),"")</f>
        <v/>
      </c>
      <c r="H4112" s="25">
        <v>437.97</v>
      </c>
      <c r="I4112" s="28">
        <v>46310</v>
      </c>
      <c r="K4112" t="s">
        <v>3780</v>
      </c>
    </row>
    <row r="4113" spans="1:11" hidden="1">
      <c r="A4113" s="28">
        <v>46310</v>
      </c>
      <c r="B4113" t="s">
        <v>3523</v>
      </c>
      <c r="C4113" t="s">
        <v>151</v>
      </c>
      <c r="D4113" t="s">
        <v>3462</v>
      </c>
      <c r="E4113" t="str">
        <f>IF(LEFT(D4113,6)="CLIENT",IFERROR(VLOOKUP(C4113,Config_Carteiras!$A:$B,2,FALSE),1),"")</f>
        <v/>
      </c>
      <c r="F4113" s="25">
        <v>0</v>
      </c>
      <c r="G4113" s="28" t="str">
        <f>IF(LEFT(D4113,6)="CLIENT",IF(E4113=0,WORKDAY(A4113-1,1,Dias_Sem_Compensacao!$A$2:$A$500),WORKDAY(A4113,E4113,Dias_Sem_Compensacao!$A$2:$A$500)),"")</f>
        <v/>
      </c>
      <c r="H4113" s="25">
        <v>663.45</v>
      </c>
      <c r="I4113" s="28">
        <v>46310</v>
      </c>
      <c r="K4113" t="s">
        <v>3781</v>
      </c>
    </row>
    <row r="4114" spans="1:11" hidden="1">
      <c r="A4114" s="28">
        <v>46310</v>
      </c>
      <c r="B4114" t="s">
        <v>3523</v>
      </c>
      <c r="C4114" t="s">
        <v>151</v>
      </c>
      <c r="D4114" t="s">
        <v>3462</v>
      </c>
      <c r="E4114" t="str">
        <f>IF(LEFT(D4114,6)="CLIENT",IFERROR(VLOOKUP(C4114,Config_Carteiras!$A:$B,2,FALSE),1),"")</f>
        <v/>
      </c>
      <c r="F4114" s="25">
        <v>0</v>
      </c>
      <c r="G4114" s="28" t="str">
        <f>IF(LEFT(D4114,6)="CLIENT",IF(E4114=0,WORKDAY(A4114-1,1,Dias_Sem_Compensacao!$A$2:$A$500),WORKDAY(A4114,E4114,Dias_Sem_Compensacao!$A$2:$A$500)),"")</f>
        <v/>
      </c>
      <c r="H4114" s="25">
        <v>843</v>
      </c>
      <c r="I4114" s="28">
        <v>46310</v>
      </c>
      <c r="K4114" t="s">
        <v>3782</v>
      </c>
    </row>
    <row r="4115" spans="1:11" hidden="1">
      <c r="A4115" s="28">
        <v>46310</v>
      </c>
      <c r="B4115" t="s">
        <v>3523</v>
      </c>
      <c r="C4115" t="s">
        <v>151</v>
      </c>
      <c r="D4115" t="s">
        <v>3462</v>
      </c>
      <c r="E4115" t="str">
        <f>IF(LEFT(D4115,6)="CLIENT",IFERROR(VLOOKUP(C4115,Config_Carteiras!$A:$B,2,FALSE),1),"")</f>
        <v/>
      </c>
      <c r="F4115" s="25">
        <v>0</v>
      </c>
      <c r="G4115" s="28" t="str">
        <f>IF(LEFT(D4115,6)="CLIENT",IF(E4115=0,WORKDAY(A4115-1,1,Dias_Sem_Compensacao!$A$2:$A$500),WORKDAY(A4115,E4115,Dias_Sem_Compensacao!$A$2:$A$500)),"")</f>
        <v/>
      </c>
      <c r="H4115" s="25">
        <v>38.5</v>
      </c>
      <c r="I4115" s="28">
        <v>46310</v>
      </c>
      <c r="K4115" t="s">
        <v>3783</v>
      </c>
    </row>
    <row r="4116" spans="1:11" hidden="1">
      <c r="A4116" s="28">
        <v>46310</v>
      </c>
      <c r="B4116" t="s">
        <v>3523</v>
      </c>
      <c r="C4116" t="s">
        <v>151</v>
      </c>
      <c r="D4116" t="s">
        <v>3462</v>
      </c>
      <c r="E4116" t="str">
        <f>IF(LEFT(D4116,6)="CLIENT",IFERROR(VLOOKUP(C4116,Config_Carteiras!$A:$B,2,FALSE),1),"")</f>
        <v/>
      </c>
      <c r="F4116" s="25">
        <v>0</v>
      </c>
      <c r="G4116" s="28" t="str">
        <f>IF(LEFT(D4116,6)="CLIENT",IF(E4116=0,WORKDAY(A4116-1,1,Dias_Sem_Compensacao!$A$2:$A$500),WORKDAY(A4116,E4116,Dias_Sem_Compensacao!$A$2:$A$500)),"")</f>
        <v/>
      </c>
      <c r="H4116" s="25">
        <v>138.80000000000001</v>
      </c>
      <c r="I4116" s="28">
        <v>46310</v>
      </c>
      <c r="K4116" t="s">
        <v>3784</v>
      </c>
    </row>
    <row r="4117" spans="1:11" hidden="1">
      <c r="A4117" s="28">
        <v>46310</v>
      </c>
      <c r="B4117" t="s">
        <v>3523</v>
      </c>
      <c r="C4117" t="s">
        <v>151</v>
      </c>
      <c r="D4117" t="s">
        <v>3462</v>
      </c>
      <c r="E4117" t="str">
        <f>IF(LEFT(D4117,6)="CLIENT",IFERROR(VLOOKUP(C4117,Config_Carteiras!$A:$B,2,FALSE),1),"")</f>
        <v/>
      </c>
      <c r="F4117" s="25">
        <v>0</v>
      </c>
      <c r="G4117" s="28" t="str">
        <f>IF(LEFT(D4117,6)="CLIENT",IF(E4117=0,WORKDAY(A4117-1,1,Dias_Sem_Compensacao!$A$2:$A$500),WORKDAY(A4117,E4117,Dias_Sem_Compensacao!$A$2:$A$500)),"")</f>
        <v/>
      </c>
      <c r="H4117" s="25">
        <v>64.75</v>
      </c>
      <c r="I4117" s="28">
        <v>46310</v>
      </c>
      <c r="K4117" t="s">
        <v>3785</v>
      </c>
    </row>
    <row r="4118" spans="1:11" hidden="1">
      <c r="A4118" s="28">
        <v>46310</v>
      </c>
      <c r="B4118" t="s">
        <v>3523</v>
      </c>
      <c r="C4118" t="s">
        <v>151</v>
      </c>
      <c r="D4118" t="s">
        <v>3462</v>
      </c>
      <c r="E4118" t="str">
        <f>IF(LEFT(D4118,6)="CLIENT",IFERROR(VLOOKUP(C4118,Config_Carteiras!$A:$B,2,FALSE),1),"")</f>
        <v/>
      </c>
      <c r="F4118" s="25">
        <v>0</v>
      </c>
      <c r="G4118" s="28" t="str">
        <f>IF(LEFT(D4118,6)="CLIENT",IF(E4118=0,WORKDAY(A4118-1,1,Dias_Sem_Compensacao!$A$2:$A$500),WORKDAY(A4118,E4118,Dias_Sem_Compensacao!$A$2:$A$500)),"")</f>
        <v/>
      </c>
      <c r="H4118" s="25">
        <v>64.75</v>
      </c>
      <c r="I4118" s="28">
        <v>46310</v>
      </c>
      <c r="K4118" t="s">
        <v>3786</v>
      </c>
    </row>
    <row r="4119" spans="1:11" hidden="1">
      <c r="A4119" s="28">
        <v>46310</v>
      </c>
      <c r="B4119" t="s">
        <v>3523</v>
      </c>
      <c r="C4119" t="s">
        <v>151</v>
      </c>
      <c r="D4119" t="s">
        <v>3462</v>
      </c>
      <c r="E4119" t="str">
        <f>IF(LEFT(D4119,6)="CLIENT",IFERROR(VLOOKUP(C4119,Config_Carteiras!$A:$B,2,FALSE),1),"")</f>
        <v/>
      </c>
      <c r="F4119" s="25">
        <v>0</v>
      </c>
      <c r="G4119" s="28" t="str">
        <f>IF(LEFT(D4119,6)="CLIENT",IF(E4119=0,WORKDAY(A4119-1,1,Dias_Sem_Compensacao!$A$2:$A$500),WORKDAY(A4119,E4119,Dias_Sem_Compensacao!$A$2:$A$500)),"")</f>
        <v/>
      </c>
      <c r="H4119" s="25">
        <v>157.75</v>
      </c>
      <c r="I4119" s="28">
        <v>46310</v>
      </c>
      <c r="K4119" t="s">
        <v>3787</v>
      </c>
    </row>
    <row r="4120" spans="1:11" hidden="1">
      <c r="A4120" s="28">
        <v>46310</v>
      </c>
      <c r="B4120" t="s">
        <v>3523</v>
      </c>
      <c r="C4120" t="s">
        <v>151</v>
      </c>
      <c r="D4120" t="s">
        <v>3462</v>
      </c>
      <c r="E4120" t="str">
        <f>IF(LEFT(D4120,6)="CLIENT",IFERROR(VLOOKUP(C4120,Config_Carteiras!$A:$B,2,FALSE),1),"")</f>
        <v/>
      </c>
      <c r="F4120" s="25">
        <v>0</v>
      </c>
      <c r="G4120" s="28" t="str">
        <f>IF(LEFT(D4120,6)="CLIENT",IF(E4120=0,WORKDAY(A4120-1,1,Dias_Sem_Compensacao!$A$2:$A$500),WORKDAY(A4120,E4120,Dias_Sem_Compensacao!$A$2:$A$500)),"")</f>
        <v/>
      </c>
      <c r="H4120" s="25">
        <v>632.41999999999996</v>
      </c>
      <c r="I4120" s="28">
        <v>46310</v>
      </c>
      <c r="J4120" t="s">
        <v>3720</v>
      </c>
      <c r="K4120" t="s">
        <v>3788</v>
      </c>
    </row>
    <row r="4121" spans="1:11" hidden="1">
      <c r="A4121" s="28">
        <v>46310</v>
      </c>
      <c r="B4121" t="s">
        <v>3523</v>
      </c>
      <c r="C4121" t="s">
        <v>151</v>
      </c>
      <c r="D4121" t="s">
        <v>3462</v>
      </c>
      <c r="E4121" t="str">
        <f>IF(LEFT(D4121,6)="CLIENT",IFERROR(VLOOKUP(C4121,Config_Carteiras!$A:$B,2,FALSE),1),"")</f>
        <v/>
      </c>
      <c r="F4121" s="25">
        <v>0</v>
      </c>
      <c r="G4121" s="28" t="str">
        <f>IF(LEFT(D4121,6)="CLIENT",IF(E4121=0,WORKDAY(A4121-1,1,Dias_Sem_Compensacao!$A$2:$A$500),WORKDAY(A4121,E4121,Dias_Sem_Compensacao!$A$2:$A$500)),"")</f>
        <v/>
      </c>
      <c r="H4121" s="25">
        <v>544.30999999999995</v>
      </c>
      <c r="I4121" s="28">
        <v>46310</v>
      </c>
      <c r="K4121" t="s">
        <v>3789</v>
      </c>
    </row>
    <row r="4122" spans="1:11" hidden="1">
      <c r="A4122" s="28">
        <v>46310</v>
      </c>
      <c r="B4122" t="s">
        <v>3523</v>
      </c>
      <c r="C4122" t="s">
        <v>151</v>
      </c>
      <c r="D4122" t="s">
        <v>3462</v>
      </c>
      <c r="E4122" t="str">
        <f>IF(LEFT(D4122,6)="CLIENT",IFERROR(VLOOKUP(C4122,Config_Carteiras!$A:$B,2,FALSE),1),"")</f>
        <v/>
      </c>
      <c r="F4122" s="25">
        <v>0</v>
      </c>
      <c r="G4122" s="28" t="str">
        <f>IF(LEFT(D4122,6)="CLIENT",IF(E4122=0,WORKDAY(A4122-1,1,Dias_Sem_Compensacao!$A$2:$A$500),WORKDAY(A4122,E4122,Dias_Sem_Compensacao!$A$2:$A$500)),"")</f>
        <v/>
      </c>
      <c r="H4122" s="25">
        <v>30480.11</v>
      </c>
      <c r="I4122" s="28">
        <v>46310</v>
      </c>
      <c r="J4122" t="s">
        <v>3607</v>
      </c>
      <c r="K4122" t="s">
        <v>3790</v>
      </c>
    </row>
    <row r="4123" spans="1:11" hidden="1">
      <c r="A4123" s="28">
        <v>46310</v>
      </c>
      <c r="B4123" t="s">
        <v>3523</v>
      </c>
      <c r="C4123" t="s">
        <v>151</v>
      </c>
      <c r="D4123" t="s">
        <v>3462</v>
      </c>
      <c r="E4123" t="str">
        <f>IF(LEFT(D4123,6)="CLIENT",IFERROR(VLOOKUP(C4123,Config_Carteiras!$A:$B,2,FALSE),1),"")</f>
        <v/>
      </c>
      <c r="F4123" s="25">
        <v>0</v>
      </c>
      <c r="G4123" s="28" t="str">
        <f>IF(LEFT(D4123,6)="CLIENT",IF(E4123=0,WORKDAY(A4123-1,1,Dias_Sem_Compensacao!$A$2:$A$500),WORKDAY(A4123,E4123,Dias_Sem_Compensacao!$A$2:$A$500)),"")</f>
        <v/>
      </c>
      <c r="H4123" s="25">
        <v>1891.41</v>
      </c>
      <c r="I4123" s="28">
        <v>46310</v>
      </c>
      <c r="J4123" t="s">
        <v>3791</v>
      </c>
      <c r="K4123" t="s">
        <v>3792</v>
      </c>
    </row>
    <row r="4124" spans="1:11" hidden="1">
      <c r="A4124" s="28">
        <v>46310</v>
      </c>
      <c r="B4124" t="s">
        <v>3523</v>
      </c>
      <c r="C4124" t="s">
        <v>151</v>
      </c>
      <c r="D4124" t="s">
        <v>3462</v>
      </c>
      <c r="E4124" t="str">
        <f>IF(LEFT(D4124,6)="CLIENT",IFERROR(VLOOKUP(C4124,Config_Carteiras!$A:$B,2,FALSE),1),"")</f>
        <v/>
      </c>
      <c r="F4124" s="25">
        <v>0</v>
      </c>
      <c r="G4124" s="28" t="str">
        <f>IF(LEFT(D4124,6)="CLIENT",IF(E4124=0,WORKDAY(A4124-1,1,Dias_Sem_Compensacao!$A$2:$A$500),WORKDAY(A4124,E4124,Dias_Sem_Compensacao!$A$2:$A$500)),"")</f>
        <v/>
      </c>
      <c r="H4124" s="25">
        <v>231.33</v>
      </c>
      <c r="I4124" s="28">
        <v>46310</v>
      </c>
      <c r="J4124" t="s">
        <v>42</v>
      </c>
      <c r="K4124" t="s">
        <v>3793</v>
      </c>
    </row>
    <row r="4125" spans="1:11" hidden="1">
      <c r="A4125" s="28">
        <v>46310</v>
      </c>
      <c r="B4125" t="s">
        <v>3523</v>
      </c>
      <c r="C4125" t="s">
        <v>151</v>
      </c>
      <c r="D4125" t="s">
        <v>3462</v>
      </c>
      <c r="E4125" t="str">
        <f>IF(LEFT(D4125,6)="CLIENT",IFERROR(VLOOKUP(C4125,Config_Carteiras!$A:$B,2,FALSE),1),"")</f>
        <v/>
      </c>
      <c r="F4125" s="25">
        <v>0</v>
      </c>
      <c r="G4125" s="28" t="str">
        <f>IF(LEFT(D4125,6)="CLIENT",IF(E4125=0,WORKDAY(A4125-1,1,Dias_Sem_Compensacao!$A$2:$A$500),WORKDAY(A4125,E4125,Dias_Sem_Compensacao!$A$2:$A$500)),"")</f>
        <v/>
      </c>
      <c r="H4125" s="25">
        <v>252.14</v>
      </c>
      <c r="I4125" s="28">
        <v>46310</v>
      </c>
      <c r="K4125" t="s">
        <v>3794</v>
      </c>
    </row>
    <row r="4126" spans="1:11" hidden="1">
      <c r="A4126" s="28">
        <v>46310</v>
      </c>
      <c r="B4126" t="s">
        <v>3523</v>
      </c>
      <c r="C4126" t="s">
        <v>151</v>
      </c>
      <c r="D4126" t="s">
        <v>3462</v>
      </c>
      <c r="E4126" t="str">
        <f>IF(LEFT(D4126,6)="CLIENT",IFERROR(VLOOKUP(C4126,Config_Carteiras!$A:$B,2,FALSE),1),"")</f>
        <v/>
      </c>
      <c r="F4126" s="25">
        <v>0</v>
      </c>
      <c r="G4126" s="28" t="str">
        <f>IF(LEFT(D4126,6)="CLIENT",IF(E4126=0,WORKDAY(A4126-1,1,Dias_Sem_Compensacao!$A$2:$A$500),WORKDAY(A4126,E4126,Dias_Sem_Compensacao!$A$2:$A$500)),"")</f>
        <v/>
      </c>
      <c r="H4126" s="25">
        <v>199.38</v>
      </c>
      <c r="I4126" s="28">
        <v>46310</v>
      </c>
      <c r="K4126" t="s">
        <v>3795</v>
      </c>
    </row>
    <row r="4127" spans="1:11" hidden="1">
      <c r="A4127" s="28">
        <v>46310</v>
      </c>
      <c r="B4127" t="s">
        <v>3523</v>
      </c>
      <c r="C4127" t="s">
        <v>151</v>
      </c>
      <c r="D4127" t="s">
        <v>3462</v>
      </c>
      <c r="E4127" t="str">
        <f>IF(LEFT(D4127,6)="CLIENT",IFERROR(VLOOKUP(C4127,Config_Carteiras!$A:$B,2,FALSE),1),"")</f>
        <v/>
      </c>
      <c r="F4127" s="25">
        <v>0</v>
      </c>
      <c r="G4127" s="28" t="str">
        <f>IF(LEFT(D4127,6)="CLIENT",IF(E4127=0,WORKDAY(A4127-1,1,Dias_Sem_Compensacao!$A$2:$A$500),WORKDAY(A4127,E4127,Dias_Sem_Compensacao!$A$2:$A$500)),"")</f>
        <v/>
      </c>
      <c r="H4127" s="25">
        <v>2692.82</v>
      </c>
      <c r="I4127" s="28">
        <v>46310</v>
      </c>
      <c r="J4127" t="s">
        <v>3674</v>
      </c>
      <c r="K4127" t="s">
        <v>3796</v>
      </c>
    </row>
    <row r="4128" spans="1:11" hidden="1">
      <c r="A4128" s="28">
        <v>46310</v>
      </c>
      <c r="B4128" t="s">
        <v>3523</v>
      </c>
      <c r="C4128" t="s">
        <v>151</v>
      </c>
      <c r="D4128" t="s">
        <v>3462</v>
      </c>
      <c r="E4128" t="str">
        <f>IF(LEFT(D4128,6)="CLIENT",IFERROR(VLOOKUP(C4128,Config_Carteiras!$A:$B,2,FALSE),1),"")</f>
        <v/>
      </c>
      <c r="F4128" s="25">
        <v>0</v>
      </c>
      <c r="G4128" s="28" t="str">
        <f>IF(LEFT(D4128,6)="CLIENT",IF(E4128=0,WORKDAY(A4128-1,1,Dias_Sem_Compensacao!$A$2:$A$500),WORKDAY(A4128,E4128,Dias_Sem_Compensacao!$A$2:$A$500)),"")</f>
        <v/>
      </c>
      <c r="H4128" s="25">
        <v>22198.09</v>
      </c>
      <c r="I4128" s="28">
        <v>46310</v>
      </c>
      <c r="J4128" t="s">
        <v>3797</v>
      </c>
      <c r="K4128" t="s">
        <v>3798</v>
      </c>
    </row>
    <row r="4129" spans="1:11" hidden="1">
      <c r="A4129" s="28">
        <v>46310</v>
      </c>
      <c r="B4129" t="s">
        <v>3523</v>
      </c>
      <c r="C4129" t="s">
        <v>151</v>
      </c>
      <c r="D4129" t="s">
        <v>3462</v>
      </c>
      <c r="E4129" t="str">
        <f>IF(LEFT(D4129,6)="CLIENT",IFERROR(VLOOKUP(C4129,Config_Carteiras!$A:$B,2,FALSE),1),"")</f>
        <v/>
      </c>
      <c r="F4129" s="25">
        <v>0</v>
      </c>
      <c r="G4129" s="28" t="str">
        <f>IF(LEFT(D4129,6)="CLIENT",IF(E4129=0,WORKDAY(A4129-1,1,Dias_Sem_Compensacao!$A$2:$A$500),WORKDAY(A4129,E4129,Dias_Sem_Compensacao!$A$2:$A$500)),"")</f>
        <v/>
      </c>
      <c r="H4129" s="25">
        <v>1090</v>
      </c>
      <c r="I4129" s="28">
        <v>46310</v>
      </c>
      <c r="J4129" t="s">
        <v>3638</v>
      </c>
      <c r="K4129" t="s">
        <v>3799</v>
      </c>
    </row>
    <row r="4130" spans="1:11" hidden="1">
      <c r="A4130" s="28">
        <v>46310</v>
      </c>
      <c r="B4130" t="s">
        <v>3523</v>
      </c>
      <c r="C4130" t="s">
        <v>151</v>
      </c>
      <c r="D4130" t="s">
        <v>3462</v>
      </c>
      <c r="E4130" t="str">
        <f>IF(LEFT(D4130,6)="CLIENT",IFERROR(VLOOKUP(C4130,Config_Carteiras!$A:$B,2,FALSE),1),"")</f>
        <v/>
      </c>
      <c r="F4130" s="25">
        <v>0</v>
      </c>
      <c r="G4130" s="28" t="str">
        <f>IF(LEFT(D4130,6)="CLIENT",IF(E4130=0,WORKDAY(A4130-1,1,Dias_Sem_Compensacao!$A$2:$A$500),WORKDAY(A4130,E4130,Dias_Sem_Compensacao!$A$2:$A$500)),"")</f>
        <v/>
      </c>
      <c r="H4130" s="25">
        <v>1110</v>
      </c>
      <c r="I4130" s="28">
        <v>46310</v>
      </c>
      <c r="J4130" t="s">
        <v>48</v>
      </c>
      <c r="K4130" t="s">
        <v>3800</v>
      </c>
    </row>
    <row r="4131" spans="1:11" hidden="1">
      <c r="A4131" s="28">
        <v>46311</v>
      </c>
      <c r="B4131" t="s">
        <v>3523</v>
      </c>
      <c r="C4131" t="s">
        <v>151</v>
      </c>
      <c r="D4131" t="s">
        <v>3462</v>
      </c>
      <c r="E4131" t="str">
        <f>IF(LEFT(D4131,6)="CLIENT",IFERROR(VLOOKUP(C4131,Config_Carteiras!$A:$B,2,FALSE),1),"")</f>
        <v/>
      </c>
      <c r="F4131" s="25">
        <v>0</v>
      </c>
      <c r="G4131" s="28" t="str">
        <f>IF(LEFT(D4131,6)="CLIENT",IF(E4131=0,WORKDAY(A4131-1,1,Dias_Sem_Compensacao!$A$2:$A$500),WORKDAY(A4131,E4131,Dias_Sem_Compensacao!$A$2:$A$500)),"")</f>
        <v/>
      </c>
      <c r="H4131" s="25">
        <v>98.9</v>
      </c>
      <c r="I4131" s="28">
        <v>46311</v>
      </c>
      <c r="J4131" t="s">
        <v>3549</v>
      </c>
      <c r="K4131" t="s">
        <v>3801</v>
      </c>
    </row>
    <row r="4132" spans="1:11" hidden="1">
      <c r="A4132" s="28">
        <v>46311</v>
      </c>
      <c r="B4132" t="s">
        <v>3523</v>
      </c>
      <c r="C4132" t="s">
        <v>151</v>
      </c>
      <c r="D4132" t="s">
        <v>3462</v>
      </c>
      <c r="E4132" t="str">
        <f>IF(LEFT(D4132,6)="CLIENT",IFERROR(VLOOKUP(C4132,Config_Carteiras!$A:$B,2,FALSE),1),"")</f>
        <v/>
      </c>
      <c r="F4132" s="25">
        <v>0</v>
      </c>
      <c r="G4132" s="28" t="str">
        <f>IF(LEFT(D4132,6)="CLIENT",IF(E4132=0,WORKDAY(A4132-1,1,Dias_Sem_Compensacao!$A$2:$A$500),WORKDAY(A4132,E4132,Dias_Sem_Compensacao!$A$2:$A$500)),"")</f>
        <v/>
      </c>
      <c r="H4132" s="25">
        <v>118.79</v>
      </c>
      <c r="I4132" s="28">
        <v>46311</v>
      </c>
      <c r="K4132" t="s">
        <v>3802</v>
      </c>
    </row>
    <row r="4133" spans="1:11" hidden="1">
      <c r="A4133" s="28">
        <v>46311</v>
      </c>
      <c r="B4133" t="s">
        <v>3523</v>
      </c>
      <c r="C4133" t="s">
        <v>151</v>
      </c>
      <c r="D4133" t="s">
        <v>3462</v>
      </c>
      <c r="E4133" t="str">
        <f>IF(LEFT(D4133,6)="CLIENT",IFERROR(VLOOKUP(C4133,Config_Carteiras!$A:$B,2,FALSE),1),"")</f>
        <v/>
      </c>
      <c r="F4133" s="25">
        <v>0</v>
      </c>
      <c r="G4133" s="28" t="str">
        <f>IF(LEFT(D4133,6)="CLIENT",IF(E4133=0,WORKDAY(A4133-1,1,Dias_Sem_Compensacao!$A$2:$A$500),WORKDAY(A4133,E4133,Dias_Sem_Compensacao!$A$2:$A$500)),"")</f>
        <v/>
      </c>
      <c r="H4133" s="25">
        <v>40636</v>
      </c>
      <c r="I4133" s="28">
        <v>46311</v>
      </c>
      <c r="J4133" t="s">
        <v>150</v>
      </c>
      <c r="K4133" t="s">
        <v>3803</v>
      </c>
    </row>
    <row r="4134" spans="1:11" hidden="1">
      <c r="A4134" s="28">
        <v>46311</v>
      </c>
      <c r="B4134" t="s">
        <v>3523</v>
      </c>
      <c r="C4134" t="s">
        <v>151</v>
      </c>
      <c r="D4134" t="s">
        <v>3462</v>
      </c>
      <c r="E4134" t="str">
        <f>IF(LEFT(D4134,6)="CLIENT",IFERROR(VLOOKUP(C4134,Config_Carteiras!$A:$B,2,FALSE),1),"")</f>
        <v/>
      </c>
      <c r="F4134" s="25">
        <v>0</v>
      </c>
      <c r="G4134" s="28" t="str">
        <f>IF(LEFT(D4134,6)="CLIENT",IF(E4134=0,WORKDAY(A4134-1,1,Dias_Sem_Compensacao!$A$2:$A$500),WORKDAY(A4134,E4134,Dias_Sem_Compensacao!$A$2:$A$500)),"")</f>
        <v/>
      </c>
      <c r="H4134" s="25">
        <v>481.5</v>
      </c>
      <c r="I4134" s="28">
        <v>46311</v>
      </c>
      <c r="J4134" t="s">
        <v>74</v>
      </c>
      <c r="K4134" t="s">
        <v>3804</v>
      </c>
    </row>
    <row r="4135" spans="1:11" hidden="1">
      <c r="A4135" s="28">
        <v>46311</v>
      </c>
      <c r="B4135" t="s">
        <v>3523</v>
      </c>
      <c r="C4135" t="s">
        <v>151</v>
      </c>
      <c r="D4135" t="s">
        <v>3462</v>
      </c>
      <c r="E4135" t="str">
        <f>IF(LEFT(D4135,6)="CLIENT",IFERROR(VLOOKUP(C4135,Config_Carteiras!$A:$B,2,FALSE),1),"")</f>
        <v/>
      </c>
      <c r="F4135" s="25">
        <v>0</v>
      </c>
      <c r="G4135" s="28" t="str">
        <f>IF(LEFT(D4135,6)="CLIENT",IF(E4135=0,WORKDAY(A4135-1,1,Dias_Sem_Compensacao!$A$2:$A$500),WORKDAY(A4135,E4135,Dias_Sem_Compensacao!$A$2:$A$500)),"")</f>
        <v/>
      </c>
      <c r="H4135" s="25">
        <v>18</v>
      </c>
      <c r="I4135" s="28">
        <v>46311</v>
      </c>
      <c r="J4135" t="s">
        <v>2595</v>
      </c>
      <c r="K4135" t="s">
        <v>3805</v>
      </c>
    </row>
    <row r="4136" spans="1:11" hidden="1">
      <c r="A4136" s="28">
        <v>46311</v>
      </c>
      <c r="B4136" t="s">
        <v>3523</v>
      </c>
      <c r="C4136" t="s">
        <v>151</v>
      </c>
      <c r="D4136" t="s">
        <v>3462</v>
      </c>
      <c r="E4136" t="str">
        <f>IF(LEFT(D4136,6)="CLIENT",IFERROR(VLOOKUP(C4136,Config_Carteiras!$A:$B,2,FALSE),1),"")</f>
        <v/>
      </c>
      <c r="F4136" s="25">
        <v>0</v>
      </c>
      <c r="G4136" s="28" t="str">
        <f>IF(LEFT(D4136,6)="CLIENT",IF(E4136=0,WORKDAY(A4136-1,1,Dias_Sem_Compensacao!$A$2:$A$500),WORKDAY(A4136,E4136,Dias_Sem_Compensacao!$A$2:$A$500)),"")</f>
        <v/>
      </c>
      <c r="H4136" s="25">
        <v>1209.1199999999999</v>
      </c>
      <c r="I4136" s="28">
        <v>46311</v>
      </c>
      <c r="K4136" t="s">
        <v>3806</v>
      </c>
    </row>
    <row r="4137" spans="1:11" hidden="1">
      <c r="A4137" s="28">
        <v>46311</v>
      </c>
      <c r="B4137" t="s">
        <v>3523</v>
      </c>
      <c r="C4137" t="s">
        <v>151</v>
      </c>
      <c r="D4137" t="s">
        <v>3462</v>
      </c>
      <c r="E4137" t="str">
        <f>IF(LEFT(D4137,6)="CLIENT",IFERROR(VLOOKUP(C4137,Config_Carteiras!$A:$B,2,FALSE),1),"")</f>
        <v/>
      </c>
      <c r="F4137" s="25">
        <v>0</v>
      </c>
      <c r="G4137" s="28" t="str">
        <f>IF(LEFT(D4137,6)="CLIENT",IF(E4137=0,WORKDAY(A4137-1,1,Dias_Sem_Compensacao!$A$2:$A$500),WORKDAY(A4137,E4137,Dias_Sem_Compensacao!$A$2:$A$500)),"")</f>
        <v/>
      </c>
      <c r="H4137" s="25">
        <v>667.73</v>
      </c>
      <c r="I4137" s="28">
        <v>46311</v>
      </c>
      <c r="K4137" t="s">
        <v>3807</v>
      </c>
    </row>
    <row r="4138" spans="1:11" hidden="1">
      <c r="A4138" s="28">
        <v>46311</v>
      </c>
      <c r="B4138" t="s">
        <v>3523</v>
      </c>
      <c r="C4138" t="s">
        <v>151</v>
      </c>
      <c r="D4138" t="s">
        <v>3462</v>
      </c>
      <c r="E4138" t="str">
        <f>IF(LEFT(D4138,6)="CLIENT",IFERROR(VLOOKUP(C4138,Config_Carteiras!$A:$B,2,FALSE),1),"")</f>
        <v/>
      </c>
      <c r="F4138" s="25">
        <v>0</v>
      </c>
      <c r="G4138" s="28" t="str">
        <f>IF(LEFT(D4138,6)="CLIENT",IF(E4138=0,WORKDAY(A4138-1,1,Dias_Sem_Compensacao!$A$2:$A$500),WORKDAY(A4138,E4138,Dias_Sem_Compensacao!$A$2:$A$500)),"")</f>
        <v/>
      </c>
      <c r="H4138" s="25">
        <v>140.97999999999999</v>
      </c>
      <c r="I4138" s="28">
        <v>46311</v>
      </c>
      <c r="K4138" t="s">
        <v>3808</v>
      </c>
    </row>
    <row r="4139" spans="1:11" hidden="1">
      <c r="A4139" s="28">
        <v>46311</v>
      </c>
      <c r="B4139" t="s">
        <v>3523</v>
      </c>
      <c r="C4139" t="s">
        <v>151</v>
      </c>
      <c r="D4139" t="s">
        <v>3462</v>
      </c>
      <c r="E4139" t="str">
        <f>IF(LEFT(D4139,6)="CLIENT",IFERROR(VLOOKUP(C4139,Config_Carteiras!$A:$B,2,FALSE),1),"")</f>
        <v/>
      </c>
      <c r="F4139" s="25">
        <v>0</v>
      </c>
      <c r="G4139" s="28" t="str">
        <f>IF(LEFT(D4139,6)="CLIENT",IF(E4139=0,WORKDAY(A4139-1,1,Dias_Sem_Compensacao!$A$2:$A$500),WORKDAY(A4139,E4139,Dias_Sem_Compensacao!$A$2:$A$500)),"")</f>
        <v/>
      </c>
      <c r="H4139" s="25">
        <v>146.97999999999999</v>
      </c>
      <c r="I4139" s="28">
        <v>46311</v>
      </c>
      <c r="K4139" t="s">
        <v>3809</v>
      </c>
    </row>
    <row r="4140" spans="1:11" hidden="1">
      <c r="A4140" s="28">
        <v>46311</v>
      </c>
      <c r="B4140" t="s">
        <v>3523</v>
      </c>
      <c r="C4140" t="s">
        <v>151</v>
      </c>
      <c r="D4140" t="s">
        <v>3462</v>
      </c>
      <c r="E4140" t="str">
        <f>IF(LEFT(D4140,6)="CLIENT",IFERROR(VLOOKUP(C4140,Config_Carteiras!$A:$B,2,FALSE),1),"")</f>
        <v/>
      </c>
      <c r="F4140" s="25">
        <v>0</v>
      </c>
      <c r="G4140" s="28" t="str">
        <f>IF(LEFT(D4140,6)="CLIENT",IF(E4140=0,WORKDAY(A4140-1,1,Dias_Sem_Compensacao!$A$2:$A$500),WORKDAY(A4140,E4140,Dias_Sem_Compensacao!$A$2:$A$500)),"")</f>
        <v/>
      </c>
      <c r="H4140" s="25">
        <v>128.22</v>
      </c>
      <c r="I4140" s="28">
        <v>46311</v>
      </c>
      <c r="K4140" t="s">
        <v>3810</v>
      </c>
    </row>
    <row r="4141" spans="1:11" hidden="1">
      <c r="A4141" s="28">
        <v>46311</v>
      </c>
      <c r="B4141" t="s">
        <v>3523</v>
      </c>
      <c r="C4141" t="s">
        <v>151</v>
      </c>
      <c r="D4141" t="s">
        <v>3462</v>
      </c>
      <c r="E4141" t="str">
        <f>IF(LEFT(D4141,6)="CLIENT",IFERROR(VLOOKUP(C4141,Config_Carteiras!$A:$B,2,FALSE),1),"")</f>
        <v/>
      </c>
      <c r="F4141" s="25">
        <v>0</v>
      </c>
      <c r="G4141" s="28" t="str">
        <f>IF(LEFT(D4141,6)="CLIENT",IF(E4141=0,WORKDAY(A4141-1,1,Dias_Sem_Compensacao!$A$2:$A$500),WORKDAY(A4141,E4141,Dias_Sem_Compensacao!$A$2:$A$500)),"")</f>
        <v/>
      </c>
      <c r="H4141" s="25">
        <v>69.069999999999993</v>
      </c>
      <c r="I4141" s="28">
        <v>46311</v>
      </c>
      <c r="K4141" t="s">
        <v>3811</v>
      </c>
    </row>
    <row r="4142" spans="1:11" hidden="1">
      <c r="A4142" s="28">
        <v>46311</v>
      </c>
      <c r="B4142" t="s">
        <v>3523</v>
      </c>
      <c r="C4142" t="s">
        <v>151</v>
      </c>
      <c r="D4142" t="s">
        <v>3462</v>
      </c>
      <c r="E4142" t="str">
        <f>IF(LEFT(D4142,6)="CLIENT",IFERROR(VLOOKUP(C4142,Config_Carteiras!$A:$B,2,FALSE),1),"")</f>
        <v/>
      </c>
      <c r="F4142" s="25">
        <v>0</v>
      </c>
      <c r="G4142" s="28" t="str">
        <f>IF(LEFT(D4142,6)="CLIENT",IF(E4142=0,WORKDAY(A4142-1,1,Dias_Sem_Compensacao!$A$2:$A$500),WORKDAY(A4142,E4142,Dias_Sem_Compensacao!$A$2:$A$500)),"")</f>
        <v/>
      </c>
      <c r="H4142" s="25">
        <v>69.069999999999993</v>
      </c>
      <c r="I4142" s="28">
        <v>46311</v>
      </c>
      <c r="K4142" t="s">
        <v>3812</v>
      </c>
    </row>
    <row r="4143" spans="1:11" hidden="1">
      <c r="A4143" s="28">
        <v>46311</v>
      </c>
      <c r="B4143" t="s">
        <v>3523</v>
      </c>
      <c r="C4143" t="s">
        <v>151</v>
      </c>
      <c r="D4143" t="s">
        <v>3462</v>
      </c>
      <c r="E4143" t="str">
        <f>IF(LEFT(D4143,6)="CLIENT",IFERROR(VLOOKUP(C4143,Config_Carteiras!$A:$B,2,FALSE),1),"")</f>
        <v/>
      </c>
      <c r="F4143" s="25">
        <v>0</v>
      </c>
      <c r="G4143" s="28" t="str">
        <f>IF(LEFT(D4143,6)="CLIENT",IF(E4143=0,WORKDAY(A4143-1,1,Dias_Sem_Compensacao!$A$2:$A$500),WORKDAY(A4143,E4143,Dias_Sem_Compensacao!$A$2:$A$500)),"")</f>
        <v/>
      </c>
      <c r="H4143" s="25">
        <v>577.13</v>
      </c>
      <c r="I4143" s="28">
        <v>46311</v>
      </c>
      <c r="K4143" t="s">
        <v>3813</v>
      </c>
    </row>
    <row r="4144" spans="1:11" hidden="1">
      <c r="A4144" s="28">
        <v>46311</v>
      </c>
      <c r="B4144" t="s">
        <v>3523</v>
      </c>
      <c r="C4144" t="s">
        <v>151</v>
      </c>
      <c r="D4144" t="s">
        <v>3462</v>
      </c>
      <c r="E4144" t="str">
        <f>IF(LEFT(D4144,6)="CLIENT",IFERROR(VLOOKUP(C4144,Config_Carteiras!$A:$B,2,FALSE),1),"")</f>
        <v/>
      </c>
      <c r="F4144" s="25">
        <v>0</v>
      </c>
      <c r="G4144" s="28" t="str">
        <f>IF(LEFT(D4144,6)="CLIENT",IF(E4144=0,WORKDAY(A4144-1,1,Dias_Sem_Compensacao!$A$2:$A$500),WORKDAY(A4144,E4144,Dias_Sem_Compensacao!$A$2:$A$500)),"")</f>
        <v/>
      </c>
      <c r="H4144" s="25">
        <v>120.01</v>
      </c>
      <c r="I4144" s="28">
        <v>46311</v>
      </c>
      <c r="K4144" t="s">
        <v>3814</v>
      </c>
    </row>
    <row r="4145" spans="1:11" hidden="1">
      <c r="A4145" s="28">
        <v>46311</v>
      </c>
      <c r="B4145" t="s">
        <v>3523</v>
      </c>
      <c r="C4145" t="s">
        <v>151</v>
      </c>
      <c r="D4145" t="s">
        <v>3462</v>
      </c>
      <c r="E4145" t="str">
        <f>IF(LEFT(D4145,6)="CLIENT",IFERROR(VLOOKUP(C4145,Config_Carteiras!$A:$B,2,FALSE),1),"")</f>
        <v/>
      </c>
      <c r="F4145" s="25">
        <v>0</v>
      </c>
      <c r="G4145" s="28" t="str">
        <f>IF(LEFT(D4145,6)="CLIENT",IF(E4145=0,WORKDAY(A4145-1,1,Dias_Sem_Compensacao!$A$2:$A$500),WORKDAY(A4145,E4145,Dias_Sem_Compensacao!$A$2:$A$500)),"")</f>
        <v/>
      </c>
      <c r="H4145" s="25">
        <v>199.93</v>
      </c>
      <c r="I4145" s="28">
        <v>46311</v>
      </c>
      <c r="K4145" t="s">
        <v>3815</v>
      </c>
    </row>
    <row r="4146" spans="1:11" hidden="1">
      <c r="A4146" s="28">
        <v>46311</v>
      </c>
      <c r="B4146" t="s">
        <v>3523</v>
      </c>
      <c r="C4146" t="s">
        <v>151</v>
      </c>
      <c r="D4146" t="s">
        <v>3462</v>
      </c>
      <c r="E4146" t="str">
        <f>IF(LEFT(D4146,6)="CLIENT",IFERROR(VLOOKUP(C4146,Config_Carteiras!$A:$B,2,FALSE),1),"")</f>
        <v/>
      </c>
      <c r="F4146" s="25">
        <v>0</v>
      </c>
      <c r="G4146" s="28" t="str">
        <f>IF(LEFT(D4146,6)="CLIENT",IF(E4146=0,WORKDAY(A4146-1,1,Dias_Sem_Compensacao!$A$2:$A$500),WORKDAY(A4146,E4146,Dias_Sem_Compensacao!$A$2:$A$500)),"")</f>
        <v/>
      </c>
      <c r="H4146" s="25">
        <v>161.09</v>
      </c>
      <c r="I4146" s="28">
        <v>46311</v>
      </c>
      <c r="K4146" t="s">
        <v>3816</v>
      </c>
    </row>
    <row r="4147" spans="1:11" hidden="1">
      <c r="A4147" s="28">
        <v>46311</v>
      </c>
      <c r="B4147" t="s">
        <v>3523</v>
      </c>
      <c r="C4147" t="s">
        <v>151</v>
      </c>
      <c r="D4147" t="s">
        <v>3462</v>
      </c>
      <c r="E4147" t="str">
        <f>IF(LEFT(D4147,6)="CLIENT",IFERROR(VLOOKUP(C4147,Config_Carteiras!$A:$B,2,FALSE),1),"")</f>
        <v/>
      </c>
      <c r="F4147" s="25">
        <v>0</v>
      </c>
      <c r="G4147" s="28" t="str">
        <f>IF(LEFT(D4147,6)="CLIENT",IF(E4147=0,WORKDAY(A4147-1,1,Dias_Sem_Compensacao!$A$2:$A$500),WORKDAY(A4147,E4147,Dias_Sem_Compensacao!$A$2:$A$500)),"")</f>
        <v/>
      </c>
      <c r="H4147" s="25">
        <v>212.24</v>
      </c>
      <c r="I4147" s="28">
        <v>46311</v>
      </c>
      <c r="K4147" t="s">
        <v>3817</v>
      </c>
    </row>
    <row r="4148" spans="1:11" hidden="1">
      <c r="A4148" s="28">
        <v>46311</v>
      </c>
      <c r="B4148" t="s">
        <v>3523</v>
      </c>
      <c r="C4148" t="s">
        <v>151</v>
      </c>
      <c r="D4148" t="s">
        <v>3462</v>
      </c>
      <c r="E4148" t="str">
        <f>IF(LEFT(D4148,6)="CLIENT",IFERROR(VLOOKUP(C4148,Config_Carteiras!$A:$B,2,FALSE),1),"")</f>
        <v/>
      </c>
      <c r="F4148" s="25">
        <v>0</v>
      </c>
      <c r="G4148" s="28" t="str">
        <f>IF(LEFT(D4148,6)="CLIENT",IF(E4148=0,WORKDAY(A4148-1,1,Dias_Sem_Compensacao!$A$2:$A$500),WORKDAY(A4148,E4148,Dias_Sem_Compensacao!$A$2:$A$500)),"")</f>
        <v/>
      </c>
      <c r="H4148" s="25">
        <v>80.33</v>
      </c>
      <c r="I4148" s="28">
        <v>46311</v>
      </c>
      <c r="K4148" t="s">
        <v>3818</v>
      </c>
    </row>
    <row r="4149" spans="1:11" hidden="1">
      <c r="A4149" s="28">
        <v>46311</v>
      </c>
      <c r="B4149" t="s">
        <v>3523</v>
      </c>
      <c r="C4149" t="s">
        <v>151</v>
      </c>
      <c r="D4149" t="s">
        <v>3462</v>
      </c>
      <c r="E4149" t="str">
        <f>IF(LEFT(D4149,6)="CLIENT",IFERROR(VLOOKUP(C4149,Config_Carteiras!$A:$B,2,FALSE),1),"")</f>
        <v/>
      </c>
      <c r="F4149" s="25">
        <v>0</v>
      </c>
      <c r="G4149" s="28" t="str">
        <f>IF(LEFT(D4149,6)="CLIENT",IF(E4149=0,WORKDAY(A4149-1,1,Dias_Sem_Compensacao!$A$2:$A$500),WORKDAY(A4149,E4149,Dias_Sem_Compensacao!$A$2:$A$500)),"")</f>
        <v/>
      </c>
      <c r="H4149" s="25">
        <v>80.33</v>
      </c>
      <c r="I4149" s="28">
        <v>46311</v>
      </c>
      <c r="K4149" t="s">
        <v>3819</v>
      </c>
    </row>
    <row r="4150" spans="1:11" hidden="1">
      <c r="A4150" s="28">
        <v>46311</v>
      </c>
      <c r="B4150" t="s">
        <v>3523</v>
      </c>
      <c r="C4150" t="s">
        <v>151</v>
      </c>
      <c r="D4150" t="s">
        <v>3462</v>
      </c>
      <c r="E4150" t="str">
        <f>IF(LEFT(D4150,6)="CLIENT",IFERROR(VLOOKUP(C4150,Config_Carteiras!$A:$B,2,FALSE),1),"")</f>
        <v/>
      </c>
      <c r="F4150" s="25">
        <v>0</v>
      </c>
      <c r="G4150" s="28" t="str">
        <f>IF(LEFT(D4150,6)="CLIENT",IF(E4150=0,WORKDAY(A4150-1,1,Dias_Sem_Compensacao!$A$2:$A$500),WORKDAY(A4150,E4150,Dias_Sem_Compensacao!$A$2:$A$500)),"")</f>
        <v/>
      </c>
      <c r="H4150" s="25">
        <v>501.84</v>
      </c>
      <c r="I4150" s="28">
        <v>46311</v>
      </c>
      <c r="K4150" t="s">
        <v>3820</v>
      </c>
    </row>
    <row r="4151" spans="1:11" hidden="1">
      <c r="A4151" s="28">
        <v>46311</v>
      </c>
      <c r="B4151" t="s">
        <v>3523</v>
      </c>
      <c r="C4151" t="s">
        <v>151</v>
      </c>
      <c r="D4151" t="s">
        <v>3462</v>
      </c>
      <c r="E4151" t="str">
        <f>IF(LEFT(D4151,6)="CLIENT",IFERROR(VLOOKUP(C4151,Config_Carteiras!$A:$B,2,FALSE),1),"")</f>
        <v/>
      </c>
      <c r="F4151" s="25">
        <v>0</v>
      </c>
      <c r="G4151" s="28" t="str">
        <f>IF(LEFT(D4151,6)="CLIENT",IF(E4151=0,WORKDAY(A4151-1,1,Dias_Sem_Compensacao!$A$2:$A$500),WORKDAY(A4151,E4151,Dias_Sem_Compensacao!$A$2:$A$500)),"")</f>
        <v/>
      </c>
      <c r="H4151" s="25">
        <v>140.16999999999999</v>
      </c>
      <c r="I4151" s="28">
        <v>46311</v>
      </c>
      <c r="K4151" t="s">
        <v>3821</v>
      </c>
    </row>
    <row r="4152" spans="1:11" hidden="1">
      <c r="A4152" s="28">
        <v>46311</v>
      </c>
      <c r="B4152" t="s">
        <v>3523</v>
      </c>
      <c r="C4152" t="s">
        <v>151</v>
      </c>
      <c r="D4152" t="s">
        <v>3462</v>
      </c>
      <c r="E4152" t="str">
        <f>IF(LEFT(D4152,6)="CLIENT",IFERROR(VLOOKUP(C4152,Config_Carteiras!$A:$B,2,FALSE),1),"")</f>
        <v/>
      </c>
      <c r="F4152" s="25">
        <v>0</v>
      </c>
      <c r="G4152" s="28" t="str">
        <f>IF(LEFT(D4152,6)="CLIENT",IF(E4152=0,WORKDAY(A4152-1,1,Dias_Sem_Compensacao!$A$2:$A$500),WORKDAY(A4152,E4152,Dias_Sem_Compensacao!$A$2:$A$500)),"")</f>
        <v/>
      </c>
      <c r="H4152" s="25">
        <v>170.64</v>
      </c>
      <c r="I4152" s="28">
        <v>46311</v>
      </c>
      <c r="K4152" t="s">
        <v>3822</v>
      </c>
    </row>
    <row r="4153" spans="1:11" hidden="1">
      <c r="A4153" s="28">
        <v>46311</v>
      </c>
      <c r="B4153" t="s">
        <v>3523</v>
      </c>
      <c r="C4153" t="s">
        <v>151</v>
      </c>
      <c r="D4153" t="s">
        <v>3462</v>
      </c>
      <c r="E4153" t="str">
        <f>IF(LEFT(D4153,6)="CLIENT",IFERROR(VLOOKUP(C4153,Config_Carteiras!$A:$B,2,FALSE),1),"")</f>
        <v/>
      </c>
      <c r="F4153" s="25">
        <v>0</v>
      </c>
      <c r="G4153" s="28" t="str">
        <f>IF(LEFT(D4153,6)="CLIENT",IF(E4153=0,WORKDAY(A4153-1,1,Dias_Sem_Compensacao!$A$2:$A$500),WORKDAY(A4153,E4153,Dias_Sem_Compensacao!$A$2:$A$500)),"")</f>
        <v/>
      </c>
      <c r="H4153" s="25">
        <v>148.87</v>
      </c>
      <c r="I4153" s="28">
        <v>46311</v>
      </c>
      <c r="K4153" t="s">
        <v>3823</v>
      </c>
    </row>
    <row r="4154" spans="1:11" hidden="1">
      <c r="A4154" s="28">
        <v>46311</v>
      </c>
      <c r="B4154" t="s">
        <v>3523</v>
      </c>
      <c r="C4154" t="s">
        <v>151</v>
      </c>
      <c r="D4154" t="s">
        <v>3462</v>
      </c>
      <c r="E4154" t="str">
        <f>IF(LEFT(D4154,6)="CLIENT",IFERROR(VLOOKUP(C4154,Config_Carteiras!$A:$B,2,FALSE),1),"")</f>
        <v/>
      </c>
      <c r="F4154" s="25">
        <v>0</v>
      </c>
      <c r="G4154" s="28" t="str">
        <f>IF(LEFT(D4154,6)="CLIENT",IF(E4154=0,WORKDAY(A4154-1,1,Dias_Sem_Compensacao!$A$2:$A$500),WORKDAY(A4154,E4154,Dias_Sem_Compensacao!$A$2:$A$500)),"")</f>
        <v/>
      </c>
      <c r="H4154" s="25">
        <v>181.65</v>
      </c>
      <c r="I4154" s="28">
        <v>46311</v>
      </c>
      <c r="K4154" t="s">
        <v>3824</v>
      </c>
    </row>
    <row r="4155" spans="1:11" hidden="1">
      <c r="A4155" s="28">
        <v>46311</v>
      </c>
      <c r="B4155" t="s">
        <v>3523</v>
      </c>
      <c r="C4155" t="s">
        <v>151</v>
      </c>
      <c r="D4155" t="s">
        <v>3462</v>
      </c>
      <c r="E4155" t="str">
        <f>IF(LEFT(D4155,6)="CLIENT",IFERROR(VLOOKUP(C4155,Config_Carteiras!$A:$B,2,FALSE),1),"")</f>
        <v/>
      </c>
      <c r="F4155" s="25">
        <v>0</v>
      </c>
      <c r="G4155" s="28" t="str">
        <f>IF(LEFT(D4155,6)="CLIENT",IF(E4155=0,WORKDAY(A4155-1,1,Dias_Sem_Compensacao!$A$2:$A$500),WORKDAY(A4155,E4155,Dias_Sem_Compensacao!$A$2:$A$500)),"")</f>
        <v/>
      </c>
      <c r="H4155" s="25">
        <v>128.22</v>
      </c>
      <c r="I4155" s="28">
        <v>46311</v>
      </c>
      <c r="K4155" t="s">
        <v>3825</v>
      </c>
    </row>
    <row r="4156" spans="1:11" hidden="1">
      <c r="A4156" s="28">
        <v>46311</v>
      </c>
      <c r="B4156" t="s">
        <v>3523</v>
      </c>
      <c r="C4156" t="s">
        <v>151</v>
      </c>
      <c r="D4156" t="s">
        <v>3462</v>
      </c>
      <c r="E4156" t="str">
        <f>IF(LEFT(D4156,6)="CLIENT",IFERROR(VLOOKUP(C4156,Config_Carteiras!$A:$B,2,FALSE),1),"")</f>
        <v/>
      </c>
      <c r="F4156" s="25">
        <v>0</v>
      </c>
      <c r="G4156" s="28" t="str">
        <f>IF(LEFT(D4156,6)="CLIENT",IF(E4156=0,WORKDAY(A4156-1,1,Dias_Sem_Compensacao!$A$2:$A$500),WORKDAY(A4156,E4156,Dias_Sem_Compensacao!$A$2:$A$500)),"")</f>
        <v/>
      </c>
      <c r="H4156" s="25">
        <v>1239.55</v>
      </c>
      <c r="I4156" s="28">
        <v>46311</v>
      </c>
      <c r="K4156" t="s">
        <v>3826</v>
      </c>
    </row>
    <row r="4157" spans="1:11" hidden="1">
      <c r="A4157" s="28">
        <v>46311</v>
      </c>
      <c r="B4157" t="s">
        <v>3523</v>
      </c>
      <c r="C4157" t="s">
        <v>151</v>
      </c>
      <c r="D4157" t="s">
        <v>3462</v>
      </c>
      <c r="E4157" t="str">
        <f>IF(LEFT(D4157,6)="CLIENT",IFERROR(VLOOKUP(C4157,Config_Carteiras!$A:$B,2,FALSE),1),"")</f>
        <v/>
      </c>
      <c r="F4157" s="25">
        <v>0</v>
      </c>
      <c r="G4157" s="28" t="str">
        <f>IF(LEFT(D4157,6)="CLIENT",IF(E4157=0,WORKDAY(A4157-1,1,Dias_Sem_Compensacao!$A$2:$A$500),WORKDAY(A4157,E4157,Dias_Sem_Compensacao!$A$2:$A$500)),"")</f>
        <v/>
      </c>
      <c r="H4157" s="25">
        <v>68.489999999999995</v>
      </c>
      <c r="I4157" s="28">
        <v>46311</v>
      </c>
      <c r="K4157" t="s">
        <v>3827</v>
      </c>
    </row>
    <row r="4158" spans="1:11" hidden="1">
      <c r="A4158" s="28">
        <v>46311</v>
      </c>
      <c r="B4158" t="s">
        <v>3523</v>
      </c>
      <c r="C4158" t="s">
        <v>151</v>
      </c>
      <c r="D4158" t="s">
        <v>3462</v>
      </c>
      <c r="E4158" t="str">
        <f>IF(LEFT(D4158,6)="CLIENT",IFERROR(VLOOKUP(C4158,Config_Carteiras!$A:$B,2,FALSE),1),"")</f>
        <v/>
      </c>
      <c r="F4158" s="25">
        <v>0</v>
      </c>
      <c r="G4158" s="28" t="str">
        <f>IF(LEFT(D4158,6)="CLIENT",IF(E4158=0,WORKDAY(A4158-1,1,Dias_Sem_Compensacao!$A$2:$A$500),WORKDAY(A4158,E4158,Dias_Sem_Compensacao!$A$2:$A$500)),"")</f>
        <v/>
      </c>
      <c r="H4158" s="25">
        <v>69.069999999999993</v>
      </c>
      <c r="I4158" s="28">
        <v>46311</v>
      </c>
      <c r="K4158" t="s">
        <v>3828</v>
      </c>
    </row>
    <row r="4159" spans="1:11" hidden="1">
      <c r="A4159" s="28">
        <v>46311</v>
      </c>
      <c r="B4159" t="s">
        <v>3523</v>
      </c>
      <c r="C4159" t="s">
        <v>151</v>
      </c>
      <c r="D4159" t="s">
        <v>3462</v>
      </c>
      <c r="E4159" t="str">
        <f>IF(LEFT(D4159,6)="CLIENT",IFERROR(VLOOKUP(C4159,Config_Carteiras!$A:$B,2,FALSE),1),"")</f>
        <v/>
      </c>
      <c r="F4159" s="25">
        <v>0</v>
      </c>
      <c r="G4159" s="28" t="str">
        <f>IF(LEFT(D4159,6)="CLIENT",IF(E4159=0,WORKDAY(A4159-1,1,Dias_Sem_Compensacao!$A$2:$A$500),WORKDAY(A4159,E4159,Dias_Sem_Compensacao!$A$2:$A$500)),"")</f>
        <v/>
      </c>
      <c r="H4159" s="25">
        <v>73.25</v>
      </c>
      <c r="I4159" s="28">
        <v>46311</v>
      </c>
      <c r="K4159" t="s">
        <v>3829</v>
      </c>
    </row>
    <row r="4160" spans="1:11" hidden="1">
      <c r="A4160" s="28">
        <v>46311</v>
      </c>
      <c r="B4160" t="s">
        <v>3523</v>
      </c>
      <c r="C4160" t="s">
        <v>151</v>
      </c>
      <c r="D4160" t="s">
        <v>3462</v>
      </c>
      <c r="E4160" t="str">
        <f>IF(LEFT(D4160,6)="CLIENT",IFERROR(VLOOKUP(C4160,Config_Carteiras!$A:$B,2,FALSE),1),"")</f>
        <v/>
      </c>
      <c r="F4160" s="25">
        <v>0</v>
      </c>
      <c r="G4160" s="28" t="str">
        <f>IF(LEFT(D4160,6)="CLIENT",IF(E4160=0,WORKDAY(A4160-1,1,Dias_Sem_Compensacao!$A$2:$A$500),WORKDAY(A4160,E4160,Dias_Sem_Compensacao!$A$2:$A$500)),"")</f>
        <v/>
      </c>
      <c r="H4160" s="25">
        <v>138.63999999999999</v>
      </c>
      <c r="I4160" s="28">
        <v>46311</v>
      </c>
      <c r="K4160" t="s">
        <v>3830</v>
      </c>
    </row>
    <row r="4161" spans="1:11" hidden="1">
      <c r="A4161" s="28">
        <v>46311</v>
      </c>
      <c r="B4161" t="s">
        <v>3523</v>
      </c>
      <c r="C4161" t="s">
        <v>151</v>
      </c>
      <c r="D4161" t="s">
        <v>3462</v>
      </c>
      <c r="E4161" t="str">
        <f>IF(LEFT(D4161,6)="CLIENT",IFERROR(VLOOKUP(C4161,Config_Carteiras!$A:$B,2,FALSE),1),"")</f>
        <v/>
      </c>
      <c r="F4161" s="25">
        <v>0</v>
      </c>
      <c r="G4161" s="28" t="str">
        <f>IF(LEFT(D4161,6)="CLIENT",IF(E4161=0,WORKDAY(A4161-1,1,Dias_Sem_Compensacao!$A$2:$A$500),WORKDAY(A4161,E4161,Dias_Sem_Compensacao!$A$2:$A$500)),"")</f>
        <v/>
      </c>
      <c r="H4161" s="25">
        <v>227.02</v>
      </c>
      <c r="I4161" s="28">
        <v>46311</v>
      </c>
      <c r="K4161" t="s">
        <v>3831</v>
      </c>
    </row>
    <row r="4162" spans="1:11" hidden="1">
      <c r="A4162" s="28">
        <v>46311</v>
      </c>
      <c r="B4162" t="s">
        <v>3523</v>
      </c>
      <c r="C4162" t="s">
        <v>151</v>
      </c>
      <c r="D4162" t="s">
        <v>3462</v>
      </c>
      <c r="E4162" t="str">
        <f>IF(LEFT(D4162,6)="CLIENT",IFERROR(VLOOKUP(C4162,Config_Carteiras!$A:$B,2,FALSE),1),"")</f>
        <v/>
      </c>
      <c r="F4162" s="25">
        <v>0</v>
      </c>
      <c r="G4162" s="28" t="str">
        <f>IF(LEFT(D4162,6)="CLIENT",IF(E4162=0,WORKDAY(A4162-1,1,Dias_Sem_Compensacao!$A$2:$A$500),WORKDAY(A4162,E4162,Dias_Sem_Compensacao!$A$2:$A$500)),"")</f>
        <v/>
      </c>
      <c r="H4162" s="25">
        <v>164.83</v>
      </c>
      <c r="I4162" s="28">
        <v>46311</v>
      </c>
      <c r="K4162" t="s">
        <v>3832</v>
      </c>
    </row>
    <row r="4163" spans="1:11" hidden="1">
      <c r="A4163" s="28">
        <v>46311</v>
      </c>
      <c r="B4163" t="s">
        <v>3523</v>
      </c>
      <c r="C4163" t="s">
        <v>151</v>
      </c>
      <c r="D4163" t="s">
        <v>3462</v>
      </c>
      <c r="E4163" t="str">
        <f>IF(LEFT(D4163,6)="CLIENT",IFERROR(VLOOKUP(C4163,Config_Carteiras!$A:$B,2,FALSE),1),"")</f>
        <v/>
      </c>
      <c r="F4163" s="25">
        <v>0</v>
      </c>
      <c r="G4163" s="28" t="str">
        <f>IF(LEFT(D4163,6)="CLIENT",IF(E4163=0,WORKDAY(A4163-1,1,Dias_Sem_Compensacao!$A$2:$A$500),WORKDAY(A4163,E4163,Dias_Sem_Compensacao!$A$2:$A$500)),"")</f>
        <v/>
      </c>
      <c r="H4163" s="25">
        <v>666.13</v>
      </c>
      <c r="I4163" s="28">
        <v>46311</v>
      </c>
      <c r="K4163" t="s">
        <v>3833</v>
      </c>
    </row>
    <row r="4164" spans="1:11" hidden="1">
      <c r="A4164" s="28">
        <v>46311</v>
      </c>
      <c r="B4164" t="s">
        <v>3523</v>
      </c>
      <c r="C4164" t="s">
        <v>151</v>
      </c>
      <c r="D4164" t="s">
        <v>3462</v>
      </c>
      <c r="E4164" t="str">
        <f>IF(LEFT(D4164,6)="CLIENT",IFERROR(VLOOKUP(C4164,Config_Carteiras!$A:$B,2,FALSE),1),"")</f>
        <v/>
      </c>
      <c r="F4164" s="25">
        <v>0</v>
      </c>
      <c r="G4164" s="28" t="str">
        <f>IF(LEFT(D4164,6)="CLIENT",IF(E4164=0,WORKDAY(A4164-1,1,Dias_Sem_Compensacao!$A$2:$A$500),WORKDAY(A4164,E4164,Dias_Sem_Compensacao!$A$2:$A$500)),"")</f>
        <v/>
      </c>
      <c r="H4164" s="25">
        <v>258.25</v>
      </c>
      <c r="I4164" s="28">
        <v>46311</v>
      </c>
      <c r="J4164" t="s">
        <v>130</v>
      </c>
      <c r="K4164" t="s">
        <v>3834</v>
      </c>
    </row>
    <row r="4165" spans="1:11" hidden="1">
      <c r="A4165" s="28">
        <v>46311</v>
      </c>
      <c r="B4165" t="s">
        <v>3523</v>
      </c>
      <c r="C4165" t="s">
        <v>151</v>
      </c>
      <c r="D4165" t="s">
        <v>3462</v>
      </c>
      <c r="E4165" t="str">
        <f>IF(LEFT(D4165,6)="CLIENT",IFERROR(VLOOKUP(C4165,Config_Carteiras!$A:$B,2,FALSE),1),"")</f>
        <v/>
      </c>
      <c r="F4165" s="25">
        <v>0</v>
      </c>
      <c r="G4165" s="28" t="str">
        <f>IF(LEFT(D4165,6)="CLIENT",IF(E4165=0,WORKDAY(A4165-1,1,Dias_Sem_Compensacao!$A$2:$A$500),WORKDAY(A4165,E4165,Dias_Sem_Compensacao!$A$2:$A$500)),"")</f>
        <v/>
      </c>
      <c r="H4165" s="25">
        <v>88.79</v>
      </c>
      <c r="I4165" s="28">
        <v>46311</v>
      </c>
      <c r="K4165" t="s">
        <v>3835</v>
      </c>
    </row>
    <row r="4166" spans="1:11" hidden="1">
      <c r="A4166" s="28">
        <v>46311</v>
      </c>
      <c r="B4166" t="s">
        <v>3523</v>
      </c>
      <c r="C4166" t="s">
        <v>151</v>
      </c>
      <c r="D4166" t="s">
        <v>3462</v>
      </c>
      <c r="E4166" t="str">
        <f>IF(LEFT(D4166,6)="CLIENT",IFERROR(VLOOKUP(C4166,Config_Carteiras!$A:$B,2,FALSE),1),"")</f>
        <v/>
      </c>
      <c r="F4166" s="25">
        <v>0</v>
      </c>
      <c r="G4166" s="28" t="str">
        <f>IF(LEFT(D4166,6)="CLIENT",IF(E4166=0,WORKDAY(A4166-1,1,Dias_Sem_Compensacao!$A$2:$A$500),WORKDAY(A4166,E4166,Dias_Sem_Compensacao!$A$2:$A$500)),"")</f>
        <v/>
      </c>
      <c r="H4166" s="25">
        <v>223.57</v>
      </c>
      <c r="I4166" s="28">
        <v>46311</v>
      </c>
      <c r="K4166" t="s">
        <v>3836</v>
      </c>
    </row>
    <row r="4167" spans="1:11" hidden="1">
      <c r="A4167" s="28">
        <v>46311</v>
      </c>
      <c r="B4167" t="s">
        <v>3523</v>
      </c>
      <c r="C4167" t="s">
        <v>151</v>
      </c>
      <c r="D4167" t="s">
        <v>3462</v>
      </c>
      <c r="E4167" t="str">
        <f>IF(LEFT(D4167,6)="CLIENT",IFERROR(VLOOKUP(C4167,Config_Carteiras!$A:$B,2,FALSE),1),"")</f>
        <v/>
      </c>
      <c r="F4167" s="25">
        <v>0</v>
      </c>
      <c r="G4167" s="28" t="str">
        <f>IF(LEFT(D4167,6)="CLIENT",IF(E4167=0,WORKDAY(A4167-1,1,Dias_Sem_Compensacao!$A$2:$A$500),WORKDAY(A4167,E4167,Dias_Sem_Compensacao!$A$2:$A$500)),"")</f>
        <v/>
      </c>
      <c r="H4167" s="25">
        <v>322.07</v>
      </c>
      <c r="I4167" s="28">
        <v>46311</v>
      </c>
      <c r="K4167" t="s">
        <v>3837</v>
      </c>
    </row>
    <row r="4168" spans="1:11" hidden="1">
      <c r="A4168" s="28">
        <v>46311</v>
      </c>
      <c r="B4168" t="s">
        <v>3523</v>
      </c>
      <c r="C4168" t="s">
        <v>151</v>
      </c>
      <c r="D4168" t="s">
        <v>3462</v>
      </c>
      <c r="E4168" t="str">
        <f>IF(LEFT(D4168,6)="CLIENT",IFERROR(VLOOKUP(C4168,Config_Carteiras!$A:$B,2,FALSE),1),"")</f>
        <v/>
      </c>
      <c r="F4168" s="25">
        <v>0</v>
      </c>
      <c r="G4168" s="28" t="str">
        <f>IF(LEFT(D4168,6)="CLIENT",IF(E4168=0,WORKDAY(A4168-1,1,Dias_Sem_Compensacao!$A$2:$A$500),WORKDAY(A4168,E4168,Dias_Sem_Compensacao!$A$2:$A$500)),"")</f>
        <v/>
      </c>
      <c r="H4168" s="25">
        <v>152</v>
      </c>
      <c r="I4168" s="28">
        <v>46311</v>
      </c>
      <c r="J4168" t="s">
        <v>160</v>
      </c>
      <c r="K4168" t="s">
        <v>3838</v>
      </c>
    </row>
    <row r="4169" spans="1:11" hidden="1">
      <c r="A4169" s="28">
        <v>46311</v>
      </c>
      <c r="B4169" t="s">
        <v>3523</v>
      </c>
      <c r="C4169" t="s">
        <v>151</v>
      </c>
      <c r="D4169" t="s">
        <v>3462</v>
      </c>
      <c r="E4169" t="str">
        <f>IF(LEFT(D4169,6)="CLIENT",IFERROR(VLOOKUP(C4169,Config_Carteiras!$A:$B,2,FALSE),1),"")</f>
        <v/>
      </c>
      <c r="F4169" s="25">
        <v>0</v>
      </c>
      <c r="G4169" s="28" t="str">
        <f>IF(LEFT(D4169,6)="CLIENT",IF(E4169=0,WORKDAY(A4169-1,1,Dias_Sem_Compensacao!$A$2:$A$500),WORKDAY(A4169,E4169,Dias_Sem_Compensacao!$A$2:$A$500)),"")</f>
        <v/>
      </c>
      <c r="H4169" s="25">
        <v>52</v>
      </c>
      <c r="I4169" s="28">
        <v>46311</v>
      </c>
      <c r="J4169" t="s">
        <v>3839</v>
      </c>
      <c r="K4169" t="s">
        <v>3840</v>
      </c>
    </row>
    <row r="4170" spans="1:11" hidden="1">
      <c r="A4170" s="28">
        <v>46311</v>
      </c>
      <c r="B4170" t="s">
        <v>3523</v>
      </c>
      <c r="C4170" t="s">
        <v>151</v>
      </c>
      <c r="D4170" t="s">
        <v>3462</v>
      </c>
      <c r="E4170" t="str">
        <f>IF(LEFT(D4170,6)="CLIENT",IFERROR(VLOOKUP(C4170,Config_Carteiras!$A:$B,2,FALSE),1),"")</f>
        <v/>
      </c>
      <c r="F4170" s="25">
        <v>0</v>
      </c>
      <c r="G4170" s="28" t="str">
        <f>IF(LEFT(D4170,6)="CLIENT",IF(E4170=0,WORKDAY(A4170-1,1,Dias_Sem_Compensacao!$A$2:$A$500),WORKDAY(A4170,E4170,Dias_Sem_Compensacao!$A$2:$A$500)),"")</f>
        <v/>
      </c>
      <c r="H4170" s="25">
        <v>899.5</v>
      </c>
      <c r="I4170" s="28">
        <v>46311</v>
      </c>
      <c r="J4170" t="s">
        <v>3841</v>
      </c>
      <c r="K4170" t="s">
        <v>3842</v>
      </c>
    </row>
    <row r="4171" spans="1:11" hidden="1">
      <c r="A4171" s="28">
        <v>46311</v>
      </c>
      <c r="B4171" t="s">
        <v>3523</v>
      </c>
      <c r="C4171" t="s">
        <v>151</v>
      </c>
      <c r="D4171" t="s">
        <v>3462</v>
      </c>
      <c r="E4171" t="str">
        <f>IF(LEFT(D4171,6)="CLIENT",IFERROR(VLOOKUP(C4171,Config_Carteiras!$A:$B,2,FALSE),1),"")</f>
        <v/>
      </c>
      <c r="F4171" s="25">
        <v>0</v>
      </c>
      <c r="G4171" s="28" t="str">
        <f>IF(LEFT(D4171,6)="CLIENT",IF(E4171=0,WORKDAY(A4171-1,1,Dias_Sem_Compensacao!$A$2:$A$500),WORKDAY(A4171,E4171,Dias_Sem_Compensacao!$A$2:$A$500)),"")</f>
        <v/>
      </c>
      <c r="H4171" s="25">
        <v>186.04</v>
      </c>
      <c r="I4171" s="28">
        <v>46311</v>
      </c>
      <c r="J4171" t="s">
        <v>42</v>
      </c>
      <c r="K4171" t="s">
        <v>3843</v>
      </c>
    </row>
    <row r="4172" spans="1:11" hidden="1">
      <c r="A4172" s="28">
        <v>46311</v>
      </c>
      <c r="B4172" t="s">
        <v>3523</v>
      </c>
      <c r="C4172" t="s">
        <v>151</v>
      </c>
      <c r="D4172" t="s">
        <v>3462</v>
      </c>
      <c r="E4172" t="str">
        <f>IF(LEFT(D4172,6)="CLIENT",IFERROR(VLOOKUP(C4172,Config_Carteiras!$A:$B,2,FALSE),1),"")</f>
        <v/>
      </c>
      <c r="F4172" s="25">
        <v>0</v>
      </c>
      <c r="G4172" s="28" t="str">
        <f>IF(LEFT(D4172,6)="CLIENT",IF(E4172=0,WORKDAY(A4172-1,1,Dias_Sem_Compensacao!$A$2:$A$500),WORKDAY(A4172,E4172,Dias_Sem_Compensacao!$A$2:$A$500)),"")</f>
        <v/>
      </c>
      <c r="H4172" s="25">
        <v>1172</v>
      </c>
      <c r="I4172" s="28">
        <v>46311</v>
      </c>
      <c r="J4172" t="s">
        <v>48</v>
      </c>
      <c r="K4172" t="s">
        <v>3844</v>
      </c>
    </row>
    <row r="4173" spans="1:11" hidden="1">
      <c r="A4173" s="28">
        <v>46311</v>
      </c>
      <c r="B4173" t="s">
        <v>3523</v>
      </c>
      <c r="C4173" t="s">
        <v>151</v>
      </c>
      <c r="D4173" t="s">
        <v>3462</v>
      </c>
      <c r="E4173" t="str">
        <f>IF(LEFT(D4173,6)="CLIENT",IFERROR(VLOOKUP(C4173,Config_Carteiras!$A:$B,2,FALSE),1),"")</f>
        <v/>
      </c>
      <c r="F4173" s="25">
        <v>0</v>
      </c>
      <c r="G4173" s="28" t="str">
        <f>IF(LEFT(D4173,6)="CLIENT",IF(E4173=0,WORKDAY(A4173-1,1,Dias_Sem_Compensacao!$A$2:$A$500),WORKDAY(A4173,E4173,Dias_Sem_Compensacao!$A$2:$A$500)),"")</f>
        <v/>
      </c>
      <c r="H4173" s="25">
        <v>4000</v>
      </c>
      <c r="I4173" s="28">
        <v>46311</v>
      </c>
      <c r="J4173" t="s">
        <v>173</v>
      </c>
      <c r="K4173" t="s">
        <v>172</v>
      </c>
    </row>
    <row r="4174" spans="1:11" hidden="1">
      <c r="A4174" s="28">
        <v>46312</v>
      </c>
      <c r="B4174" t="s">
        <v>3523</v>
      </c>
      <c r="C4174" t="s">
        <v>151</v>
      </c>
      <c r="D4174" t="s">
        <v>3462</v>
      </c>
      <c r="E4174" t="str">
        <f>IF(LEFT(D4174,6)="CLIENT",IFERROR(VLOOKUP(C4174,Config_Carteiras!$A:$B,2,FALSE),1),"")</f>
        <v/>
      </c>
      <c r="F4174" s="25">
        <v>0</v>
      </c>
      <c r="G4174" s="28" t="str">
        <f>IF(LEFT(D4174,6)="CLIENT",IF(E4174=0,WORKDAY(A4174-1,1,Dias_Sem_Compensacao!$A$2:$A$500),WORKDAY(A4174,E4174,Dias_Sem_Compensacao!$A$2:$A$500)),"")</f>
        <v/>
      </c>
      <c r="H4174" s="25">
        <v>12131.7</v>
      </c>
      <c r="I4174" s="28">
        <v>46312</v>
      </c>
      <c r="J4174" t="s">
        <v>40</v>
      </c>
      <c r="K4174" t="s">
        <v>3845</v>
      </c>
    </row>
    <row r="4175" spans="1:11" hidden="1">
      <c r="A4175" s="28">
        <v>46313</v>
      </c>
      <c r="B4175" t="s">
        <v>3523</v>
      </c>
      <c r="C4175" t="s">
        <v>151</v>
      </c>
      <c r="D4175" t="s">
        <v>3462</v>
      </c>
      <c r="E4175" t="str">
        <f>IF(LEFT(D4175,6)="CLIENT",IFERROR(VLOOKUP(C4175,Config_Carteiras!$A:$B,2,FALSE),1),"")</f>
        <v/>
      </c>
      <c r="F4175" s="25">
        <v>0</v>
      </c>
      <c r="G4175" s="28" t="str">
        <f>IF(LEFT(D4175,6)="CLIENT",IF(E4175=0,WORKDAY(A4175-1,1,Dias_Sem_Compensacao!$A$2:$A$500),WORKDAY(A4175,E4175,Dias_Sem_Compensacao!$A$2:$A$500)),"")</f>
        <v/>
      </c>
      <c r="H4175" s="25">
        <v>1435.8</v>
      </c>
      <c r="I4175" s="28">
        <v>46313</v>
      </c>
      <c r="J4175" t="s">
        <v>3846</v>
      </c>
      <c r="K4175" t="s">
        <v>3847</v>
      </c>
    </row>
    <row r="4176" spans="1:11" hidden="1">
      <c r="A4176" s="28">
        <v>46314</v>
      </c>
      <c r="B4176" t="s">
        <v>3523</v>
      </c>
      <c r="C4176" t="s">
        <v>151</v>
      </c>
      <c r="D4176" t="s">
        <v>3462</v>
      </c>
      <c r="E4176" t="str">
        <f>IF(LEFT(D4176,6)="CLIENT",IFERROR(VLOOKUP(C4176,Config_Carteiras!$A:$B,2,FALSE),1),"")</f>
        <v/>
      </c>
      <c r="F4176" s="25">
        <v>0</v>
      </c>
      <c r="G4176" s="28" t="str">
        <f>IF(LEFT(D4176,6)="CLIENT",IF(E4176=0,WORKDAY(A4176-1,1,Dias_Sem_Compensacao!$A$2:$A$500),WORKDAY(A4176,E4176,Dias_Sem_Compensacao!$A$2:$A$500)),"")</f>
        <v/>
      </c>
      <c r="H4176" s="25">
        <v>213.69</v>
      </c>
      <c r="I4176" s="28">
        <v>46314</v>
      </c>
      <c r="J4176" t="s">
        <v>3549</v>
      </c>
      <c r="K4176" t="s">
        <v>3848</v>
      </c>
    </row>
    <row r="4177" spans="1:11" hidden="1">
      <c r="A4177" s="28">
        <v>46314</v>
      </c>
      <c r="B4177" t="s">
        <v>3523</v>
      </c>
      <c r="C4177" t="s">
        <v>151</v>
      </c>
      <c r="D4177" t="s">
        <v>3462</v>
      </c>
      <c r="E4177" t="str">
        <f>IF(LEFT(D4177,6)="CLIENT",IFERROR(VLOOKUP(C4177,Config_Carteiras!$A:$B,2,FALSE),1),"")</f>
        <v/>
      </c>
      <c r="F4177" s="25">
        <v>0</v>
      </c>
      <c r="G4177" s="28" t="str">
        <f>IF(LEFT(D4177,6)="CLIENT",IF(E4177=0,WORKDAY(A4177-1,1,Dias_Sem_Compensacao!$A$2:$A$500),WORKDAY(A4177,E4177,Dias_Sem_Compensacao!$A$2:$A$500)),"")</f>
        <v/>
      </c>
      <c r="H4177" s="25">
        <v>637.1</v>
      </c>
      <c r="I4177" s="28">
        <v>46314</v>
      </c>
      <c r="J4177" t="s">
        <v>148</v>
      </c>
      <c r="K4177" t="s">
        <v>3849</v>
      </c>
    </row>
    <row r="4178" spans="1:11" hidden="1">
      <c r="A4178" s="28">
        <v>46314</v>
      </c>
      <c r="B4178" t="s">
        <v>3523</v>
      </c>
      <c r="C4178" t="s">
        <v>151</v>
      </c>
      <c r="D4178" t="s">
        <v>3462</v>
      </c>
      <c r="E4178" t="str">
        <f>IF(LEFT(D4178,6)="CLIENT",IFERROR(VLOOKUP(C4178,Config_Carteiras!$A:$B,2,FALSE),1),"")</f>
        <v/>
      </c>
      <c r="F4178" s="25">
        <v>0</v>
      </c>
      <c r="G4178" s="28" t="str">
        <f>IF(LEFT(D4178,6)="CLIENT",IF(E4178=0,WORKDAY(A4178-1,1,Dias_Sem_Compensacao!$A$2:$A$500),WORKDAY(A4178,E4178,Dias_Sem_Compensacao!$A$2:$A$500)),"")</f>
        <v/>
      </c>
      <c r="H4178" s="25">
        <v>1623</v>
      </c>
      <c r="I4178" s="28">
        <v>46314</v>
      </c>
      <c r="J4178" t="s">
        <v>150</v>
      </c>
      <c r="K4178" t="s">
        <v>3850</v>
      </c>
    </row>
    <row r="4179" spans="1:11" hidden="1">
      <c r="A4179" s="28">
        <v>46314</v>
      </c>
      <c r="B4179" t="s">
        <v>3523</v>
      </c>
      <c r="C4179" t="s">
        <v>151</v>
      </c>
      <c r="D4179" t="s">
        <v>3462</v>
      </c>
      <c r="E4179" t="str">
        <f>IF(LEFT(D4179,6)="CLIENT",IFERROR(VLOOKUP(C4179,Config_Carteiras!$A:$B,2,FALSE),1),"")</f>
        <v/>
      </c>
      <c r="F4179" s="25">
        <v>0</v>
      </c>
      <c r="G4179" s="28" t="str">
        <f>IF(LEFT(D4179,6)="CLIENT",IF(E4179=0,WORKDAY(A4179-1,1,Dias_Sem_Compensacao!$A$2:$A$500),WORKDAY(A4179,E4179,Dias_Sem_Compensacao!$A$2:$A$500)),"")</f>
        <v/>
      </c>
      <c r="H4179" s="25">
        <v>1540</v>
      </c>
      <c r="I4179" s="28">
        <v>46314</v>
      </c>
      <c r="K4179" t="s">
        <v>3851</v>
      </c>
    </row>
    <row r="4180" spans="1:11" hidden="1">
      <c r="A4180" s="28">
        <v>46314</v>
      </c>
      <c r="B4180" t="s">
        <v>3523</v>
      </c>
      <c r="C4180" t="s">
        <v>151</v>
      </c>
      <c r="D4180" t="s">
        <v>3462</v>
      </c>
      <c r="E4180" t="str">
        <f>IF(LEFT(D4180,6)="CLIENT",IFERROR(VLOOKUP(C4180,Config_Carteiras!$A:$B,2,FALSE),1),"")</f>
        <v/>
      </c>
      <c r="F4180" s="25">
        <v>0</v>
      </c>
      <c r="G4180" s="28" t="str">
        <f>IF(LEFT(D4180,6)="CLIENT",IF(E4180=0,WORKDAY(A4180-1,1,Dias_Sem_Compensacao!$A$2:$A$500),WORKDAY(A4180,E4180,Dias_Sem_Compensacao!$A$2:$A$500)),"")</f>
        <v/>
      </c>
      <c r="H4180" s="25">
        <v>2260</v>
      </c>
      <c r="I4180" s="28">
        <v>46314</v>
      </c>
      <c r="K4180" t="s">
        <v>3852</v>
      </c>
    </row>
    <row r="4181" spans="1:11" hidden="1">
      <c r="A4181" s="28">
        <v>46314</v>
      </c>
      <c r="B4181" t="s">
        <v>3523</v>
      </c>
      <c r="C4181" t="s">
        <v>151</v>
      </c>
      <c r="D4181" t="s">
        <v>3462</v>
      </c>
      <c r="E4181" t="str">
        <f>IF(LEFT(D4181,6)="CLIENT",IFERROR(VLOOKUP(C4181,Config_Carteiras!$A:$B,2,FALSE),1),"")</f>
        <v/>
      </c>
      <c r="F4181" s="25">
        <v>0</v>
      </c>
      <c r="G4181" s="28" t="str">
        <f>IF(LEFT(D4181,6)="CLIENT",IF(E4181=0,WORKDAY(A4181-1,1,Dias_Sem_Compensacao!$A$2:$A$500),WORKDAY(A4181,E4181,Dias_Sem_Compensacao!$A$2:$A$500)),"")</f>
        <v/>
      </c>
      <c r="H4181" s="25">
        <v>442.5</v>
      </c>
      <c r="I4181" s="28">
        <v>46314</v>
      </c>
      <c r="J4181" t="s">
        <v>74</v>
      </c>
      <c r="K4181" t="s">
        <v>3853</v>
      </c>
    </row>
    <row r="4182" spans="1:11" hidden="1">
      <c r="A4182" s="28">
        <v>46314</v>
      </c>
      <c r="B4182" t="s">
        <v>3523</v>
      </c>
      <c r="C4182" t="s">
        <v>151</v>
      </c>
      <c r="D4182" t="s">
        <v>3462</v>
      </c>
      <c r="E4182" t="str">
        <f>IF(LEFT(D4182,6)="CLIENT",IFERROR(VLOOKUP(C4182,Config_Carteiras!$A:$B,2,FALSE),1),"")</f>
        <v/>
      </c>
      <c r="F4182" s="25">
        <v>0</v>
      </c>
      <c r="G4182" s="28" t="str">
        <f>IF(LEFT(D4182,6)="CLIENT",IF(E4182=0,WORKDAY(A4182-1,1,Dias_Sem_Compensacao!$A$2:$A$500),WORKDAY(A4182,E4182,Dias_Sem_Compensacao!$A$2:$A$500)),"")</f>
        <v/>
      </c>
      <c r="H4182" s="25">
        <v>339.79</v>
      </c>
      <c r="I4182" s="28">
        <v>46314</v>
      </c>
      <c r="J4182" t="s">
        <v>2595</v>
      </c>
      <c r="K4182" t="s">
        <v>3854</v>
      </c>
    </row>
    <row r="4183" spans="1:11" hidden="1">
      <c r="A4183" s="28">
        <v>46314</v>
      </c>
      <c r="B4183" t="s">
        <v>3523</v>
      </c>
      <c r="C4183" t="s">
        <v>151</v>
      </c>
      <c r="D4183" t="s">
        <v>3462</v>
      </c>
      <c r="E4183" t="str">
        <f>IF(LEFT(D4183,6)="CLIENT",IFERROR(VLOOKUP(C4183,Config_Carteiras!$A:$B,2,FALSE),1),"")</f>
        <v/>
      </c>
      <c r="F4183" s="25">
        <v>0</v>
      </c>
      <c r="G4183" s="28" t="str">
        <f>IF(LEFT(D4183,6)="CLIENT",IF(E4183=0,WORKDAY(A4183-1,1,Dias_Sem_Compensacao!$A$2:$A$500),WORKDAY(A4183,E4183,Dias_Sem_Compensacao!$A$2:$A$500)),"")</f>
        <v/>
      </c>
      <c r="H4183" s="25">
        <v>135.86000000000001</v>
      </c>
      <c r="I4183" s="28">
        <v>46314</v>
      </c>
      <c r="K4183" t="s">
        <v>3855</v>
      </c>
    </row>
    <row r="4184" spans="1:11" hidden="1">
      <c r="A4184" s="28">
        <v>46314</v>
      </c>
      <c r="B4184" t="s">
        <v>3523</v>
      </c>
      <c r="C4184" t="s">
        <v>151</v>
      </c>
      <c r="D4184" t="s">
        <v>3462</v>
      </c>
      <c r="E4184" t="str">
        <f>IF(LEFT(D4184,6)="CLIENT",IFERROR(VLOOKUP(C4184,Config_Carteiras!$A:$B,2,FALSE),1),"")</f>
        <v/>
      </c>
      <c r="F4184" s="25">
        <v>0</v>
      </c>
      <c r="G4184" s="28" t="str">
        <f>IF(LEFT(D4184,6)="CLIENT",IF(E4184=0,WORKDAY(A4184-1,1,Dias_Sem_Compensacao!$A$2:$A$500),WORKDAY(A4184,E4184,Dias_Sem_Compensacao!$A$2:$A$500)),"")</f>
        <v/>
      </c>
      <c r="H4184" s="25">
        <v>114.29</v>
      </c>
      <c r="I4184" s="28">
        <v>46314</v>
      </c>
      <c r="K4184" t="s">
        <v>3856</v>
      </c>
    </row>
    <row r="4185" spans="1:11" hidden="1">
      <c r="A4185" s="28">
        <v>46314</v>
      </c>
      <c r="B4185" t="s">
        <v>3523</v>
      </c>
      <c r="C4185" t="s">
        <v>151</v>
      </c>
      <c r="D4185" t="s">
        <v>3462</v>
      </c>
      <c r="E4185" t="str">
        <f>IF(LEFT(D4185,6)="CLIENT",IFERROR(VLOOKUP(C4185,Config_Carteiras!$A:$B,2,FALSE),1),"")</f>
        <v/>
      </c>
      <c r="F4185" s="25">
        <v>0</v>
      </c>
      <c r="G4185" s="28" t="str">
        <f>IF(LEFT(D4185,6)="CLIENT",IF(E4185=0,WORKDAY(A4185-1,1,Dias_Sem_Compensacao!$A$2:$A$500),WORKDAY(A4185,E4185,Dias_Sem_Compensacao!$A$2:$A$500)),"")</f>
        <v/>
      </c>
      <c r="H4185" s="25">
        <v>765.64</v>
      </c>
      <c r="I4185" s="28">
        <v>46314</v>
      </c>
      <c r="K4185" t="s">
        <v>3857</v>
      </c>
    </row>
    <row r="4186" spans="1:11" hidden="1">
      <c r="A4186" s="28">
        <v>46314</v>
      </c>
      <c r="B4186" t="s">
        <v>3523</v>
      </c>
      <c r="C4186" t="s">
        <v>151</v>
      </c>
      <c r="D4186" t="s">
        <v>3462</v>
      </c>
      <c r="E4186" t="str">
        <f>IF(LEFT(D4186,6)="CLIENT",IFERROR(VLOOKUP(C4186,Config_Carteiras!$A:$B,2,FALSE),1),"")</f>
        <v/>
      </c>
      <c r="F4186" s="25">
        <v>0</v>
      </c>
      <c r="G4186" s="28" t="str">
        <f>IF(LEFT(D4186,6)="CLIENT",IF(E4186=0,WORKDAY(A4186-1,1,Dias_Sem_Compensacao!$A$2:$A$500),WORKDAY(A4186,E4186,Dias_Sem_Compensacao!$A$2:$A$500)),"")</f>
        <v/>
      </c>
      <c r="H4186" s="25">
        <v>118.02</v>
      </c>
      <c r="I4186" s="28">
        <v>46314</v>
      </c>
      <c r="K4186" t="s">
        <v>3858</v>
      </c>
    </row>
    <row r="4187" spans="1:11" hidden="1">
      <c r="A4187" s="28">
        <v>46314</v>
      </c>
      <c r="B4187" t="s">
        <v>3523</v>
      </c>
      <c r="C4187" t="s">
        <v>151</v>
      </c>
      <c r="D4187" t="s">
        <v>3462</v>
      </c>
      <c r="E4187" t="str">
        <f>IF(LEFT(D4187,6)="CLIENT",IFERROR(VLOOKUP(C4187,Config_Carteiras!$A:$B,2,FALSE),1),"")</f>
        <v/>
      </c>
      <c r="F4187" s="25">
        <v>0</v>
      </c>
      <c r="G4187" s="28" t="str">
        <f>IF(LEFT(D4187,6)="CLIENT",IF(E4187=0,WORKDAY(A4187-1,1,Dias_Sem_Compensacao!$A$2:$A$500),WORKDAY(A4187,E4187,Dias_Sem_Compensacao!$A$2:$A$500)),"")</f>
        <v/>
      </c>
      <c r="H4187" s="25">
        <v>249.7</v>
      </c>
      <c r="I4187" s="28">
        <v>46314</v>
      </c>
      <c r="K4187" t="s">
        <v>3859</v>
      </c>
    </row>
    <row r="4188" spans="1:11" hidden="1">
      <c r="A4188" s="28">
        <v>46314</v>
      </c>
      <c r="B4188" t="s">
        <v>3523</v>
      </c>
      <c r="C4188" t="s">
        <v>151</v>
      </c>
      <c r="D4188" t="s">
        <v>3462</v>
      </c>
      <c r="E4188" t="str">
        <f>IF(LEFT(D4188,6)="CLIENT",IFERROR(VLOOKUP(C4188,Config_Carteiras!$A:$B,2,FALSE),1),"")</f>
        <v/>
      </c>
      <c r="F4188" s="25">
        <v>0</v>
      </c>
      <c r="G4188" s="28" t="str">
        <f>IF(LEFT(D4188,6)="CLIENT",IF(E4188=0,WORKDAY(A4188-1,1,Dias_Sem_Compensacao!$A$2:$A$500),WORKDAY(A4188,E4188,Dias_Sem_Compensacao!$A$2:$A$500)),"")</f>
        <v/>
      </c>
      <c r="H4188" s="25">
        <v>69.069999999999993</v>
      </c>
      <c r="I4188" s="28">
        <v>46314</v>
      </c>
      <c r="K4188" t="s">
        <v>3860</v>
      </c>
    </row>
    <row r="4189" spans="1:11" hidden="1">
      <c r="A4189" s="28">
        <v>46314</v>
      </c>
      <c r="B4189" t="s">
        <v>3523</v>
      </c>
      <c r="C4189" t="s">
        <v>151</v>
      </c>
      <c r="D4189" t="s">
        <v>3462</v>
      </c>
      <c r="E4189" t="str">
        <f>IF(LEFT(D4189,6)="CLIENT",IFERROR(VLOOKUP(C4189,Config_Carteiras!$A:$B,2,FALSE),1),"")</f>
        <v/>
      </c>
      <c r="F4189" s="25">
        <v>0</v>
      </c>
      <c r="G4189" s="28" t="str">
        <f>IF(LEFT(D4189,6)="CLIENT",IF(E4189=0,WORKDAY(A4189-1,1,Dias_Sem_Compensacao!$A$2:$A$500),WORKDAY(A4189,E4189,Dias_Sem_Compensacao!$A$2:$A$500)),"")</f>
        <v/>
      </c>
      <c r="H4189" s="25">
        <v>119.13</v>
      </c>
      <c r="I4189" s="28">
        <v>46314</v>
      </c>
      <c r="K4189" t="s">
        <v>3861</v>
      </c>
    </row>
    <row r="4190" spans="1:11" hidden="1">
      <c r="A4190" s="28">
        <v>46314</v>
      </c>
      <c r="B4190" t="s">
        <v>3523</v>
      </c>
      <c r="C4190" t="s">
        <v>151</v>
      </c>
      <c r="D4190" t="s">
        <v>3462</v>
      </c>
      <c r="E4190" t="str">
        <f>IF(LEFT(D4190,6)="CLIENT",IFERROR(VLOOKUP(C4190,Config_Carteiras!$A:$B,2,FALSE),1),"")</f>
        <v/>
      </c>
      <c r="F4190" s="25">
        <v>0</v>
      </c>
      <c r="G4190" s="28" t="str">
        <f>IF(LEFT(D4190,6)="CLIENT",IF(E4190=0,WORKDAY(A4190-1,1,Dias_Sem_Compensacao!$A$2:$A$500),WORKDAY(A4190,E4190,Dias_Sem_Compensacao!$A$2:$A$500)),"")</f>
        <v/>
      </c>
      <c r="H4190" s="25">
        <v>119.13</v>
      </c>
      <c r="I4190" s="28">
        <v>46314</v>
      </c>
      <c r="K4190" t="s">
        <v>3862</v>
      </c>
    </row>
    <row r="4191" spans="1:11" hidden="1">
      <c r="A4191" s="28">
        <v>46314</v>
      </c>
      <c r="B4191" t="s">
        <v>3523</v>
      </c>
      <c r="C4191" t="s">
        <v>151</v>
      </c>
      <c r="D4191" t="s">
        <v>3462</v>
      </c>
      <c r="E4191" t="str">
        <f>IF(LEFT(D4191,6)="CLIENT",IFERROR(VLOOKUP(C4191,Config_Carteiras!$A:$B,2,FALSE),1),"")</f>
        <v/>
      </c>
      <c r="F4191" s="25">
        <v>0</v>
      </c>
      <c r="G4191" s="28" t="str">
        <f>IF(LEFT(D4191,6)="CLIENT",IF(E4191=0,WORKDAY(A4191-1,1,Dias_Sem_Compensacao!$A$2:$A$500),WORKDAY(A4191,E4191,Dias_Sem_Compensacao!$A$2:$A$500)),"")</f>
        <v/>
      </c>
      <c r="H4191" s="25">
        <v>160.87</v>
      </c>
      <c r="I4191" s="28">
        <v>46314</v>
      </c>
      <c r="K4191" t="s">
        <v>3863</v>
      </c>
    </row>
    <row r="4192" spans="1:11" hidden="1">
      <c r="A4192" s="28">
        <v>46314</v>
      </c>
      <c r="B4192" t="s">
        <v>3523</v>
      </c>
      <c r="C4192" t="s">
        <v>151</v>
      </c>
      <c r="D4192" t="s">
        <v>3462</v>
      </c>
      <c r="E4192" t="str">
        <f>IF(LEFT(D4192,6)="CLIENT",IFERROR(VLOOKUP(C4192,Config_Carteiras!$A:$B,2,FALSE),1),"")</f>
        <v/>
      </c>
      <c r="F4192" s="25">
        <v>0</v>
      </c>
      <c r="G4192" s="28" t="str">
        <f>IF(LEFT(D4192,6)="CLIENT",IF(E4192=0,WORKDAY(A4192-1,1,Dias_Sem_Compensacao!$A$2:$A$500),WORKDAY(A4192,E4192,Dias_Sem_Compensacao!$A$2:$A$500)),"")</f>
        <v/>
      </c>
      <c r="H4192" s="25">
        <v>131.44999999999999</v>
      </c>
      <c r="I4192" s="28">
        <v>46314</v>
      </c>
      <c r="K4192" t="s">
        <v>3864</v>
      </c>
    </row>
    <row r="4193" spans="1:11" hidden="1">
      <c r="A4193" s="28">
        <v>46314</v>
      </c>
      <c r="B4193" t="s">
        <v>3523</v>
      </c>
      <c r="C4193" t="s">
        <v>151</v>
      </c>
      <c r="D4193" t="s">
        <v>3462</v>
      </c>
      <c r="E4193" t="str">
        <f>IF(LEFT(D4193,6)="CLIENT",IFERROR(VLOOKUP(C4193,Config_Carteiras!$A:$B,2,FALSE),1),"")</f>
        <v/>
      </c>
      <c r="F4193" s="25">
        <v>0</v>
      </c>
      <c r="G4193" s="28" t="str">
        <f>IF(LEFT(D4193,6)="CLIENT",IF(E4193=0,WORKDAY(A4193-1,1,Dias_Sem_Compensacao!$A$2:$A$500),WORKDAY(A4193,E4193,Dias_Sem_Compensacao!$A$2:$A$500)),"")</f>
        <v/>
      </c>
      <c r="H4193" s="25">
        <v>69.069999999999993</v>
      </c>
      <c r="I4193" s="28">
        <v>46314</v>
      </c>
      <c r="K4193" t="s">
        <v>3865</v>
      </c>
    </row>
    <row r="4194" spans="1:11" hidden="1">
      <c r="A4194" s="28">
        <v>46314</v>
      </c>
      <c r="B4194" t="s">
        <v>3523</v>
      </c>
      <c r="C4194" t="s">
        <v>151</v>
      </c>
      <c r="D4194" t="s">
        <v>3462</v>
      </c>
      <c r="E4194" t="str">
        <f>IF(LEFT(D4194,6)="CLIENT",IFERROR(VLOOKUP(C4194,Config_Carteiras!$A:$B,2,FALSE),1),"")</f>
        <v/>
      </c>
      <c r="F4194" s="25">
        <v>0</v>
      </c>
      <c r="G4194" s="28" t="str">
        <f>IF(LEFT(D4194,6)="CLIENT",IF(E4194=0,WORKDAY(A4194-1,1,Dias_Sem_Compensacao!$A$2:$A$500),WORKDAY(A4194,E4194,Dias_Sem_Compensacao!$A$2:$A$500)),"")</f>
        <v/>
      </c>
      <c r="H4194" s="25">
        <v>325.70999999999998</v>
      </c>
      <c r="I4194" s="28">
        <v>46314</v>
      </c>
      <c r="K4194" t="s">
        <v>3866</v>
      </c>
    </row>
    <row r="4195" spans="1:11" hidden="1">
      <c r="A4195" s="28">
        <v>46314</v>
      </c>
      <c r="B4195" t="s">
        <v>3523</v>
      </c>
      <c r="C4195" t="s">
        <v>151</v>
      </c>
      <c r="D4195" t="s">
        <v>3462</v>
      </c>
      <c r="E4195" t="str">
        <f>IF(LEFT(D4195,6)="CLIENT",IFERROR(VLOOKUP(C4195,Config_Carteiras!$A:$B,2,FALSE),1),"")</f>
        <v/>
      </c>
      <c r="F4195" s="25">
        <v>0</v>
      </c>
      <c r="G4195" s="28" t="str">
        <f>IF(LEFT(D4195,6)="CLIENT",IF(E4195=0,WORKDAY(A4195-1,1,Dias_Sem_Compensacao!$A$2:$A$500),WORKDAY(A4195,E4195,Dias_Sem_Compensacao!$A$2:$A$500)),"")</f>
        <v/>
      </c>
      <c r="H4195" s="25">
        <v>80.33</v>
      </c>
      <c r="I4195" s="28">
        <v>46314</v>
      </c>
      <c r="K4195" t="s">
        <v>3867</v>
      </c>
    </row>
    <row r="4196" spans="1:11" hidden="1">
      <c r="A4196" s="28">
        <v>46314</v>
      </c>
      <c r="B4196" t="s">
        <v>3523</v>
      </c>
      <c r="C4196" t="s">
        <v>151</v>
      </c>
      <c r="D4196" t="s">
        <v>3462</v>
      </c>
      <c r="E4196" t="str">
        <f>IF(LEFT(D4196,6)="CLIENT",IFERROR(VLOOKUP(C4196,Config_Carteiras!$A:$B,2,FALSE),1),"")</f>
        <v/>
      </c>
      <c r="F4196" s="25">
        <v>0</v>
      </c>
      <c r="G4196" s="28" t="str">
        <f>IF(LEFT(D4196,6)="CLIENT",IF(E4196=0,WORKDAY(A4196-1,1,Dias_Sem_Compensacao!$A$2:$A$500),WORKDAY(A4196,E4196,Dias_Sem_Compensacao!$A$2:$A$500)),"")</f>
        <v/>
      </c>
      <c r="H4196" s="25">
        <v>80.33</v>
      </c>
      <c r="I4196" s="28">
        <v>46314</v>
      </c>
      <c r="K4196" t="s">
        <v>3868</v>
      </c>
    </row>
    <row r="4197" spans="1:11" hidden="1">
      <c r="A4197" s="28">
        <v>46314</v>
      </c>
      <c r="B4197" t="s">
        <v>3523</v>
      </c>
      <c r="C4197" t="s">
        <v>151</v>
      </c>
      <c r="D4197" t="s">
        <v>3462</v>
      </c>
      <c r="E4197" t="str">
        <f>IF(LEFT(D4197,6)="CLIENT",IFERROR(VLOOKUP(C4197,Config_Carteiras!$A:$B,2,FALSE),1),"")</f>
        <v/>
      </c>
      <c r="F4197" s="25">
        <v>0</v>
      </c>
      <c r="G4197" s="28" t="str">
        <f>IF(LEFT(D4197,6)="CLIENT",IF(E4197=0,WORKDAY(A4197-1,1,Dias_Sem_Compensacao!$A$2:$A$500),WORKDAY(A4197,E4197,Dias_Sem_Compensacao!$A$2:$A$500)),"")</f>
        <v/>
      </c>
      <c r="H4197" s="25">
        <v>71.31</v>
      </c>
      <c r="I4197" s="28">
        <v>46314</v>
      </c>
      <c r="K4197" t="s">
        <v>3869</v>
      </c>
    </row>
    <row r="4198" spans="1:11" hidden="1">
      <c r="A4198" s="28">
        <v>46314</v>
      </c>
      <c r="B4198" t="s">
        <v>3523</v>
      </c>
      <c r="C4198" t="s">
        <v>151</v>
      </c>
      <c r="D4198" t="s">
        <v>3462</v>
      </c>
      <c r="E4198" t="str">
        <f>IF(LEFT(D4198,6)="CLIENT",IFERROR(VLOOKUP(C4198,Config_Carteiras!$A:$B,2,FALSE),1),"")</f>
        <v/>
      </c>
      <c r="F4198" s="25">
        <v>0</v>
      </c>
      <c r="G4198" s="28" t="str">
        <f>IF(LEFT(D4198,6)="CLIENT",IF(E4198=0,WORKDAY(A4198-1,1,Dias_Sem_Compensacao!$A$2:$A$500),WORKDAY(A4198,E4198,Dias_Sem_Compensacao!$A$2:$A$500)),"")</f>
        <v/>
      </c>
      <c r="H4198" s="25">
        <v>172.86</v>
      </c>
      <c r="I4198" s="28">
        <v>46314</v>
      </c>
      <c r="K4198" t="s">
        <v>3870</v>
      </c>
    </row>
    <row r="4199" spans="1:11" hidden="1">
      <c r="A4199" s="28">
        <v>46314</v>
      </c>
      <c r="B4199" t="s">
        <v>3523</v>
      </c>
      <c r="C4199" t="s">
        <v>151</v>
      </c>
      <c r="D4199" t="s">
        <v>3462</v>
      </c>
      <c r="E4199" t="str">
        <f>IF(LEFT(D4199,6)="CLIENT",IFERROR(VLOOKUP(C4199,Config_Carteiras!$A:$B,2,FALSE),1),"")</f>
        <v/>
      </c>
      <c r="F4199" s="25">
        <v>0</v>
      </c>
      <c r="G4199" s="28" t="str">
        <f>IF(LEFT(D4199,6)="CLIENT",IF(E4199=0,WORKDAY(A4199-1,1,Dias_Sem_Compensacao!$A$2:$A$500),WORKDAY(A4199,E4199,Dias_Sem_Compensacao!$A$2:$A$500)),"")</f>
        <v/>
      </c>
      <c r="H4199" s="25">
        <v>252.09</v>
      </c>
      <c r="I4199" s="28">
        <v>46314</v>
      </c>
      <c r="K4199" t="s">
        <v>3871</v>
      </c>
    </row>
    <row r="4200" spans="1:11" hidden="1">
      <c r="A4200" s="28">
        <v>46314</v>
      </c>
      <c r="B4200" t="s">
        <v>3523</v>
      </c>
      <c r="C4200" t="s">
        <v>151</v>
      </c>
      <c r="D4200" t="s">
        <v>3462</v>
      </c>
      <c r="E4200" t="str">
        <f>IF(LEFT(D4200,6)="CLIENT",IFERROR(VLOOKUP(C4200,Config_Carteiras!$A:$B,2,FALSE),1),"")</f>
        <v/>
      </c>
      <c r="F4200" s="25">
        <v>0</v>
      </c>
      <c r="G4200" s="28" t="str">
        <f>IF(LEFT(D4200,6)="CLIENT",IF(E4200=0,WORKDAY(A4200-1,1,Dias_Sem_Compensacao!$A$2:$A$500),WORKDAY(A4200,E4200,Dias_Sem_Compensacao!$A$2:$A$500)),"")</f>
        <v/>
      </c>
      <c r="H4200" s="25">
        <v>799.23</v>
      </c>
      <c r="I4200" s="28">
        <v>46314</v>
      </c>
      <c r="K4200" t="s">
        <v>3872</v>
      </c>
    </row>
    <row r="4201" spans="1:11" hidden="1">
      <c r="A4201" s="28">
        <v>46314</v>
      </c>
      <c r="B4201" t="s">
        <v>3523</v>
      </c>
      <c r="C4201" t="s">
        <v>151</v>
      </c>
      <c r="D4201" t="s">
        <v>3462</v>
      </c>
      <c r="E4201" t="str">
        <f>IF(LEFT(D4201,6)="CLIENT",IFERROR(VLOOKUP(C4201,Config_Carteiras!$A:$B,2,FALSE),1),"")</f>
        <v/>
      </c>
      <c r="F4201" s="25">
        <v>0</v>
      </c>
      <c r="G4201" s="28" t="str">
        <f>IF(LEFT(D4201,6)="CLIENT",IF(E4201=0,WORKDAY(A4201-1,1,Dias_Sem_Compensacao!$A$2:$A$500),WORKDAY(A4201,E4201,Dias_Sem_Compensacao!$A$2:$A$500)),"")</f>
        <v/>
      </c>
      <c r="H4201" s="25">
        <v>69.069999999999993</v>
      </c>
      <c r="I4201" s="28">
        <v>46314</v>
      </c>
      <c r="K4201" t="s">
        <v>3873</v>
      </c>
    </row>
    <row r="4202" spans="1:11" hidden="1">
      <c r="A4202" s="28">
        <v>46314</v>
      </c>
      <c r="B4202" t="s">
        <v>3523</v>
      </c>
      <c r="C4202" t="s">
        <v>151</v>
      </c>
      <c r="D4202" t="s">
        <v>3462</v>
      </c>
      <c r="E4202" t="str">
        <f>IF(LEFT(D4202,6)="CLIENT",IFERROR(VLOOKUP(C4202,Config_Carteiras!$A:$B,2,FALSE),1),"")</f>
        <v/>
      </c>
      <c r="F4202" s="25">
        <v>0</v>
      </c>
      <c r="G4202" s="28" t="str">
        <f>IF(LEFT(D4202,6)="CLIENT",IF(E4202=0,WORKDAY(A4202-1,1,Dias_Sem_Compensacao!$A$2:$A$500),WORKDAY(A4202,E4202,Dias_Sem_Compensacao!$A$2:$A$500)),"")</f>
        <v/>
      </c>
      <c r="H4202" s="25">
        <v>171.84</v>
      </c>
      <c r="I4202" s="28">
        <v>46314</v>
      </c>
      <c r="K4202" t="s">
        <v>3874</v>
      </c>
    </row>
    <row r="4203" spans="1:11" hidden="1">
      <c r="A4203" s="28">
        <v>46314</v>
      </c>
      <c r="B4203" t="s">
        <v>3523</v>
      </c>
      <c r="C4203" t="s">
        <v>151</v>
      </c>
      <c r="D4203" t="s">
        <v>3462</v>
      </c>
      <c r="E4203" t="str">
        <f>IF(LEFT(D4203,6)="CLIENT",IFERROR(VLOOKUP(C4203,Config_Carteiras!$A:$B,2,FALSE),1),"")</f>
        <v/>
      </c>
      <c r="F4203" s="25">
        <v>0</v>
      </c>
      <c r="G4203" s="28" t="str">
        <f>IF(LEFT(D4203,6)="CLIENT",IF(E4203=0,WORKDAY(A4203-1,1,Dias_Sem_Compensacao!$A$2:$A$500),WORKDAY(A4203,E4203,Dias_Sem_Compensacao!$A$2:$A$500)),"")</f>
        <v/>
      </c>
      <c r="H4203" s="25">
        <v>88.28</v>
      </c>
      <c r="I4203" s="28">
        <v>46314</v>
      </c>
      <c r="K4203" t="s">
        <v>3875</v>
      </c>
    </row>
    <row r="4204" spans="1:11" hidden="1">
      <c r="A4204" s="28">
        <v>46314</v>
      </c>
      <c r="B4204" t="s">
        <v>3523</v>
      </c>
      <c r="C4204" t="s">
        <v>151</v>
      </c>
      <c r="D4204" t="s">
        <v>3462</v>
      </c>
      <c r="E4204" t="str">
        <f>IF(LEFT(D4204,6)="CLIENT",IFERROR(VLOOKUP(C4204,Config_Carteiras!$A:$B,2,FALSE),1),"")</f>
        <v/>
      </c>
      <c r="F4204" s="25">
        <v>0</v>
      </c>
      <c r="G4204" s="28" t="str">
        <f>IF(LEFT(D4204,6)="CLIENT",IF(E4204=0,WORKDAY(A4204-1,1,Dias_Sem_Compensacao!$A$2:$A$500),WORKDAY(A4204,E4204,Dias_Sem_Compensacao!$A$2:$A$500)),"")</f>
        <v/>
      </c>
      <c r="H4204" s="25">
        <v>90.6</v>
      </c>
      <c r="I4204" s="28">
        <v>46314</v>
      </c>
      <c r="K4204" t="s">
        <v>3876</v>
      </c>
    </row>
    <row r="4205" spans="1:11" hidden="1">
      <c r="A4205" s="28">
        <v>46314</v>
      </c>
      <c r="B4205" t="s">
        <v>3523</v>
      </c>
      <c r="C4205" t="s">
        <v>151</v>
      </c>
      <c r="D4205" t="s">
        <v>3462</v>
      </c>
      <c r="E4205" t="str">
        <f>IF(LEFT(D4205,6)="CLIENT",IFERROR(VLOOKUP(C4205,Config_Carteiras!$A:$B,2,FALSE),1),"")</f>
        <v/>
      </c>
      <c r="F4205" s="25">
        <v>0</v>
      </c>
      <c r="G4205" s="28" t="str">
        <f>IF(LEFT(D4205,6)="CLIENT",IF(E4205=0,WORKDAY(A4205-1,1,Dias_Sem_Compensacao!$A$2:$A$500),WORKDAY(A4205,E4205,Dias_Sem_Compensacao!$A$2:$A$500)),"")</f>
        <v/>
      </c>
      <c r="H4205" s="25">
        <v>188.44</v>
      </c>
      <c r="I4205" s="28">
        <v>46314</v>
      </c>
      <c r="K4205" t="s">
        <v>3877</v>
      </c>
    </row>
    <row r="4206" spans="1:11" hidden="1">
      <c r="A4206" s="28">
        <v>46314</v>
      </c>
      <c r="B4206" t="s">
        <v>3523</v>
      </c>
      <c r="C4206" t="s">
        <v>151</v>
      </c>
      <c r="D4206" t="s">
        <v>3462</v>
      </c>
      <c r="E4206" t="str">
        <f>IF(LEFT(D4206,6)="CLIENT",IFERROR(VLOOKUP(C4206,Config_Carteiras!$A:$B,2,FALSE),1),"")</f>
        <v/>
      </c>
      <c r="F4206" s="25">
        <v>0</v>
      </c>
      <c r="G4206" s="28" t="str">
        <f>IF(LEFT(D4206,6)="CLIENT",IF(E4206=0,WORKDAY(A4206-1,1,Dias_Sem_Compensacao!$A$2:$A$500),WORKDAY(A4206,E4206,Dias_Sem_Compensacao!$A$2:$A$500)),"")</f>
        <v/>
      </c>
      <c r="H4206" s="25">
        <v>129.25</v>
      </c>
      <c r="I4206" s="28">
        <v>46314</v>
      </c>
      <c r="K4206" t="s">
        <v>3878</v>
      </c>
    </row>
    <row r="4207" spans="1:11" hidden="1">
      <c r="A4207" s="28">
        <v>46314</v>
      </c>
      <c r="B4207" t="s">
        <v>3523</v>
      </c>
      <c r="C4207" t="s">
        <v>151</v>
      </c>
      <c r="D4207" t="s">
        <v>3462</v>
      </c>
      <c r="E4207" t="str">
        <f>IF(LEFT(D4207,6)="CLIENT",IFERROR(VLOOKUP(C4207,Config_Carteiras!$A:$B,2,FALSE),1),"")</f>
        <v/>
      </c>
      <c r="F4207" s="25">
        <v>0</v>
      </c>
      <c r="G4207" s="28" t="str">
        <f>IF(LEFT(D4207,6)="CLIENT",IF(E4207=0,WORKDAY(A4207-1,1,Dias_Sem_Compensacao!$A$2:$A$500),WORKDAY(A4207,E4207,Dias_Sem_Compensacao!$A$2:$A$500)),"")</f>
        <v/>
      </c>
      <c r="H4207" s="25">
        <v>3200</v>
      </c>
      <c r="I4207" s="28">
        <v>46314</v>
      </c>
      <c r="J4207" t="s">
        <v>3879</v>
      </c>
      <c r="K4207" t="s">
        <v>3880</v>
      </c>
    </row>
    <row r="4208" spans="1:11" hidden="1">
      <c r="A4208" s="28">
        <v>46314</v>
      </c>
      <c r="B4208" t="s">
        <v>3523</v>
      </c>
      <c r="C4208" t="s">
        <v>151</v>
      </c>
      <c r="D4208" t="s">
        <v>3462</v>
      </c>
      <c r="E4208" t="str">
        <f>IF(LEFT(D4208,6)="CLIENT",IFERROR(VLOOKUP(C4208,Config_Carteiras!$A:$B,2,FALSE),1),"")</f>
        <v/>
      </c>
      <c r="F4208" s="25">
        <v>0</v>
      </c>
      <c r="G4208" s="28" t="str">
        <f>IF(LEFT(D4208,6)="CLIENT",IF(E4208=0,WORKDAY(A4208-1,1,Dias_Sem_Compensacao!$A$2:$A$500),WORKDAY(A4208,E4208,Dias_Sem_Compensacao!$A$2:$A$500)),"")</f>
        <v/>
      </c>
      <c r="H4208" s="25">
        <v>16000</v>
      </c>
      <c r="I4208" s="28">
        <v>46314</v>
      </c>
      <c r="J4208" t="s">
        <v>34</v>
      </c>
      <c r="K4208" t="s">
        <v>3419</v>
      </c>
    </row>
    <row r="4209" spans="1:11" hidden="1">
      <c r="A4209" s="28">
        <v>46314</v>
      </c>
      <c r="B4209" t="s">
        <v>3523</v>
      </c>
      <c r="C4209" t="s">
        <v>151</v>
      </c>
      <c r="D4209" t="s">
        <v>3462</v>
      </c>
      <c r="E4209" t="str">
        <f>IF(LEFT(D4209,6)="CLIENT",IFERROR(VLOOKUP(C4209,Config_Carteiras!$A:$B,2,FALSE),1),"")</f>
        <v/>
      </c>
      <c r="F4209" s="25">
        <v>0</v>
      </c>
      <c r="G4209" s="28" t="str">
        <f>IF(LEFT(D4209,6)="CLIENT",IF(E4209=0,WORKDAY(A4209-1,1,Dias_Sem_Compensacao!$A$2:$A$500),WORKDAY(A4209,E4209,Dias_Sem_Compensacao!$A$2:$A$500)),"")</f>
        <v/>
      </c>
      <c r="H4209" s="25">
        <v>744</v>
      </c>
      <c r="I4209" s="28">
        <v>46314</v>
      </c>
      <c r="J4209" t="s">
        <v>160</v>
      </c>
      <c r="K4209" t="s">
        <v>3881</v>
      </c>
    </row>
    <row r="4210" spans="1:11" hidden="1">
      <c r="A4210" s="28">
        <v>46314</v>
      </c>
      <c r="B4210" t="s">
        <v>3523</v>
      </c>
      <c r="C4210" t="s">
        <v>151</v>
      </c>
      <c r="D4210" t="s">
        <v>3462</v>
      </c>
      <c r="E4210" t="str">
        <f>IF(LEFT(D4210,6)="CLIENT",IFERROR(VLOOKUP(C4210,Config_Carteiras!$A:$B,2,FALSE),1),"")</f>
        <v/>
      </c>
      <c r="F4210" s="25">
        <v>0</v>
      </c>
      <c r="G4210" s="28" t="str">
        <f>IF(LEFT(D4210,6)="CLIENT",IF(E4210=0,WORKDAY(A4210-1,1,Dias_Sem_Compensacao!$A$2:$A$500),WORKDAY(A4210,E4210,Dias_Sem_Compensacao!$A$2:$A$500)),"")</f>
        <v/>
      </c>
      <c r="H4210" s="25">
        <v>582.98</v>
      </c>
      <c r="I4210" s="28">
        <v>46314</v>
      </c>
      <c r="J4210" t="s">
        <v>3882</v>
      </c>
      <c r="K4210" t="s">
        <v>3883</v>
      </c>
    </row>
    <row r="4211" spans="1:11" hidden="1">
      <c r="A4211" s="28">
        <v>46314</v>
      </c>
      <c r="B4211" t="s">
        <v>3523</v>
      </c>
      <c r="C4211" t="s">
        <v>151</v>
      </c>
      <c r="D4211" t="s">
        <v>3462</v>
      </c>
      <c r="E4211" t="str">
        <f>IF(LEFT(D4211,6)="CLIENT",IFERROR(VLOOKUP(C4211,Config_Carteiras!$A:$B,2,FALSE),1),"")</f>
        <v/>
      </c>
      <c r="F4211" s="25">
        <v>0</v>
      </c>
      <c r="G4211" s="28" t="str">
        <f>IF(LEFT(D4211,6)="CLIENT",IF(E4211=0,WORKDAY(A4211-1,1,Dias_Sem_Compensacao!$A$2:$A$500),WORKDAY(A4211,E4211,Dias_Sem_Compensacao!$A$2:$A$500)),"")</f>
        <v/>
      </c>
      <c r="H4211" s="25">
        <v>480</v>
      </c>
      <c r="I4211" s="28">
        <v>46314</v>
      </c>
      <c r="J4211" t="s">
        <v>3884</v>
      </c>
      <c r="K4211" t="s">
        <v>3885</v>
      </c>
    </row>
    <row r="4212" spans="1:11" hidden="1">
      <c r="A4212" s="28">
        <v>46314</v>
      </c>
      <c r="B4212" t="s">
        <v>3523</v>
      </c>
      <c r="C4212" t="s">
        <v>151</v>
      </c>
      <c r="D4212" t="s">
        <v>3462</v>
      </c>
      <c r="E4212" t="str">
        <f>IF(LEFT(D4212,6)="CLIENT",IFERROR(VLOOKUP(C4212,Config_Carteiras!$A:$B,2,FALSE),1),"")</f>
        <v/>
      </c>
      <c r="F4212" s="25">
        <v>0</v>
      </c>
      <c r="G4212" s="28" t="str">
        <f>IF(LEFT(D4212,6)="CLIENT",IF(E4212=0,WORKDAY(A4212-1,1,Dias_Sem_Compensacao!$A$2:$A$500),WORKDAY(A4212,E4212,Dias_Sem_Compensacao!$A$2:$A$500)),"")</f>
        <v/>
      </c>
      <c r="H4212" s="25">
        <v>919.26</v>
      </c>
      <c r="I4212" s="28">
        <v>46314</v>
      </c>
      <c r="J4212" t="s">
        <v>3565</v>
      </c>
      <c r="K4212" t="s">
        <v>3886</v>
      </c>
    </row>
    <row r="4213" spans="1:11" hidden="1">
      <c r="A4213" s="28">
        <v>46314</v>
      </c>
      <c r="B4213" t="s">
        <v>3523</v>
      </c>
      <c r="C4213" t="s">
        <v>151</v>
      </c>
      <c r="D4213" t="s">
        <v>3462</v>
      </c>
      <c r="E4213" t="str">
        <f>IF(LEFT(D4213,6)="CLIENT",IFERROR(VLOOKUP(C4213,Config_Carteiras!$A:$B,2,FALSE),1),"")</f>
        <v/>
      </c>
      <c r="F4213" s="25">
        <v>0</v>
      </c>
      <c r="G4213" s="28" t="str">
        <f>IF(LEFT(D4213,6)="CLIENT",IF(E4213=0,WORKDAY(A4213-1,1,Dias_Sem_Compensacao!$A$2:$A$500),WORKDAY(A4213,E4213,Dias_Sem_Compensacao!$A$2:$A$500)),"")</f>
        <v/>
      </c>
      <c r="H4213" s="25">
        <v>2175</v>
      </c>
      <c r="I4213" s="28">
        <v>46314</v>
      </c>
      <c r="J4213" t="s">
        <v>3609</v>
      </c>
      <c r="K4213" t="s">
        <v>3610</v>
      </c>
    </row>
    <row r="4214" spans="1:11" hidden="1">
      <c r="A4214" s="28">
        <v>46314</v>
      </c>
      <c r="B4214" t="s">
        <v>3523</v>
      </c>
      <c r="C4214" t="s">
        <v>151</v>
      </c>
      <c r="D4214" t="s">
        <v>3462</v>
      </c>
      <c r="E4214" t="str">
        <f>IF(LEFT(D4214,6)="CLIENT",IFERROR(VLOOKUP(C4214,Config_Carteiras!$A:$B,2,FALSE),1),"")</f>
        <v/>
      </c>
      <c r="F4214" s="25">
        <v>0</v>
      </c>
      <c r="G4214" s="28" t="str">
        <f>IF(LEFT(D4214,6)="CLIENT",IF(E4214=0,WORKDAY(A4214-1,1,Dias_Sem_Compensacao!$A$2:$A$500),WORKDAY(A4214,E4214,Dias_Sem_Compensacao!$A$2:$A$500)),"")</f>
        <v/>
      </c>
      <c r="H4214" s="25">
        <v>241.93</v>
      </c>
      <c r="I4214" s="28">
        <v>46314</v>
      </c>
      <c r="J4214" t="s">
        <v>42</v>
      </c>
      <c r="K4214" t="s">
        <v>3887</v>
      </c>
    </row>
    <row r="4215" spans="1:11" hidden="1">
      <c r="A4215" s="28">
        <v>46314</v>
      </c>
      <c r="B4215" t="s">
        <v>3523</v>
      </c>
      <c r="C4215" t="s">
        <v>151</v>
      </c>
      <c r="D4215" t="s">
        <v>3462</v>
      </c>
      <c r="E4215" t="str">
        <f>IF(LEFT(D4215,6)="CLIENT",IFERROR(VLOOKUP(C4215,Config_Carteiras!$A:$B,2,FALSE),1),"")</f>
        <v/>
      </c>
      <c r="F4215" s="25">
        <v>0</v>
      </c>
      <c r="G4215" s="28" t="str">
        <f>IF(LEFT(D4215,6)="CLIENT",IF(E4215=0,WORKDAY(A4215-1,1,Dias_Sem_Compensacao!$A$2:$A$500),WORKDAY(A4215,E4215,Dias_Sem_Compensacao!$A$2:$A$500)),"")</f>
        <v/>
      </c>
      <c r="H4215" s="25">
        <v>212.02</v>
      </c>
      <c r="I4215" s="28">
        <v>46314</v>
      </c>
      <c r="K4215" t="s">
        <v>3888</v>
      </c>
    </row>
    <row r="4216" spans="1:11" hidden="1">
      <c r="A4216" s="28">
        <v>46314</v>
      </c>
      <c r="B4216" t="s">
        <v>3523</v>
      </c>
      <c r="C4216" t="s">
        <v>151</v>
      </c>
      <c r="D4216" t="s">
        <v>3462</v>
      </c>
      <c r="E4216" t="str">
        <f>IF(LEFT(D4216,6)="CLIENT",IFERROR(VLOOKUP(C4216,Config_Carteiras!$A:$B,2,FALSE),1),"")</f>
        <v/>
      </c>
      <c r="F4216" s="25">
        <v>0</v>
      </c>
      <c r="G4216" s="28" t="str">
        <f>IF(LEFT(D4216,6)="CLIENT",IF(E4216=0,WORKDAY(A4216-1,1,Dias_Sem_Compensacao!$A$2:$A$500),WORKDAY(A4216,E4216,Dias_Sem_Compensacao!$A$2:$A$500)),"")</f>
        <v/>
      </c>
      <c r="H4216" s="25">
        <v>247.73</v>
      </c>
      <c r="I4216" s="28">
        <v>46314</v>
      </c>
      <c r="K4216" t="s">
        <v>3889</v>
      </c>
    </row>
    <row r="4217" spans="1:11" hidden="1">
      <c r="A4217" s="28">
        <v>46314</v>
      </c>
      <c r="B4217" t="s">
        <v>3523</v>
      </c>
      <c r="C4217" t="s">
        <v>151</v>
      </c>
      <c r="D4217" t="s">
        <v>3462</v>
      </c>
      <c r="E4217" t="str">
        <f>IF(LEFT(D4217,6)="CLIENT",IFERROR(VLOOKUP(C4217,Config_Carteiras!$A:$B,2,FALSE),1),"")</f>
        <v/>
      </c>
      <c r="F4217" s="25">
        <v>0</v>
      </c>
      <c r="G4217" s="28" t="str">
        <f>IF(LEFT(D4217,6)="CLIENT",IF(E4217=0,WORKDAY(A4217-1,1,Dias_Sem_Compensacao!$A$2:$A$500),WORKDAY(A4217,E4217,Dias_Sem_Compensacao!$A$2:$A$500)),"")</f>
        <v/>
      </c>
      <c r="H4217" s="25">
        <v>168.79</v>
      </c>
      <c r="I4217" s="28">
        <v>46314</v>
      </c>
      <c r="K4217" t="s">
        <v>3890</v>
      </c>
    </row>
    <row r="4218" spans="1:11" hidden="1">
      <c r="A4218" s="28">
        <v>46314</v>
      </c>
      <c r="B4218" t="s">
        <v>3523</v>
      </c>
      <c r="C4218" t="s">
        <v>151</v>
      </c>
      <c r="D4218" t="s">
        <v>3462</v>
      </c>
      <c r="E4218" t="str">
        <f>IF(LEFT(D4218,6)="CLIENT",IFERROR(VLOOKUP(C4218,Config_Carteiras!$A:$B,2,FALSE),1),"")</f>
        <v/>
      </c>
      <c r="F4218" s="25">
        <v>0</v>
      </c>
      <c r="G4218" s="28" t="str">
        <f>IF(LEFT(D4218,6)="CLIENT",IF(E4218=0,WORKDAY(A4218-1,1,Dias_Sem_Compensacao!$A$2:$A$500),WORKDAY(A4218,E4218,Dias_Sem_Compensacao!$A$2:$A$500)),"")</f>
        <v/>
      </c>
      <c r="H4218" s="25">
        <v>288.14999999999998</v>
      </c>
      <c r="I4218" s="28">
        <v>46314</v>
      </c>
      <c r="K4218" t="s">
        <v>3891</v>
      </c>
    </row>
    <row r="4219" spans="1:11" hidden="1">
      <c r="A4219" s="28">
        <v>46314</v>
      </c>
      <c r="B4219" t="s">
        <v>3523</v>
      </c>
      <c r="C4219" t="s">
        <v>151</v>
      </c>
      <c r="D4219" t="s">
        <v>3462</v>
      </c>
      <c r="E4219" t="str">
        <f>IF(LEFT(D4219,6)="CLIENT",IFERROR(VLOOKUP(C4219,Config_Carteiras!$A:$B,2,FALSE),1),"")</f>
        <v/>
      </c>
      <c r="F4219" s="25">
        <v>0</v>
      </c>
      <c r="G4219" s="28" t="str">
        <f>IF(LEFT(D4219,6)="CLIENT",IF(E4219=0,WORKDAY(A4219-1,1,Dias_Sem_Compensacao!$A$2:$A$500),WORKDAY(A4219,E4219,Dias_Sem_Compensacao!$A$2:$A$500)),"")</f>
        <v/>
      </c>
      <c r="H4219" s="25">
        <v>541.11</v>
      </c>
      <c r="I4219" s="28">
        <v>46314</v>
      </c>
      <c r="J4219" t="s">
        <v>103</v>
      </c>
      <c r="K4219" t="s">
        <v>3892</v>
      </c>
    </row>
    <row r="4220" spans="1:11" hidden="1">
      <c r="A4220" s="28">
        <v>46314</v>
      </c>
      <c r="B4220" t="s">
        <v>3523</v>
      </c>
      <c r="C4220" t="s">
        <v>151</v>
      </c>
      <c r="D4220" t="s">
        <v>3462</v>
      </c>
      <c r="E4220" t="str">
        <f>IF(LEFT(D4220,6)="CLIENT",IFERROR(VLOOKUP(C4220,Config_Carteiras!$A:$B,2,FALSE),1),"")</f>
        <v/>
      </c>
      <c r="F4220" s="25">
        <v>0</v>
      </c>
      <c r="G4220" s="28" t="str">
        <f>IF(LEFT(D4220,6)="CLIENT",IF(E4220=0,WORKDAY(A4220-1,1,Dias_Sem_Compensacao!$A$2:$A$500),WORKDAY(A4220,E4220,Dias_Sem_Compensacao!$A$2:$A$500)),"")</f>
        <v/>
      </c>
      <c r="H4220" s="25">
        <v>541.11</v>
      </c>
      <c r="I4220" s="28">
        <v>46314</v>
      </c>
      <c r="K4220" t="s">
        <v>3893</v>
      </c>
    </row>
    <row r="4221" spans="1:11" hidden="1">
      <c r="A4221" s="28">
        <v>46314</v>
      </c>
      <c r="B4221" t="s">
        <v>3523</v>
      </c>
      <c r="C4221" t="s">
        <v>151</v>
      </c>
      <c r="D4221" t="s">
        <v>3462</v>
      </c>
      <c r="E4221" t="str">
        <f>IF(LEFT(D4221,6)="CLIENT",IFERROR(VLOOKUP(C4221,Config_Carteiras!$A:$B,2,FALSE),1),"")</f>
        <v/>
      </c>
      <c r="F4221" s="25">
        <v>0</v>
      </c>
      <c r="G4221" s="28" t="str">
        <f>IF(LEFT(D4221,6)="CLIENT",IF(E4221=0,WORKDAY(A4221-1,1,Dias_Sem_Compensacao!$A$2:$A$500),WORKDAY(A4221,E4221,Dias_Sem_Compensacao!$A$2:$A$500)),"")</f>
        <v/>
      </c>
      <c r="H4221" s="25">
        <v>881.19</v>
      </c>
      <c r="I4221" s="28">
        <v>46314</v>
      </c>
      <c r="K4221" t="s">
        <v>3894</v>
      </c>
    </row>
    <row r="4222" spans="1:11" hidden="1">
      <c r="A4222" s="28">
        <v>46314</v>
      </c>
      <c r="B4222" t="s">
        <v>3523</v>
      </c>
      <c r="C4222" t="s">
        <v>151</v>
      </c>
      <c r="D4222" t="s">
        <v>3462</v>
      </c>
      <c r="E4222" t="str">
        <f>IF(LEFT(D4222,6)="CLIENT",IFERROR(VLOOKUP(C4222,Config_Carteiras!$A:$B,2,FALSE),1),"")</f>
        <v/>
      </c>
      <c r="F4222" s="25">
        <v>0</v>
      </c>
      <c r="G4222" s="28" t="str">
        <f>IF(LEFT(D4222,6)="CLIENT",IF(E4222=0,WORKDAY(A4222-1,1,Dias_Sem_Compensacao!$A$2:$A$500),WORKDAY(A4222,E4222,Dias_Sem_Compensacao!$A$2:$A$500)),"")</f>
        <v/>
      </c>
      <c r="H4222" s="25">
        <v>2034.47</v>
      </c>
      <c r="I4222" s="28">
        <v>46314</v>
      </c>
      <c r="K4222" t="s">
        <v>3895</v>
      </c>
    </row>
    <row r="4223" spans="1:11" hidden="1">
      <c r="A4223" s="28">
        <v>46314</v>
      </c>
      <c r="B4223" t="s">
        <v>3523</v>
      </c>
      <c r="C4223" t="s">
        <v>151</v>
      </c>
      <c r="D4223" t="s">
        <v>3462</v>
      </c>
      <c r="E4223" t="str">
        <f>IF(LEFT(D4223,6)="CLIENT",IFERROR(VLOOKUP(C4223,Config_Carteiras!$A:$B,2,FALSE),1),"")</f>
        <v/>
      </c>
      <c r="F4223" s="25">
        <v>0</v>
      </c>
      <c r="G4223" s="28" t="str">
        <f>IF(LEFT(D4223,6)="CLIENT",IF(E4223=0,WORKDAY(A4223-1,1,Dias_Sem_Compensacao!$A$2:$A$500),WORKDAY(A4223,E4223,Dias_Sem_Compensacao!$A$2:$A$500)),"")</f>
        <v/>
      </c>
      <c r="H4223" s="25">
        <v>608.22</v>
      </c>
      <c r="I4223" s="28">
        <v>46314</v>
      </c>
      <c r="K4223" t="s">
        <v>3896</v>
      </c>
    </row>
    <row r="4224" spans="1:11" hidden="1">
      <c r="A4224" s="28">
        <v>46314</v>
      </c>
      <c r="B4224" t="s">
        <v>3523</v>
      </c>
      <c r="C4224" t="s">
        <v>151</v>
      </c>
      <c r="D4224" t="s">
        <v>3462</v>
      </c>
      <c r="E4224" t="str">
        <f>IF(LEFT(D4224,6)="CLIENT",IFERROR(VLOOKUP(C4224,Config_Carteiras!$A:$B,2,FALSE),1),"")</f>
        <v/>
      </c>
      <c r="F4224" s="25">
        <v>0</v>
      </c>
      <c r="G4224" s="28" t="str">
        <f>IF(LEFT(D4224,6)="CLIENT",IF(E4224=0,WORKDAY(A4224-1,1,Dias_Sem_Compensacao!$A$2:$A$500),WORKDAY(A4224,E4224,Dias_Sem_Compensacao!$A$2:$A$500)),"")</f>
        <v/>
      </c>
      <c r="H4224" s="25">
        <v>504.24</v>
      </c>
      <c r="I4224" s="28">
        <v>46314</v>
      </c>
      <c r="K4224" t="s">
        <v>3897</v>
      </c>
    </row>
    <row r="4225" spans="1:11" hidden="1">
      <c r="A4225" s="28">
        <v>46314</v>
      </c>
      <c r="B4225" t="s">
        <v>3523</v>
      </c>
      <c r="C4225" t="s">
        <v>151</v>
      </c>
      <c r="D4225" t="s">
        <v>3462</v>
      </c>
      <c r="E4225" t="str">
        <f>IF(LEFT(D4225,6)="CLIENT",IFERROR(VLOOKUP(C4225,Config_Carteiras!$A:$B,2,FALSE),1),"")</f>
        <v/>
      </c>
      <c r="F4225" s="25">
        <v>0</v>
      </c>
      <c r="G4225" s="28" t="str">
        <f>IF(LEFT(D4225,6)="CLIENT",IF(E4225=0,WORKDAY(A4225-1,1,Dias_Sem_Compensacao!$A$2:$A$500),WORKDAY(A4225,E4225,Dias_Sem_Compensacao!$A$2:$A$500)),"")</f>
        <v/>
      </c>
      <c r="H4225" s="25">
        <v>614.19000000000005</v>
      </c>
      <c r="I4225" s="28">
        <v>46314</v>
      </c>
      <c r="K4225" t="s">
        <v>3898</v>
      </c>
    </row>
    <row r="4226" spans="1:11" hidden="1">
      <c r="A4226" s="28">
        <v>46314</v>
      </c>
      <c r="B4226" t="s">
        <v>3523</v>
      </c>
      <c r="C4226" t="s">
        <v>151</v>
      </c>
      <c r="D4226" t="s">
        <v>3462</v>
      </c>
      <c r="E4226" t="str">
        <f>IF(LEFT(D4226,6)="CLIENT",IFERROR(VLOOKUP(C4226,Config_Carteiras!$A:$B,2,FALSE),1),"")</f>
        <v/>
      </c>
      <c r="F4226" s="25">
        <v>0</v>
      </c>
      <c r="G4226" s="28" t="str">
        <f>IF(LEFT(D4226,6)="CLIENT",IF(E4226=0,WORKDAY(A4226-1,1,Dias_Sem_Compensacao!$A$2:$A$500),WORKDAY(A4226,E4226,Dias_Sem_Compensacao!$A$2:$A$500)),"")</f>
        <v/>
      </c>
      <c r="H4226" s="25">
        <v>532.25</v>
      </c>
      <c r="I4226" s="28">
        <v>46314</v>
      </c>
      <c r="K4226" t="s">
        <v>3899</v>
      </c>
    </row>
    <row r="4227" spans="1:11" hidden="1">
      <c r="A4227" s="28">
        <v>46314</v>
      </c>
      <c r="B4227" t="s">
        <v>3523</v>
      </c>
      <c r="C4227" t="s">
        <v>151</v>
      </c>
      <c r="D4227" t="s">
        <v>3462</v>
      </c>
      <c r="E4227" t="str">
        <f>IF(LEFT(D4227,6)="CLIENT",IFERROR(VLOOKUP(C4227,Config_Carteiras!$A:$B,2,FALSE),1),"")</f>
        <v/>
      </c>
      <c r="F4227" s="25">
        <v>0</v>
      </c>
      <c r="G4227" s="28" t="str">
        <f>IF(LEFT(D4227,6)="CLIENT",IF(E4227=0,WORKDAY(A4227-1,1,Dias_Sem_Compensacao!$A$2:$A$500),WORKDAY(A4227,E4227,Dias_Sem_Compensacao!$A$2:$A$500)),"")</f>
        <v/>
      </c>
      <c r="H4227" s="25">
        <v>2486.11</v>
      </c>
      <c r="I4227" s="28">
        <v>46314</v>
      </c>
      <c r="K4227" t="s">
        <v>3900</v>
      </c>
    </row>
    <row r="4228" spans="1:11" hidden="1">
      <c r="A4228" s="28">
        <v>46314</v>
      </c>
      <c r="B4228" t="s">
        <v>3523</v>
      </c>
      <c r="C4228" t="s">
        <v>151</v>
      </c>
      <c r="D4228" t="s">
        <v>3462</v>
      </c>
      <c r="E4228" t="str">
        <f>IF(LEFT(D4228,6)="CLIENT",IFERROR(VLOOKUP(C4228,Config_Carteiras!$A:$B,2,FALSE),1),"")</f>
        <v/>
      </c>
      <c r="F4228" s="25">
        <v>0</v>
      </c>
      <c r="G4228" s="28" t="str">
        <f>IF(LEFT(D4228,6)="CLIENT",IF(E4228=0,WORKDAY(A4228-1,1,Dias_Sem_Compensacao!$A$2:$A$500),WORKDAY(A4228,E4228,Dias_Sem_Compensacao!$A$2:$A$500)),"")</f>
        <v/>
      </c>
      <c r="H4228" s="25">
        <v>1167.9100000000001</v>
      </c>
      <c r="I4228" s="28">
        <v>46314</v>
      </c>
      <c r="K4228" t="s">
        <v>3901</v>
      </c>
    </row>
    <row r="4229" spans="1:11" hidden="1">
      <c r="A4229" s="28">
        <v>46314</v>
      </c>
      <c r="B4229" t="s">
        <v>3523</v>
      </c>
      <c r="C4229" t="s">
        <v>151</v>
      </c>
      <c r="D4229" t="s">
        <v>3462</v>
      </c>
      <c r="E4229" t="str">
        <f>IF(LEFT(D4229,6)="CLIENT",IFERROR(VLOOKUP(C4229,Config_Carteiras!$A:$B,2,FALSE),1),"")</f>
        <v/>
      </c>
      <c r="F4229" s="25">
        <v>0</v>
      </c>
      <c r="G4229" s="28" t="str">
        <f>IF(LEFT(D4229,6)="CLIENT",IF(E4229=0,WORKDAY(A4229-1,1,Dias_Sem_Compensacao!$A$2:$A$500),WORKDAY(A4229,E4229,Dias_Sem_Compensacao!$A$2:$A$500)),"")</f>
        <v/>
      </c>
      <c r="H4229" s="25">
        <v>674.08</v>
      </c>
      <c r="I4229" s="28">
        <v>46314</v>
      </c>
      <c r="K4229" t="s">
        <v>3902</v>
      </c>
    </row>
    <row r="4230" spans="1:11" hidden="1">
      <c r="A4230" s="28">
        <v>46314</v>
      </c>
      <c r="B4230" t="s">
        <v>3523</v>
      </c>
      <c r="C4230" t="s">
        <v>151</v>
      </c>
      <c r="D4230" t="s">
        <v>3462</v>
      </c>
      <c r="E4230" t="str">
        <f>IF(LEFT(D4230,6)="CLIENT",IFERROR(VLOOKUP(C4230,Config_Carteiras!$A:$B,2,FALSE),1),"")</f>
        <v/>
      </c>
      <c r="F4230" s="25">
        <v>0</v>
      </c>
      <c r="G4230" s="28" t="str">
        <f>IF(LEFT(D4230,6)="CLIENT",IF(E4230=0,WORKDAY(A4230-1,1,Dias_Sem_Compensacao!$A$2:$A$500),WORKDAY(A4230,E4230,Dias_Sem_Compensacao!$A$2:$A$500)),"")</f>
        <v/>
      </c>
      <c r="H4230" s="25">
        <v>1091.0899999999999</v>
      </c>
      <c r="I4230" s="28">
        <v>46314</v>
      </c>
      <c r="J4230" t="s">
        <v>3574</v>
      </c>
      <c r="K4230" t="s">
        <v>3903</v>
      </c>
    </row>
    <row r="4231" spans="1:11" hidden="1">
      <c r="A4231" s="28">
        <v>46314</v>
      </c>
      <c r="B4231" t="s">
        <v>3523</v>
      </c>
      <c r="C4231" t="s">
        <v>151</v>
      </c>
      <c r="D4231" t="s">
        <v>3462</v>
      </c>
      <c r="E4231" t="str">
        <f>IF(LEFT(D4231,6)="CLIENT",IFERROR(VLOOKUP(C4231,Config_Carteiras!$A:$B,2,FALSE),1),"")</f>
        <v/>
      </c>
      <c r="F4231" s="25">
        <v>0</v>
      </c>
      <c r="G4231" s="28" t="str">
        <f>IF(LEFT(D4231,6)="CLIENT",IF(E4231=0,WORKDAY(A4231-1,1,Dias_Sem_Compensacao!$A$2:$A$500),WORKDAY(A4231,E4231,Dias_Sem_Compensacao!$A$2:$A$500)),"")</f>
        <v/>
      </c>
      <c r="H4231" s="25">
        <v>69.23</v>
      </c>
      <c r="I4231" s="28">
        <v>46314</v>
      </c>
      <c r="K4231" t="s">
        <v>3904</v>
      </c>
    </row>
    <row r="4232" spans="1:11" hidden="1">
      <c r="A4232" s="28">
        <v>46314</v>
      </c>
      <c r="B4232" t="s">
        <v>3523</v>
      </c>
      <c r="C4232" t="s">
        <v>151</v>
      </c>
      <c r="D4232" t="s">
        <v>3462</v>
      </c>
      <c r="E4232" t="str">
        <f>IF(LEFT(D4232,6)="CLIENT",IFERROR(VLOOKUP(C4232,Config_Carteiras!$A:$B,2,FALSE),1),"")</f>
        <v/>
      </c>
      <c r="F4232" s="25">
        <v>0</v>
      </c>
      <c r="G4232" s="28" t="str">
        <f>IF(LEFT(D4232,6)="CLIENT",IF(E4232=0,WORKDAY(A4232-1,1,Dias_Sem_Compensacao!$A$2:$A$500),WORKDAY(A4232,E4232,Dias_Sem_Compensacao!$A$2:$A$500)),"")</f>
        <v/>
      </c>
      <c r="H4232" s="25">
        <v>675.6</v>
      </c>
      <c r="I4232" s="28">
        <v>46314</v>
      </c>
      <c r="K4232" t="s">
        <v>3905</v>
      </c>
    </row>
    <row r="4233" spans="1:11" hidden="1">
      <c r="A4233" s="28">
        <v>46314</v>
      </c>
      <c r="B4233" t="s">
        <v>3523</v>
      </c>
      <c r="C4233" t="s">
        <v>151</v>
      </c>
      <c r="D4233" t="s">
        <v>3462</v>
      </c>
      <c r="E4233" t="str">
        <f>IF(LEFT(D4233,6)="CLIENT",IFERROR(VLOOKUP(C4233,Config_Carteiras!$A:$B,2,FALSE),1),"")</f>
        <v/>
      </c>
      <c r="F4233" s="25">
        <v>0</v>
      </c>
      <c r="G4233" s="28" t="str">
        <f>IF(LEFT(D4233,6)="CLIENT",IF(E4233=0,WORKDAY(A4233-1,1,Dias_Sem_Compensacao!$A$2:$A$500),WORKDAY(A4233,E4233,Dias_Sem_Compensacao!$A$2:$A$500)),"")</f>
        <v/>
      </c>
      <c r="H4233" s="25">
        <v>1944</v>
      </c>
      <c r="I4233" s="28">
        <v>46314</v>
      </c>
      <c r="J4233" t="s">
        <v>48</v>
      </c>
      <c r="K4233" t="s">
        <v>3906</v>
      </c>
    </row>
    <row r="4234" spans="1:11" hidden="1">
      <c r="A4234" s="28">
        <v>46314</v>
      </c>
      <c r="B4234" t="s">
        <v>3523</v>
      </c>
      <c r="C4234" t="s">
        <v>151</v>
      </c>
      <c r="D4234" t="s">
        <v>3462</v>
      </c>
      <c r="E4234" t="str">
        <f>IF(LEFT(D4234,6)="CLIENT",IFERROR(VLOOKUP(C4234,Config_Carteiras!$A:$B,2,FALSE),1),"")</f>
        <v/>
      </c>
      <c r="F4234" s="25">
        <v>0</v>
      </c>
      <c r="G4234" s="28" t="str">
        <f>IF(LEFT(D4234,6)="CLIENT",IF(E4234=0,WORKDAY(A4234-1,1,Dias_Sem_Compensacao!$A$2:$A$500),WORKDAY(A4234,E4234,Dias_Sem_Compensacao!$A$2:$A$500)),"")</f>
        <v/>
      </c>
      <c r="H4234" s="25">
        <v>216</v>
      </c>
      <c r="I4234" s="28">
        <v>46314</v>
      </c>
      <c r="K4234" t="s">
        <v>3907</v>
      </c>
    </row>
    <row r="4235" spans="1:11" hidden="1">
      <c r="A4235" s="28">
        <v>46314</v>
      </c>
      <c r="B4235" t="s">
        <v>3523</v>
      </c>
      <c r="C4235" t="s">
        <v>151</v>
      </c>
      <c r="D4235" t="s">
        <v>3462</v>
      </c>
      <c r="E4235" t="str">
        <f>IF(LEFT(D4235,6)="CLIENT",IFERROR(VLOOKUP(C4235,Config_Carteiras!$A:$B,2,FALSE),1),"")</f>
        <v/>
      </c>
      <c r="F4235" s="25">
        <v>0</v>
      </c>
      <c r="G4235" s="28" t="str">
        <f>IF(LEFT(D4235,6)="CLIENT",IF(E4235=0,WORKDAY(A4235-1,1,Dias_Sem_Compensacao!$A$2:$A$500),WORKDAY(A4235,E4235,Dias_Sem_Compensacao!$A$2:$A$500)),"")</f>
        <v/>
      </c>
      <c r="H4235" s="25">
        <v>1710</v>
      </c>
      <c r="I4235" s="28">
        <v>46314</v>
      </c>
      <c r="J4235" t="s">
        <v>3908</v>
      </c>
      <c r="K4235" t="s">
        <v>3909</v>
      </c>
    </row>
    <row r="4236" spans="1:11" hidden="1">
      <c r="A4236" s="28">
        <v>46314</v>
      </c>
      <c r="B4236" t="s">
        <v>3523</v>
      </c>
      <c r="C4236" t="s">
        <v>151</v>
      </c>
      <c r="D4236" t="s">
        <v>3462</v>
      </c>
      <c r="E4236" t="str">
        <f>IF(LEFT(D4236,6)="CLIENT",IFERROR(VLOOKUP(C4236,Config_Carteiras!$A:$B,2,FALSE),1),"")</f>
        <v/>
      </c>
      <c r="F4236" s="25">
        <v>0</v>
      </c>
      <c r="G4236" s="28" t="str">
        <f>IF(LEFT(D4236,6)="CLIENT",IF(E4236=0,WORKDAY(A4236-1,1,Dias_Sem_Compensacao!$A$2:$A$500),WORKDAY(A4236,E4236,Dias_Sem_Compensacao!$A$2:$A$500)),"")</f>
        <v/>
      </c>
      <c r="H4236" s="25">
        <v>1790</v>
      </c>
      <c r="I4236" s="28">
        <v>46314</v>
      </c>
      <c r="J4236" t="s">
        <v>3910</v>
      </c>
      <c r="K4236" t="s">
        <v>3911</v>
      </c>
    </row>
    <row r="4237" spans="1:11" hidden="1">
      <c r="A4237" s="28">
        <v>46315</v>
      </c>
      <c r="B4237" t="s">
        <v>3523</v>
      </c>
      <c r="C4237" t="s">
        <v>151</v>
      </c>
      <c r="D4237" t="s">
        <v>3462</v>
      </c>
      <c r="E4237" t="str">
        <f>IF(LEFT(D4237,6)="CLIENT",IFERROR(VLOOKUP(C4237,Config_Carteiras!$A:$B,2,FALSE),1),"")</f>
        <v/>
      </c>
      <c r="F4237" s="25">
        <v>0</v>
      </c>
      <c r="G4237" s="28" t="str">
        <f>IF(LEFT(D4237,6)="CLIENT",IF(E4237=0,WORKDAY(A4237-1,1,Dias_Sem_Compensacao!$A$2:$A$500),WORKDAY(A4237,E4237,Dias_Sem_Compensacao!$A$2:$A$500)),"")</f>
        <v/>
      </c>
      <c r="H4237" s="25">
        <v>493.79</v>
      </c>
      <c r="I4237" s="28">
        <v>46315</v>
      </c>
      <c r="J4237" t="s">
        <v>3650</v>
      </c>
      <c r="K4237" t="s">
        <v>3912</v>
      </c>
    </row>
    <row r="4238" spans="1:11" hidden="1">
      <c r="A4238" s="28">
        <v>46315</v>
      </c>
      <c r="B4238" t="s">
        <v>3523</v>
      </c>
      <c r="C4238" t="s">
        <v>151</v>
      </c>
      <c r="D4238" t="s">
        <v>3462</v>
      </c>
      <c r="E4238" t="str">
        <f>IF(LEFT(D4238,6)="CLIENT",IFERROR(VLOOKUP(C4238,Config_Carteiras!$A:$B,2,FALSE),1),"")</f>
        <v/>
      </c>
      <c r="F4238" s="25">
        <v>0</v>
      </c>
      <c r="G4238" s="28" t="str">
        <f>IF(LEFT(D4238,6)="CLIENT",IF(E4238=0,WORKDAY(A4238-1,1,Dias_Sem_Compensacao!$A$2:$A$500),WORKDAY(A4238,E4238,Dias_Sem_Compensacao!$A$2:$A$500)),"")</f>
        <v/>
      </c>
      <c r="H4238" s="25">
        <v>172.5</v>
      </c>
      <c r="I4238" s="28">
        <v>46315</v>
      </c>
      <c r="K4238" t="s">
        <v>3913</v>
      </c>
    </row>
    <row r="4239" spans="1:11" hidden="1">
      <c r="A4239" s="28">
        <v>46315</v>
      </c>
      <c r="B4239" t="s">
        <v>3523</v>
      </c>
      <c r="C4239" t="s">
        <v>151</v>
      </c>
      <c r="D4239" t="s">
        <v>3462</v>
      </c>
      <c r="E4239" t="str">
        <f>IF(LEFT(D4239,6)="CLIENT",IFERROR(VLOOKUP(C4239,Config_Carteiras!$A:$B,2,FALSE),1),"")</f>
        <v/>
      </c>
      <c r="F4239" s="25">
        <v>0</v>
      </c>
      <c r="G4239" s="28" t="str">
        <f>IF(LEFT(D4239,6)="CLIENT",IF(E4239=0,WORKDAY(A4239-1,1,Dias_Sem_Compensacao!$A$2:$A$500),WORKDAY(A4239,E4239,Dias_Sem_Compensacao!$A$2:$A$500)),"")</f>
        <v/>
      </c>
      <c r="H4239" s="25">
        <v>153.33000000000001</v>
      </c>
      <c r="I4239" s="28">
        <v>46315</v>
      </c>
      <c r="K4239" t="s">
        <v>3914</v>
      </c>
    </row>
    <row r="4240" spans="1:11" hidden="1">
      <c r="A4240" s="28">
        <v>46315</v>
      </c>
      <c r="B4240" t="s">
        <v>3523</v>
      </c>
      <c r="C4240" t="s">
        <v>151</v>
      </c>
      <c r="D4240" t="s">
        <v>3462</v>
      </c>
      <c r="E4240" t="str">
        <f>IF(LEFT(D4240,6)="CLIENT",IFERROR(VLOOKUP(C4240,Config_Carteiras!$A:$B,2,FALSE),1),"")</f>
        <v/>
      </c>
      <c r="F4240" s="25">
        <v>0</v>
      </c>
      <c r="G4240" s="28" t="str">
        <f>IF(LEFT(D4240,6)="CLIENT",IF(E4240=0,WORKDAY(A4240-1,1,Dias_Sem_Compensacao!$A$2:$A$500),WORKDAY(A4240,E4240,Dias_Sem_Compensacao!$A$2:$A$500)),"")</f>
        <v/>
      </c>
      <c r="H4240" s="25">
        <v>172.27</v>
      </c>
      <c r="I4240" s="28">
        <v>46315</v>
      </c>
      <c r="K4240" t="s">
        <v>3915</v>
      </c>
    </row>
    <row r="4241" spans="1:11" hidden="1">
      <c r="A4241" s="28">
        <v>46315</v>
      </c>
      <c r="B4241" t="s">
        <v>3523</v>
      </c>
      <c r="C4241" t="s">
        <v>151</v>
      </c>
      <c r="D4241" t="s">
        <v>3462</v>
      </c>
      <c r="E4241" t="str">
        <f>IF(LEFT(D4241,6)="CLIENT",IFERROR(VLOOKUP(C4241,Config_Carteiras!$A:$B,2,FALSE),1),"")</f>
        <v/>
      </c>
      <c r="F4241" s="25">
        <v>0</v>
      </c>
      <c r="G4241" s="28" t="str">
        <f>IF(LEFT(D4241,6)="CLIENT",IF(E4241=0,WORKDAY(A4241-1,1,Dias_Sem_Compensacao!$A$2:$A$500),WORKDAY(A4241,E4241,Dias_Sem_Compensacao!$A$2:$A$500)),"")</f>
        <v/>
      </c>
      <c r="H4241" s="25">
        <v>906.24</v>
      </c>
      <c r="I4241" s="28">
        <v>46315</v>
      </c>
      <c r="K4241" t="s">
        <v>3916</v>
      </c>
    </row>
    <row r="4242" spans="1:11" hidden="1">
      <c r="A4242" s="28">
        <v>46315</v>
      </c>
      <c r="B4242" t="s">
        <v>3523</v>
      </c>
      <c r="C4242" t="s">
        <v>151</v>
      </c>
      <c r="D4242" t="s">
        <v>3462</v>
      </c>
      <c r="E4242" t="str">
        <f>IF(LEFT(D4242,6)="CLIENT",IFERROR(VLOOKUP(C4242,Config_Carteiras!$A:$B,2,FALSE),1),"")</f>
        <v/>
      </c>
      <c r="F4242" s="25">
        <v>0</v>
      </c>
      <c r="G4242" s="28" t="str">
        <f>IF(LEFT(D4242,6)="CLIENT",IF(E4242=0,WORKDAY(A4242-1,1,Dias_Sem_Compensacao!$A$2:$A$500),WORKDAY(A4242,E4242,Dias_Sem_Compensacao!$A$2:$A$500)),"")</f>
        <v/>
      </c>
      <c r="H4242" s="25">
        <v>5000</v>
      </c>
      <c r="I4242" s="28">
        <v>46315</v>
      </c>
      <c r="J4242" t="s">
        <v>3578</v>
      </c>
      <c r="K4242" t="s">
        <v>3579</v>
      </c>
    </row>
    <row r="4243" spans="1:11" hidden="1">
      <c r="A4243" s="28">
        <v>46315</v>
      </c>
      <c r="B4243" t="s">
        <v>3523</v>
      </c>
      <c r="C4243" t="s">
        <v>151</v>
      </c>
      <c r="D4243" t="s">
        <v>3462</v>
      </c>
      <c r="E4243" t="str">
        <f>IF(LEFT(D4243,6)="CLIENT",IFERROR(VLOOKUP(C4243,Config_Carteiras!$A:$B,2,FALSE),1),"")</f>
        <v/>
      </c>
      <c r="F4243" s="25">
        <v>0</v>
      </c>
      <c r="G4243" s="28" t="str">
        <f>IF(LEFT(D4243,6)="CLIENT",IF(E4243=0,WORKDAY(A4243-1,1,Dias_Sem_Compensacao!$A$2:$A$500),WORKDAY(A4243,E4243,Dias_Sem_Compensacao!$A$2:$A$500)),"")</f>
        <v/>
      </c>
      <c r="H4243" s="25">
        <v>877.78</v>
      </c>
      <c r="I4243" s="28">
        <v>46315</v>
      </c>
      <c r="J4243" t="s">
        <v>150</v>
      </c>
      <c r="K4243" t="s">
        <v>3917</v>
      </c>
    </row>
    <row r="4244" spans="1:11" hidden="1">
      <c r="A4244" s="28">
        <v>46315</v>
      </c>
      <c r="B4244" t="s">
        <v>3523</v>
      </c>
      <c r="C4244" t="s">
        <v>151</v>
      </c>
      <c r="D4244" t="s">
        <v>3462</v>
      </c>
      <c r="E4244" t="str">
        <f>IF(LEFT(D4244,6)="CLIENT",IFERROR(VLOOKUP(C4244,Config_Carteiras!$A:$B,2,FALSE),1),"")</f>
        <v/>
      </c>
      <c r="F4244" s="25">
        <v>0</v>
      </c>
      <c r="G4244" s="28" t="str">
        <f>IF(LEFT(D4244,6)="CLIENT",IF(E4244=0,WORKDAY(A4244-1,1,Dias_Sem_Compensacao!$A$2:$A$500),WORKDAY(A4244,E4244,Dias_Sem_Compensacao!$A$2:$A$500)),"")</f>
        <v/>
      </c>
      <c r="H4244" s="25">
        <v>1320</v>
      </c>
      <c r="I4244" s="28">
        <v>46315</v>
      </c>
      <c r="K4244" t="s">
        <v>3918</v>
      </c>
    </row>
    <row r="4245" spans="1:11" hidden="1">
      <c r="A4245" s="28">
        <v>46315</v>
      </c>
      <c r="B4245" t="s">
        <v>3523</v>
      </c>
      <c r="C4245" t="s">
        <v>151</v>
      </c>
      <c r="D4245" t="s">
        <v>3462</v>
      </c>
      <c r="E4245" t="str">
        <f>IF(LEFT(D4245,6)="CLIENT",IFERROR(VLOOKUP(C4245,Config_Carteiras!$A:$B,2,FALSE),1),"")</f>
        <v/>
      </c>
      <c r="F4245" s="25">
        <v>0</v>
      </c>
      <c r="G4245" s="28" t="str">
        <f>IF(LEFT(D4245,6)="CLIENT",IF(E4245=0,WORKDAY(A4245-1,1,Dias_Sem_Compensacao!$A$2:$A$500),WORKDAY(A4245,E4245,Dias_Sem_Compensacao!$A$2:$A$500)),"")</f>
        <v/>
      </c>
      <c r="H4245" s="25">
        <v>518</v>
      </c>
      <c r="I4245" s="28">
        <v>46315</v>
      </c>
      <c r="K4245" t="s">
        <v>3919</v>
      </c>
    </row>
    <row r="4246" spans="1:11" hidden="1">
      <c r="A4246" s="28">
        <v>46315</v>
      </c>
      <c r="B4246" t="s">
        <v>3523</v>
      </c>
      <c r="C4246" t="s">
        <v>151</v>
      </c>
      <c r="D4246" t="s">
        <v>3462</v>
      </c>
      <c r="E4246" t="str">
        <f>IF(LEFT(D4246,6)="CLIENT",IFERROR(VLOOKUP(C4246,Config_Carteiras!$A:$B,2,FALSE),1),"")</f>
        <v/>
      </c>
      <c r="F4246" s="25">
        <v>0</v>
      </c>
      <c r="G4246" s="28" t="str">
        <f>IF(LEFT(D4246,6)="CLIENT",IF(E4246=0,WORKDAY(A4246-1,1,Dias_Sem_Compensacao!$A$2:$A$500),WORKDAY(A4246,E4246,Dias_Sem_Compensacao!$A$2:$A$500)),"")</f>
        <v/>
      </c>
      <c r="H4246" s="25">
        <v>3400</v>
      </c>
      <c r="I4246" s="28">
        <v>46315</v>
      </c>
      <c r="K4246" t="s">
        <v>3920</v>
      </c>
    </row>
    <row r="4247" spans="1:11" hidden="1">
      <c r="A4247" s="28">
        <v>46315</v>
      </c>
      <c r="B4247" t="s">
        <v>3523</v>
      </c>
      <c r="C4247" t="s">
        <v>151</v>
      </c>
      <c r="D4247" t="s">
        <v>3462</v>
      </c>
      <c r="E4247" t="str">
        <f>IF(LEFT(D4247,6)="CLIENT",IFERROR(VLOOKUP(C4247,Config_Carteiras!$A:$B,2,FALSE),1),"")</f>
        <v/>
      </c>
      <c r="F4247" s="25">
        <v>0</v>
      </c>
      <c r="G4247" s="28" t="str">
        <f>IF(LEFT(D4247,6)="CLIENT",IF(E4247=0,WORKDAY(A4247-1,1,Dias_Sem_Compensacao!$A$2:$A$500),WORKDAY(A4247,E4247,Dias_Sem_Compensacao!$A$2:$A$500)),"")</f>
        <v/>
      </c>
      <c r="H4247" s="25">
        <v>2035</v>
      </c>
      <c r="I4247" s="28">
        <v>46315</v>
      </c>
      <c r="K4247" t="s">
        <v>3921</v>
      </c>
    </row>
    <row r="4248" spans="1:11" hidden="1">
      <c r="A4248" s="28">
        <v>46315</v>
      </c>
      <c r="B4248" t="s">
        <v>3523</v>
      </c>
      <c r="C4248" t="s">
        <v>151</v>
      </c>
      <c r="D4248" t="s">
        <v>3462</v>
      </c>
      <c r="E4248" t="str">
        <f>IF(LEFT(D4248,6)="CLIENT",IFERROR(VLOOKUP(C4248,Config_Carteiras!$A:$B,2,FALSE),1),"")</f>
        <v/>
      </c>
      <c r="F4248" s="25">
        <v>0</v>
      </c>
      <c r="G4248" s="28" t="str">
        <f>IF(LEFT(D4248,6)="CLIENT",IF(E4248=0,WORKDAY(A4248-1,1,Dias_Sem_Compensacao!$A$2:$A$500),WORKDAY(A4248,E4248,Dias_Sem_Compensacao!$A$2:$A$500)),"")</f>
        <v/>
      </c>
      <c r="H4248" s="25">
        <v>2750</v>
      </c>
      <c r="I4248" s="28">
        <v>46315</v>
      </c>
      <c r="K4248" t="s">
        <v>3922</v>
      </c>
    </row>
    <row r="4249" spans="1:11" hidden="1">
      <c r="A4249" s="28">
        <v>46315</v>
      </c>
      <c r="B4249" t="s">
        <v>3523</v>
      </c>
      <c r="C4249" t="s">
        <v>151</v>
      </c>
      <c r="D4249" t="s">
        <v>3462</v>
      </c>
      <c r="E4249" t="str">
        <f>IF(LEFT(D4249,6)="CLIENT",IFERROR(VLOOKUP(C4249,Config_Carteiras!$A:$B,2,FALSE),1),"")</f>
        <v/>
      </c>
      <c r="F4249" s="25">
        <v>0</v>
      </c>
      <c r="G4249" s="28" t="str">
        <f>IF(LEFT(D4249,6)="CLIENT",IF(E4249=0,WORKDAY(A4249-1,1,Dias_Sem_Compensacao!$A$2:$A$500),WORKDAY(A4249,E4249,Dias_Sem_Compensacao!$A$2:$A$500)),"")</f>
        <v/>
      </c>
      <c r="H4249" s="25">
        <v>170</v>
      </c>
      <c r="I4249" s="28">
        <v>46315</v>
      </c>
      <c r="J4249" t="s">
        <v>3619</v>
      </c>
      <c r="K4249" t="s">
        <v>3923</v>
      </c>
    </row>
    <row r="4250" spans="1:11" hidden="1">
      <c r="A4250" s="28">
        <v>46315</v>
      </c>
      <c r="B4250" t="s">
        <v>3523</v>
      </c>
      <c r="C4250" t="s">
        <v>151</v>
      </c>
      <c r="D4250" t="s">
        <v>3462</v>
      </c>
      <c r="E4250" t="str">
        <f>IF(LEFT(D4250,6)="CLIENT",IFERROR(VLOOKUP(C4250,Config_Carteiras!$A:$B,2,FALSE),1),"")</f>
        <v/>
      </c>
      <c r="F4250" s="25">
        <v>0</v>
      </c>
      <c r="G4250" s="28" t="str">
        <f>IF(LEFT(D4250,6)="CLIENT",IF(E4250=0,WORKDAY(A4250-1,1,Dias_Sem_Compensacao!$A$2:$A$500),WORKDAY(A4250,E4250,Dias_Sem_Compensacao!$A$2:$A$500)),"")</f>
        <v/>
      </c>
      <c r="H4250" s="25">
        <v>28.39</v>
      </c>
      <c r="I4250" s="28">
        <v>46315</v>
      </c>
      <c r="J4250" t="s">
        <v>3602</v>
      </c>
      <c r="K4250" t="s">
        <v>3924</v>
      </c>
    </row>
    <row r="4251" spans="1:11" hidden="1">
      <c r="A4251" s="28">
        <v>46315</v>
      </c>
      <c r="B4251" t="s">
        <v>3523</v>
      </c>
      <c r="C4251" t="s">
        <v>151</v>
      </c>
      <c r="D4251" t="s">
        <v>3462</v>
      </c>
      <c r="E4251" t="str">
        <f>IF(LEFT(D4251,6)="CLIENT",IFERROR(VLOOKUP(C4251,Config_Carteiras!$A:$B,2,FALSE),1),"")</f>
        <v/>
      </c>
      <c r="F4251" s="25">
        <v>0</v>
      </c>
      <c r="G4251" s="28" t="str">
        <f>IF(LEFT(D4251,6)="CLIENT",IF(E4251=0,WORKDAY(A4251-1,1,Dias_Sem_Compensacao!$A$2:$A$500),WORKDAY(A4251,E4251,Dias_Sem_Compensacao!$A$2:$A$500)),"")</f>
        <v/>
      </c>
      <c r="H4251" s="25">
        <v>178.53</v>
      </c>
      <c r="I4251" s="28">
        <v>46315</v>
      </c>
      <c r="J4251" t="s">
        <v>2595</v>
      </c>
      <c r="K4251" t="s">
        <v>3925</v>
      </c>
    </row>
    <row r="4252" spans="1:11" hidden="1">
      <c r="A4252" s="28">
        <v>46315</v>
      </c>
      <c r="B4252" t="s">
        <v>3523</v>
      </c>
      <c r="C4252" t="s">
        <v>151</v>
      </c>
      <c r="D4252" t="s">
        <v>3462</v>
      </c>
      <c r="E4252" t="str">
        <f>IF(LEFT(D4252,6)="CLIENT",IFERROR(VLOOKUP(C4252,Config_Carteiras!$A:$B,2,FALSE),1),"")</f>
        <v/>
      </c>
      <c r="F4252" s="25">
        <v>0</v>
      </c>
      <c r="G4252" s="28" t="str">
        <f>IF(LEFT(D4252,6)="CLIENT",IF(E4252=0,WORKDAY(A4252-1,1,Dias_Sem_Compensacao!$A$2:$A$500),WORKDAY(A4252,E4252,Dias_Sem_Compensacao!$A$2:$A$500)),"")</f>
        <v/>
      </c>
      <c r="H4252" s="25">
        <v>205.3</v>
      </c>
      <c r="I4252" s="28">
        <v>46315</v>
      </c>
      <c r="K4252" t="s">
        <v>3926</v>
      </c>
    </row>
    <row r="4253" spans="1:11" hidden="1">
      <c r="A4253" s="28">
        <v>46315</v>
      </c>
      <c r="B4253" t="s">
        <v>3523</v>
      </c>
      <c r="C4253" t="s">
        <v>151</v>
      </c>
      <c r="D4253" t="s">
        <v>3462</v>
      </c>
      <c r="E4253" t="str">
        <f>IF(LEFT(D4253,6)="CLIENT",IFERROR(VLOOKUP(C4253,Config_Carteiras!$A:$B,2,FALSE),1),"")</f>
        <v/>
      </c>
      <c r="F4253" s="25">
        <v>0</v>
      </c>
      <c r="G4253" s="28" t="str">
        <f>IF(LEFT(D4253,6)="CLIENT",IF(E4253=0,WORKDAY(A4253-1,1,Dias_Sem_Compensacao!$A$2:$A$500),WORKDAY(A4253,E4253,Dias_Sem_Compensacao!$A$2:$A$500)),"")</f>
        <v/>
      </c>
      <c r="H4253" s="25">
        <v>212.59</v>
      </c>
      <c r="I4253" s="28">
        <v>46315</v>
      </c>
      <c r="K4253" t="s">
        <v>3927</v>
      </c>
    </row>
    <row r="4254" spans="1:11" hidden="1">
      <c r="A4254" s="28">
        <v>46315</v>
      </c>
      <c r="B4254" t="s">
        <v>3523</v>
      </c>
      <c r="C4254" t="s">
        <v>151</v>
      </c>
      <c r="D4254" t="s">
        <v>3462</v>
      </c>
      <c r="E4254" t="str">
        <f>IF(LEFT(D4254,6)="CLIENT",IFERROR(VLOOKUP(C4254,Config_Carteiras!$A:$B,2,FALSE),1),"")</f>
        <v/>
      </c>
      <c r="F4254" s="25">
        <v>0</v>
      </c>
      <c r="G4254" s="28" t="str">
        <f>IF(LEFT(D4254,6)="CLIENT",IF(E4254=0,WORKDAY(A4254-1,1,Dias_Sem_Compensacao!$A$2:$A$500),WORKDAY(A4254,E4254,Dias_Sem_Compensacao!$A$2:$A$500)),"")</f>
        <v/>
      </c>
      <c r="H4254" s="25">
        <v>410.28</v>
      </c>
      <c r="I4254" s="28">
        <v>46315</v>
      </c>
      <c r="K4254" t="s">
        <v>3928</v>
      </c>
    </row>
    <row r="4255" spans="1:11" hidden="1">
      <c r="A4255" s="28">
        <v>46315</v>
      </c>
      <c r="B4255" t="s">
        <v>3523</v>
      </c>
      <c r="C4255" t="s">
        <v>151</v>
      </c>
      <c r="D4255" t="s">
        <v>3462</v>
      </c>
      <c r="E4255" t="str">
        <f>IF(LEFT(D4255,6)="CLIENT",IFERROR(VLOOKUP(C4255,Config_Carteiras!$A:$B,2,FALSE),1),"")</f>
        <v/>
      </c>
      <c r="F4255" s="25">
        <v>0</v>
      </c>
      <c r="G4255" s="28" t="str">
        <f>IF(LEFT(D4255,6)="CLIENT",IF(E4255=0,WORKDAY(A4255-1,1,Dias_Sem_Compensacao!$A$2:$A$500),WORKDAY(A4255,E4255,Dias_Sem_Compensacao!$A$2:$A$500)),"")</f>
        <v/>
      </c>
      <c r="H4255" s="25">
        <v>61.53</v>
      </c>
      <c r="I4255" s="28">
        <v>46315</v>
      </c>
      <c r="K4255" t="s">
        <v>3929</v>
      </c>
    </row>
    <row r="4256" spans="1:11" hidden="1">
      <c r="A4256" s="28">
        <v>46315</v>
      </c>
      <c r="B4256" t="s">
        <v>3523</v>
      </c>
      <c r="C4256" t="s">
        <v>151</v>
      </c>
      <c r="D4256" t="s">
        <v>3462</v>
      </c>
      <c r="E4256" t="str">
        <f>IF(LEFT(D4256,6)="CLIENT",IFERROR(VLOOKUP(C4256,Config_Carteiras!$A:$B,2,FALSE),1),"")</f>
        <v/>
      </c>
      <c r="F4256" s="25">
        <v>0</v>
      </c>
      <c r="G4256" s="28" t="str">
        <f>IF(LEFT(D4256,6)="CLIENT",IF(E4256=0,WORKDAY(A4256-1,1,Dias_Sem_Compensacao!$A$2:$A$500),WORKDAY(A4256,E4256,Dias_Sem_Compensacao!$A$2:$A$500)),"")</f>
        <v/>
      </c>
      <c r="H4256" s="25">
        <v>120.83</v>
      </c>
      <c r="I4256" s="28">
        <v>46315</v>
      </c>
      <c r="K4256" t="s">
        <v>3930</v>
      </c>
    </row>
    <row r="4257" spans="1:11" hidden="1">
      <c r="A4257" s="28">
        <v>46315</v>
      </c>
      <c r="B4257" t="s">
        <v>3523</v>
      </c>
      <c r="C4257" t="s">
        <v>151</v>
      </c>
      <c r="D4257" t="s">
        <v>3462</v>
      </c>
      <c r="E4257" t="str">
        <f>IF(LEFT(D4257,6)="CLIENT",IFERROR(VLOOKUP(C4257,Config_Carteiras!$A:$B,2,FALSE),1),"")</f>
        <v/>
      </c>
      <c r="F4257" s="25">
        <v>0</v>
      </c>
      <c r="G4257" s="28" t="str">
        <f>IF(LEFT(D4257,6)="CLIENT",IF(E4257=0,WORKDAY(A4257-1,1,Dias_Sem_Compensacao!$A$2:$A$500),WORKDAY(A4257,E4257,Dias_Sem_Compensacao!$A$2:$A$500)),"")</f>
        <v/>
      </c>
      <c r="H4257" s="25">
        <v>132.52000000000001</v>
      </c>
      <c r="I4257" s="28">
        <v>46315</v>
      </c>
      <c r="K4257" t="s">
        <v>3931</v>
      </c>
    </row>
    <row r="4258" spans="1:11" hidden="1">
      <c r="A4258" s="28">
        <v>46315</v>
      </c>
      <c r="B4258" t="s">
        <v>3523</v>
      </c>
      <c r="C4258" t="s">
        <v>151</v>
      </c>
      <c r="D4258" t="s">
        <v>3462</v>
      </c>
      <c r="E4258" t="str">
        <f>IF(LEFT(D4258,6)="CLIENT",IFERROR(VLOOKUP(C4258,Config_Carteiras!$A:$B,2,FALSE),1),"")</f>
        <v/>
      </c>
      <c r="F4258" s="25">
        <v>0</v>
      </c>
      <c r="G4258" s="28" t="str">
        <f>IF(LEFT(D4258,6)="CLIENT",IF(E4258=0,WORKDAY(A4258-1,1,Dias_Sem_Compensacao!$A$2:$A$500),WORKDAY(A4258,E4258,Dias_Sem_Compensacao!$A$2:$A$500)),"")</f>
        <v/>
      </c>
      <c r="H4258" s="25">
        <v>144.4</v>
      </c>
      <c r="I4258" s="28">
        <v>46315</v>
      </c>
      <c r="K4258" t="s">
        <v>3932</v>
      </c>
    </row>
    <row r="4259" spans="1:11" hidden="1">
      <c r="A4259" s="28">
        <v>46315</v>
      </c>
      <c r="B4259" t="s">
        <v>3523</v>
      </c>
      <c r="C4259" t="s">
        <v>151</v>
      </c>
      <c r="D4259" t="s">
        <v>3462</v>
      </c>
      <c r="E4259" t="str">
        <f>IF(LEFT(D4259,6)="CLIENT",IFERROR(VLOOKUP(C4259,Config_Carteiras!$A:$B,2,FALSE),1),"")</f>
        <v/>
      </c>
      <c r="F4259" s="25">
        <v>0</v>
      </c>
      <c r="G4259" s="28" t="str">
        <f>IF(LEFT(D4259,6)="CLIENT",IF(E4259=0,WORKDAY(A4259-1,1,Dias_Sem_Compensacao!$A$2:$A$500),WORKDAY(A4259,E4259,Dias_Sem_Compensacao!$A$2:$A$500)),"")</f>
        <v/>
      </c>
      <c r="H4259" s="25">
        <v>844.32</v>
      </c>
      <c r="I4259" s="28">
        <v>46315</v>
      </c>
      <c r="K4259" t="s">
        <v>3933</v>
      </c>
    </row>
    <row r="4260" spans="1:11" hidden="1">
      <c r="A4260" s="28">
        <v>46315</v>
      </c>
      <c r="B4260" t="s">
        <v>3523</v>
      </c>
      <c r="C4260" t="s">
        <v>151</v>
      </c>
      <c r="D4260" t="s">
        <v>3462</v>
      </c>
      <c r="E4260" t="str">
        <f>IF(LEFT(D4260,6)="CLIENT",IFERROR(VLOOKUP(C4260,Config_Carteiras!$A:$B,2,FALSE),1),"")</f>
        <v/>
      </c>
      <c r="F4260" s="25">
        <v>0</v>
      </c>
      <c r="G4260" s="28" t="str">
        <f>IF(LEFT(D4260,6)="CLIENT",IF(E4260=0,WORKDAY(A4260-1,1,Dias_Sem_Compensacao!$A$2:$A$500),WORKDAY(A4260,E4260,Dias_Sem_Compensacao!$A$2:$A$500)),"")</f>
        <v/>
      </c>
      <c r="H4260" s="25">
        <v>138.74</v>
      </c>
      <c r="I4260" s="28">
        <v>46315</v>
      </c>
      <c r="K4260" t="s">
        <v>3934</v>
      </c>
    </row>
    <row r="4261" spans="1:11" hidden="1">
      <c r="A4261" s="28">
        <v>46315</v>
      </c>
      <c r="B4261" t="s">
        <v>3523</v>
      </c>
      <c r="C4261" t="s">
        <v>151</v>
      </c>
      <c r="D4261" t="s">
        <v>3462</v>
      </c>
      <c r="E4261" t="str">
        <f>IF(LEFT(D4261,6)="CLIENT",IFERROR(VLOOKUP(C4261,Config_Carteiras!$A:$B,2,FALSE),1),"")</f>
        <v/>
      </c>
      <c r="F4261" s="25">
        <v>0</v>
      </c>
      <c r="G4261" s="28" t="str">
        <f>IF(LEFT(D4261,6)="CLIENT",IF(E4261=0,WORKDAY(A4261-1,1,Dias_Sem_Compensacao!$A$2:$A$500),WORKDAY(A4261,E4261,Dias_Sem_Compensacao!$A$2:$A$500)),"")</f>
        <v/>
      </c>
      <c r="H4261" s="25">
        <v>268.64999999999998</v>
      </c>
      <c r="I4261" s="28">
        <v>46315</v>
      </c>
      <c r="K4261" t="s">
        <v>3935</v>
      </c>
    </row>
    <row r="4262" spans="1:11" hidden="1">
      <c r="A4262" s="28">
        <v>46315</v>
      </c>
      <c r="B4262" t="s">
        <v>3523</v>
      </c>
      <c r="C4262" t="s">
        <v>151</v>
      </c>
      <c r="D4262" t="s">
        <v>3462</v>
      </c>
      <c r="E4262" t="str">
        <f>IF(LEFT(D4262,6)="CLIENT",IFERROR(VLOOKUP(C4262,Config_Carteiras!$A:$B,2,FALSE),1),"")</f>
        <v/>
      </c>
      <c r="F4262" s="25">
        <v>0</v>
      </c>
      <c r="G4262" s="28" t="str">
        <f>IF(LEFT(D4262,6)="CLIENT",IF(E4262=0,WORKDAY(A4262-1,1,Dias_Sem_Compensacao!$A$2:$A$500),WORKDAY(A4262,E4262,Dias_Sem_Compensacao!$A$2:$A$500)),"")</f>
        <v/>
      </c>
      <c r="H4262" s="25">
        <v>61.53</v>
      </c>
      <c r="I4262" s="28">
        <v>46315</v>
      </c>
      <c r="K4262" t="s">
        <v>3936</v>
      </c>
    </row>
    <row r="4263" spans="1:11" hidden="1">
      <c r="A4263" s="28">
        <v>46315</v>
      </c>
      <c r="B4263" t="s">
        <v>3523</v>
      </c>
      <c r="C4263" t="s">
        <v>151</v>
      </c>
      <c r="D4263" t="s">
        <v>3462</v>
      </c>
      <c r="E4263" t="str">
        <f>IF(LEFT(D4263,6)="CLIENT",IFERROR(VLOOKUP(C4263,Config_Carteiras!$A:$B,2,FALSE),1),"")</f>
        <v/>
      </c>
      <c r="F4263" s="25">
        <v>0</v>
      </c>
      <c r="G4263" s="28" t="str">
        <f>IF(LEFT(D4263,6)="CLIENT",IF(E4263=0,WORKDAY(A4263-1,1,Dias_Sem_Compensacao!$A$2:$A$500),WORKDAY(A4263,E4263,Dias_Sem_Compensacao!$A$2:$A$500)),"")</f>
        <v/>
      </c>
      <c r="H4263" s="25">
        <v>639.75</v>
      </c>
      <c r="I4263" s="28">
        <v>46315</v>
      </c>
      <c r="K4263" t="s">
        <v>3937</v>
      </c>
    </row>
    <row r="4264" spans="1:11" hidden="1">
      <c r="A4264" s="28">
        <v>46315</v>
      </c>
      <c r="B4264" t="s">
        <v>3523</v>
      </c>
      <c r="C4264" t="s">
        <v>151</v>
      </c>
      <c r="D4264" t="s">
        <v>3462</v>
      </c>
      <c r="E4264" t="str">
        <f>IF(LEFT(D4264,6)="CLIENT",IFERROR(VLOOKUP(C4264,Config_Carteiras!$A:$B,2,FALSE),1),"")</f>
        <v/>
      </c>
      <c r="F4264" s="25">
        <v>0</v>
      </c>
      <c r="G4264" s="28" t="str">
        <f>IF(LEFT(D4264,6)="CLIENT",IF(E4264=0,WORKDAY(A4264-1,1,Dias_Sem_Compensacao!$A$2:$A$500),WORKDAY(A4264,E4264,Dias_Sem_Compensacao!$A$2:$A$500)),"")</f>
        <v/>
      </c>
      <c r="H4264" s="25">
        <v>519.91</v>
      </c>
      <c r="I4264" s="28">
        <v>46315</v>
      </c>
      <c r="K4264" t="s">
        <v>3938</v>
      </c>
    </row>
    <row r="4265" spans="1:11" hidden="1">
      <c r="A4265" s="28">
        <v>46315</v>
      </c>
      <c r="B4265" t="s">
        <v>3523</v>
      </c>
      <c r="C4265" t="s">
        <v>151</v>
      </c>
      <c r="D4265" t="s">
        <v>3462</v>
      </c>
      <c r="E4265" t="str">
        <f>IF(LEFT(D4265,6)="CLIENT",IFERROR(VLOOKUP(C4265,Config_Carteiras!$A:$B,2,FALSE),1),"")</f>
        <v/>
      </c>
      <c r="F4265" s="25">
        <v>0</v>
      </c>
      <c r="G4265" s="28" t="str">
        <f>IF(LEFT(D4265,6)="CLIENT",IF(E4265=0,WORKDAY(A4265-1,1,Dias_Sem_Compensacao!$A$2:$A$500),WORKDAY(A4265,E4265,Dias_Sem_Compensacao!$A$2:$A$500)),"")</f>
        <v/>
      </c>
      <c r="H4265" s="25">
        <v>402.72</v>
      </c>
      <c r="I4265" s="28">
        <v>46315</v>
      </c>
      <c r="K4265" t="s">
        <v>3939</v>
      </c>
    </row>
    <row r="4266" spans="1:11" hidden="1">
      <c r="A4266" s="28">
        <v>46315</v>
      </c>
      <c r="B4266" t="s">
        <v>3523</v>
      </c>
      <c r="C4266" t="s">
        <v>151</v>
      </c>
      <c r="D4266" t="s">
        <v>3462</v>
      </c>
      <c r="E4266" t="str">
        <f>IF(LEFT(D4266,6)="CLIENT",IFERROR(VLOOKUP(C4266,Config_Carteiras!$A:$B,2,FALSE),1),"")</f>
        <v/>
      </c>
      <c r="F4266" s="25">
        <v>0</v>
      </c>
      <c r="G4266" s="28" t="str">
        <f>IF(LEFT(D4266,6)="CLIENT",IF(E4266=0,WORKDAY(A4266-1,1,Dias_Sem_Compensacao!$A$2:$A$500),WORKDAY(A4266,E4266,Dias_Sem_Compensacao!$A$2:$A$500)),"")</f>
        <v/>
      </c>
      <c r="H4266" s="25">
        <v>15</v>
      </c>
      <c r="I4266" s="28">
        <v>46315</v>
      </c>
      <c r="K4266" t="s">
        <v>3940</v>
      </c>
    </row>
    <row r="4267" spans="1:11" hidden="1">
      <c r="A4267" s="28">
        <v>46315</v>
      </c>
      <c r="B4267" t="s">
        <v>3523</v>
      </c>
      <c r="C4267" t="s">
        <v>151</v>
      </c>
      <c r="D4267" t="s">
        <v>3462</v>
      </c>
      <c r="E4267" t="str">
        <f>IF(LEFT(D4267,6)="CLIENT",IFERROR(VLOOKUP(C4267,Config_Carteiras!$A:$B,2,FALSE),1),"")</f>
        <v/>
      </c>
      <c r="F4267" s="25">
        <v>0</v>
      </c>
      <c r="G4267" s="28" t="str">
        <f>IF(LEFT(D4267,6)="CLIENT",IF(E4267=0,WORKDAY(A4267-1,1,Dias_Sem_Compensacao!$A$2:$A$500),WORKDAY(A4267,E4267,Dias_Sem_Compensacao!$A$2:$A$500)),"")</f>
        <v/>
      </c>
      <c r="H4267" s="25">
        <v>380.49</v>
      </c>
      <c r="I4267" s="28">
        <v>46315</v>
      </c>
      <c r="K4267" t="s">
        <v>3941</v>
      </c>
    </row>
    <row r="4268" spans="1:11" hidden="1">
      <c r="A4268" s="28">
        <v>46315</v>
      </c>
      <c r="B4268" t="s">
        <v>3523</v>
      </c>
      <c r="C4268" t="s">
        <v>151</v>
      </c>
      <c r="D4268" t="s">
        <v>3462</v>
      </c>
      <c r="E4268" t="str">
        <f>IF(LEFT(D4268,6)="CLIENT",IFERROR(VLOOKUP(C4268,Config_Carteiras!$A:$B,2,FALSE),1),"")</f>
        <v/>
      </c>
      <c r="F4268" s="25">
        <v>0</v>
      </c>
      <c r="G4268" s="28" t="str">
        <f>IF(LEFT(D4268,6)="CLIENT",IF(E4268=0,WORKDAY(A4268-1,1,Dias_Sem_Compensacao!$A$2:$A$500),WORKDAY(A4268,E4268,Dias_Sem_Compensacao!$A$2:$A$500)),"")</f>
        <v/>
      </c>
      <c r="H4268" s="25">
        <v>387.46</v>
      </c>
      <c r="I4268" s="28">
        <v>46315</v>
      </c>
      <c r="K4268" t="s">
        <v>3942</v>
      </c>
    </row>
    <row r="4269" spans="1:11" hidden="1">
      <c r="A4269" s="28">
        <v>46315</v>
      </c>
      <c r="B4269" t="s">
        <v>3523</v>
      </c>
      <c r="C4269" t="s">
        <v>151</v>
      </c>
      <c r="D4269" t="s">
        <v>3462</v>
      </c>
      <c r="E4269" t="str">
        <f>IF(LEFT(D4269,6)="CLIENT",IFERROR(VLOOKUP(C4269,Config_Carteiras!$A:$B,2,FALSE),1),"")</f>
        <v/>
      </c>
      <c r="F4269" s="25">
        <v>0</v>
      </c>
      <c r="G4269" s="28" t="str">
        <f>IF(LEFT(D4269,6)="CLIENT",IF(E4269=0,WORKDAY(A4269-1,1,Dias_Sem_Compensacao!$A$2:$A$500),WORKDAY(A4269,E4269,Dias_Sem_Compensacao!$A$2:$A$500)),"")</f>
        <v/>
      </c>
      <c r="H4269" s="25">
        <v>202.77</v>
      </c>
      <c r="I4269" s="28">
        <v>46315</v>
      </c>
      <c r="K4269" t="s">
        <v>3943</v>
      </c>
    </row>
    <row r="4270" spans="1:11" hidden="1">
      <c r="A4270" s="28">
        <v>46315</v>
      </c>
      <c r="B4270" t="s">
        <v>3523</v>
      </c>
      <c r="C4270" t="s">
        <v>151</v>
      </c>
      <c r="D4270" t="s">
        <v>3462</v>
      </c>
      <c r="E4270" t="str">
        <f>IF(LEFT(D4270,6)="CLIENT",IFERROR(VLOOKUP(C4270,Config_Carteiras!$A:$B,2,FALSE),1),"")</f>
        <v/>
      </c>
      <c r="F4270" s="25">
        <v>0</v>
      </c>
      <c r="G4270" s="28" t="str">
        <f>IF(LEFT(D4270,6)="CLIENT",IF(E4270=0,WORKDAY(A4270-1,1,Dias_Sem_Compensacao!$A$2:$A$500),WORKDAY(A4270,E4270,Dias_Sem_Compensacao!$A$2:$A$500)),"")</f>
        <v/>
      </c>
      <c r="H4270" s="25">
        <v>125.36</v>
      </c>
      <c r="I4270" s="28">
        <v>46315</v>
      </c>
      <c r="K4270" t="s">
        <v>3944</v>
      </c>
    </row>
    <row r="4271" spans="1:11" hidden="1">
      <c r="A4271" s="28">
        <v>46315</v>
      </c>
      <c r="B4271" t="s">
        <v>3523</v>
      </c>
      <c r="C4271" t="s">
        <v>151</v>
      </c>
      <c r="D4271" t="s">
        <v>3462</v>
      </c>
      <c r="E4271" t="str">
        <f>IF(LEFT(D4271,6)="CLIENT",IFERROR(VLOOKUP(C4271,Config_Carteiras!$A:$B,2,FALSE),1),"")</f>
        <v/>
      </c>
      <c r="F4271" s="25">
        <v>0</v>
      </c>
      <c r="G4271" s="28" t="str">
        <f>IF(LEFT(D4271,6)="CLIENT",IF(E4271=0,WORKDAY(A4271-1,1,Dias_Sem_Compensacao!$A$2:$A$500),WORKDAY(A4271,E4271,Dias_Sem_Compensacao!$A$2:$A$500)),"")</f>
        <v/>
      </c>
      <c r="H4271" s="25">
        <v>3605.08</v>
      </c>
      <c r="I4271" s="28">
        <v>46315</v>
      </c>
      <c r="J4271" t="s">
        <v>28</v>
      </c>
      <c r="K4271" t="s">
        <v>3945</v>
      </c>
    </row>
    <row r="4272" spans="1:11" hidden="1">
      <c r="A4272" s="28">
        <v>46315</v>
      </c>
      <c r="B4272" t="s">
        <v>3523</v>
      </c>
      <c r="C4272" t="s">
        <v>151</v>
      </c>
      <c r="D4272" t="s">
        <v>3462</v>
      </c>
      <c r="E4272" t="str">
        <f>IF(LEFT(D4272,6)="CLIENT",IFERROR(VLOOKUP(C4272,Config_Carteiras!$A:$B,2,FALSE),1),"")</f>
        <v/>
      </c>
      <c r="F4272" s="25">
        <v>0</v>
      </c>
      <c r="G4272" s="28" t="str">
        <f>IF(LEFT(D4272,6)="CLIENT",IF(E4272=0,WORKDAY(A4272-1,1,Dias_Sem_Compensacao!$A$2:$A$500),WORKDAY(A4272,E4272,Dias_Sem_Compensacao!$A$2:$A$500)),"")</f>
        <v/>
      </c>
      <c r="H4272" s="25">
        <v>7167.1</v>
      </c>
      <c r="I4272" s="28">
        <v>46315</v>
      </c>
      <c r="K4272" t="s">
        <v>3946</v>
      </c>
    </row>
    <row r="4273" spans="1:11" hidden="1">
      <c r="A4273" s="28">
        <v>46315</v>
      </c>
      <c r="B4273" t="s">
        <v>3523</v>
      </c>
      <c r="C4273" t="s">
        <v>151</v>
      </c>
      <c r="D4273" t="s">
        <v>3462</v>
      </c>
      <c r="E4273" t="str">
        <f>IF(LEFT(D4273,6)="CLIENT",IFERROR(VLOOKUP(C4273,Config_Carteiras!$A:$B,2,FALSE),1),"")</f>
        <v/>
      </c>
      <c r="F4273" s="25">
        <v>0</v>
      </c>
      <c r="G4273" s="28" t="str">
        <f>IF(LEFT(D4273,6)="CLIENT",IF(E4273=0,WORKDAY(A4273-1,1,Dias_Sem_Compensacao!$A$2:$A$500),WORKDAY(A4273,E4273,Dias_Sem_Compensacao!$A$2:$A$500)),"")</f>
        <v/>
      </c>
      <c r="H4273" s="25">
        <v>791.1</v>
      </c>
      <c r="I4273" s="28">
        <v>46315</v>
      </c>
      <c r="K4273" t="s">
        <v>3947</v>
      </c>
    </row>
    <row r="4274" spans="1:11" hidden="1">
      <c r="A4274" s="28">
        <v>46315</v>
      </c>
      <c r="B4274" t="s">
        <v>3523</v>
      </c>
      <c r="C4274" t="s">
        <v>151</v>
      </c>
      <c r="D4274" t="s">
        <v>3462</v>
      </c>
      <c r="E4274" t="str">
        <f>IF(LEFT(D4274,6)="CLIENT",IFERROR(VLOOKUP(C4274,Config_Carteiras!$A:$B,2,FALSE),1),"")</f>
        <v/>
      </c>
      <c r="F4274" s="25">
        <v>0</v>
      </c>
      <c r="G4274" s="28" t="str">
        <f>IF(LEFT(D4274,6)="CLIENT",IF(E4274=0,WORKDAY(A4274-1,1,Dias_Sem_Compensacao!$A$2:$A$500),WORKDAY(A4274,E4274,Dias_Sem_Compensacao!$A$2:$A$500)),"")</f>
        <v/>
      </c>
      <c r="H4274" s="25">
        <v>896.39</v>
      </c>
      <c r="I4274" s="28">
        <v>46315</v>
      </c>
      <c r="K4274" t="s">
        <v>3948</v>
      </c>
    </row>
    <row r="4275" spans="1:11" hidden="1">
      <c r="A4275" s="28">
        <v>46315</v>
      </c>
      <c r="B4275" t="s">
        <v>3523</v>
      </c>
      <c r="C4275" t="s">
        <v>151</v>
      </c>
      <c r="D4275" t="s">
        <v>3462</v>
      </c>
      <c r="E4275" t="str">
        <f>IF(LEFT(D4275,6)="CLIENT",IFERROR(VLOOKUP(C4275,Config_Carteiras!$A:$B,2,FALSE),1),"")</f>
        <v/>
      </c>
      <c r="F4275" s="25">
        <v>0</v>
      </c>
      <c r="G4275" s="28" t="str">
        <f>IF(LEFT(D4275,6)="CLIENT",IF(E4275=0,WORKDAY(A4275-1,1,Dias_Sem_Compensacao!$A$2:$A$500),WORKDAY(A4275,E4275,Dias_Sem_Compensacao!$A$2:$A$500)),"")</f>
        <v/>
      </c>
      <c r="H4275" s="25">
        <v>172.01</v>
      </c>
      <c r="I4275" s="28">
        <v>46315</v>
      </c>
      <c r="J4275" t="s">
        <v>130</v>
      </c>
      <c r="K4275" t="s">
        <v>3949</v>
      </c>
    </row>
    <row r="4276" spans="1:11" hidden="1">
      <c r="A4276" s="28">
        <v>46315</v>
      </c>
      <c r="B4276" t="s">
        <v>3523</v>
      </c>
      <c r="C4276" t="s">
        <v>151</v>
      </c>
      <c r="D4276" t="s">
        <v>3462</v>
      </c>
      <c r="E4276" t="str">
        <f>IF(LEFT(D4276,6)="CLIENT",IFERROR(VLOOKUP(C4276,Config_Carteiras!$A:$B,2,FALSE),1),"")</f>
        <v/>
      </c>
      <c r="F4276" s="25">
        <v>0</v>
      </c>
      <c r="G4276" s="28" t="str">
        <f>IF(LEFT(D4276,6)="CLIENT",IF(E4276=0,WORKDAY(A4276-1,1,Dias_Sem_Compensacao!$A$2:$A$500),WORKDAY(A4276,E4276,Dias_Sem_Compensacao!$A$2:$A$500)),"")</f>
        <v/>
      </c>
      <c r="H4276" s="25">
        <v>111.15</v>
      </c>
      <c r="I4276" s="28">
        <v>46315</v>
      </c>
      <c r="K4276" t="s">
        <v>3950</v>
      </c>
    </row>
    <row r="4277" spans="1:11" hidden="1">
      <c r="A4277" s="28">
        <v>46315</v>
      </c>
      <c r="B4277" t="s">
        <v>3523</v>
      </c>
      <c r="C4277" t="s">
        <v>151</v>
      </c>
      <c r="D4277" t="s">
        <v>3462</v>
      </c>
      <c r="E4277" t="str">
        <f>IF(LEFT(D4277,6)="CLIENT",IFERROR(VLOOKUP(C4277,Config_Carteiras!$A:$B,2,FALSE),1),"")</f>
        <v/>
      </c>
      <c r="F4277" s="25">
        <v>0</v>
      </c>
      <c r="G4277" s="28" t="str">
        <f>IF(LEFT(D4277,6)="CLIENT",IF(E4277=0,WORKDAY(A4277-1,1,Dias_Sem_Compensacao!$A$2:$A$500),WORKDAY(A4277,E4277,Dias_Sem_Compensacao!$A$2:$A$500)),"")</f>
        <v/>
      </c>
      <c r="H4277" s="25">
        <v>246.75</v>
      </c>
      <c r="I4277" s="28">
        <v>46315</v>
      </c>
      <c r="K4277" t="s">
        <v>3951</v>
      </c>
    </row>
    <row r="4278" spans="1:11" hidden="1">
      <c r="A4278" s="28">
        <v>46315</v>
      </c>
      <c r="B4278" t="s">
        <v>3523</v>
      </c>
      <c r="C4278" t="s">
        <v>151</v>
      </c>
      <c r="D4278" t="s">
        <v>3462</v>
      </c>
      <c r="E4278" t="str">
        <f>IF(LEFT(D4278,6)="CLIENT",IFERROR(VLOOKUP(C4278,Config_Carteiras!$A:$B,2,FALSE),1),"")</f>
        <v/>
      </c>
      <c r="F4278" s="25">
        <v>0</v>
      </c>
      <c r="G4278" s="28" t="str">
        <f>IF(LEFT(D4278,6)="CLIENT",IF(E4278=0,WORKDAY(A4278-1,1,Dias_Sem_Compensacao!$A$2:$A$500),WORKDAY(A4278,E4278,Dias_Sem_Compensacao!$A$2:$A$500)),"")</f>
        <v/>
      </c>
      <c r="H4278" s="25">
        <v>351.95</v>
      </c>
      <c r="I4278" s="28">
        <v>46315</v>
      </c>
      <c r="K4278" t="s">
        <v>3952</v>
      </c>
    </row>
    <row r="4279" spans="1:11" hidden="1">
      <c r="A4279" s="28">
        <v>46315</v>
      </c>
      <c r="B4279" t="s">
        <v>3523</v>
      </c>
      <c r="C4279" t="s">
        <v>151</v>
      </c>
      <c r="D4279" t="s">
        <v>3462</v>
      </c>
      <c r="E4279" t="str">
        <f>IF(LEFT(D4279,6)="CLIENT",IFERROR(VLOOKUP(C4279,Config_Carteiras!$A:$B,2,FALSE),1),"")</f>
        <v/>
      </c>
      <c r="F4279" s="25">
        <v>0</v>
      </c>
      <c r="G4279" s="28" t="str">
        <f>IF(LEFT(D4279,6)="CLIENT",IF(E4279=0,WORKDAY(A4279-1,1,Dias_Sem_Compensacao!$A$2:$A$500),WORKDAY(A4279,E4279,Dias_Sem_Compensacao!$A$2:$A$500)),"")</f>
        <v/>
      </c>
      <c r="H4279" s="25">
        <v>89.46</v>
      </c>
      <c r="I4279" s="28">
        <v>46315</v>
      </c>
      <c r="K4279" t="s">
        <v>3953</v>
      </c>
    </row>
    <row r="4280" spans="1:11" hidden="1">
      <c r="A4280" s="28">
        <v>46315</v>
      </c>
      <c r="B4280" t="s">
        <v>3523</v>
      </c>
      <c r="C4280" t="s">
        <v>151</v>
      </c>
      <c r="D4280" t="s">
        <v>3462</v>
      </c>
      <c r="E4280" t="str">
        <f>IF(LEFT(D4280,6)="CLIENT",IFERROR(VLOOKUP(C4280,Config_Carteiras!$A:$B,2,FALSE),1),"")</f>
        <v/>
      </c>
      <c r="F4280" s="25">
        <v>0</v>
      </c>
      <c r="G4280" s="28" t="str">
        <f>IF(LEFT(D4280,6)="CLIENT",IF(E4280=0,WORKDAY(A4280-1,1,Dias_Sem_Compensacao!$A$2:$A$500),WORKDAY(A4280,E4280,Dias_Sem_Compensacao!$A$2:$A$500)),"")</f>
        <v/>
      </c>
      <c r="H4280" s="25">
        <v>194.8</v>
      </c>
      <c r="I4280" s="28">
        <v>46315</v>
      </c>
      <c r="K4280" t="s">
        <v>3954</v>
      </c>
    </row>
    <row r="4281" spans="1:11" hidden="1">
      <c r="A4281" s="28">
        <v>46315</v>
      </c>
      <c r="B4281" t="s">
        <v>3523</v>
      </c>
      <c r="C4281" t="s">
        <v>151</v>
      </c>
      <c r="D4281" t="s">
        <v>3462</v>
      </c>
      <c r="E4281" t="str">
        <f>IF(LEFT(D4281,6)="CLIENT",IFERROR(VLOOKUP(C4281,Config_Carteiras!$A:$B,2,FALSE),1),"")</f>
        <v/>
      </c>
      <c r="F4281" s="25">
        <v>0</v>
      </c>
      <c r="G4281" s="28" t="str">
        <f>IF(LEFT(D4281,6)="CLIENT",IF(E4281=0,WORKDAY(A4281-1,1,Dias_Sem_Compensacao!$A$2:$A$500),WORKDAY(A4281,E4281,Dias_Sem_Compensacao!$A$2:$A$500)),"")</f>
        <v/>
      </c>
      <c r="H4281" s="25">
        <v>88.27</v>
      </c>
      <c r="I4281" s="28">
        <v>46315</v>
      </c>
      <c r="K4281" t="s">
        <v>3955</v>
      </c>
    </row>
    <row r="4282" spans="1:11" hidden="1">
      <c r="A4282" s="28">
        <v>46315</v>
      </c>
      <c r="B4282" t="s">
        <v>3523</v>
      </c>
      <c r="C4282" t="s">
        <v>151</v>
      </c>
      <c r="D4282" t="s">
        <v>3462</v>
      </c>
      <c r="E4282" t="str">
        <f>IF(LEFT(D4282,6)="CLIENT",IFERROR(VLOOKUP(C4282,Config_Carteiras!$A:$B,2,FALSE),1),"")</f>
        <v/>
      </c>
      <c r="F4282" s="25">
        <v>0</v>
      </c>
      <c r="G4282" s="28" t="str">
        <f>IF(LEFT(D4282,6)="CLIENT",IF(E4282=0,WORKDAY(A4282-1,1,Dias_Sem_Compensacao!$A$2:$A$500),WORKDAY(A4282,E4282,Dias_Sem_Compensacao!$A$2:$A$500)),"")</f>
        <v/>
      </c>
      <c r="H4282" s="25">
        <v>88.98</v>
      </c>
      <c r="I4282" s="28">
        <v>46315</v>
      </c>
      <c r="K4282" t="s">
        <v>3956</v>
      </c>
    </row>
    <row r="4283" spans="1:11" hidden="1">
      <c r="A4283" s="28">
        <v>46315</v>
      </c>
      <c r="B4283" t="s">
        <v>3523</v>
      </c>
      <c r="C4283" t="s">
        <v>151</v>
      </c>
      <c r="D4283" t="s">
        <v>3462</v>
      </c>
      <c r="E4283" t="str">
        <f>IF(LEFT(D4283,6)="CLIENT",IFERROR(VLOOKUP(C4283,Config_Carteiras!$A:$B,2,FALSE),1),"")</f>
        <v/>
      </c>
      <c r="F4283" s="25">
        <v>0</v>
      </c>
      <c r="G4283" s="28" t="str">
        <f>IF(LEFT(D4283,6)="CLIENT",IF(E4283=0,WORKDAY(A4283-1,1,Dias_Sem_Compensacao!$A$2:$A$500),WORKDAY(A4283,E4283,Dias_Sem_Compensacao!$A$2:$A$500)),"")</f>
        <v/>
      </c>
      <c r="H4283" s="25">
        <v>50307</v>
      </c>
      <c r="I4283" s="28">
        <v>46315</v>
      </c>
      <c r="J4283" t="s">
        <v>3957</v>
      </c>
      <c r="K4283" t="s">
        <v>3958</v>
      </c>
    </row>
    <row r="4284" spans="1:11" hidden="1">
      <c r="A4284" s="28">
        <v>46315</v>
      </c>
      <c r="B4284" t="s">
        <v>3523</v>
      </c>
      <c r="C4284" t="s">
        <v>151</v>
      </c>
      <c r="D4284" t="s">
        <v>3462</v>
      </c>
      <c r="E4284" t="str">
        <f>IF(LEFT(D4284,6)="CLIENT",IFERROR(VLOOKUP(C4284,Config_Carteiras!$A:$B,2,FALSE),1),"")</f>
        <v/>
      </c>
      <c r="F4284" s="25">
        <v>0</v>
      </c>
      <c r="G4284" s="28" t="str">
        <f>IF(LEFT(D4284,6)="CLIENT",IF(E4284=0,WORKDAY(A4284-1,1,Dias_Sem_Compensacao!$A$2:$A$500),WORKDAY(A4284,E4284,Dias_Sem_Compensacao!$A$2:$A$500)),"")</f>
        <v/>
      </c>
      <c r="H4284" s="25">
        <v>200</v>
      </c>
      <c r="I4284" s="28">
        <v>46315</v>
      </c>
      <c r="J4284" t="s">
        <v>88</v>
      </c>
      <c r="K4284" t="s">
        <v>3959</v>
      </c>
    </row>
    <row r="4285" spans="1:11" hidden="1">
      <c r="A4285" s="28">
        <v>46315</v>
      </c>
      <c r="B4285" t="s">
        <v>3523</v>
      </c>
      <c r="C4285" t="s">
        <v>151</v>
      </c>
      <c r="D4285" t="s">
        <v>3462</v>
      </c>
      <c r="E4285" t="str">
        <f>IF(LEFT(D4285,6)="CLIENT",IFERROR(VLOOKUP(C4285,Config_Carteiras!$A:$B,2,FALSE),1),"")</f>
        <v/>
      </c>
      <c r="F4285" s="25">
        <v>0</v>
      </c>
      <c r="G4285" s="28" t="str">
        <f>IF(LEFT(D4285,6)="CLIENT",IF(E4285=0,WORKDAY(A4285-1,1,Dias_Sem_Compensacao!$A$2:$A$500),WORKDAY(A4285,E4285,Dias_Sem_Compensacao!$A$2:$A$500)),"")</f>
        <v/>
      </c>
      <c r="H4285" s="25">
        <v>5673.5</v>
      </c>
      <c r="I4285" s="28">
        <v>46315</v>
      </c>
      <c r="J4285" t="s">
        <v>3960</v>
      </c>
      <c r="K4285" t="s">
        <v>3961</v>
      </c>
    </row>
    <row r="4286" spans="1:11" hidden="1">
      <c r="A4286" s="28">
        <v>46315</v>
      </c>
      <c r="B4286" t="s">
        <v>3523</v>
      </c>
      <c r="C4286" t="s">
        <v>151</v>
      </c>
      <c r="D4286" t="s">
        <v>3462</v>
      </c>
      <c r="E4286" t="str">
        <f>IF(LEFT(D4286,6)="CLIENT",IFERROR(VLOOKUP(C4286,Config_Carteiras!$A:$B,2,FALSE),1),"")</f>
        <v/>
      </c>
      <c r="F4286" s="25">
        <v>0</v>
      </c>
      <c r="G4286" s="28" t="str">
        <f>IF(LEFT(D4286,6)="CLIENT",IF(E4286=0,WORKDAY(A4286-1,1,Dias_Sem_Compensacao!$A$2:$A$500),WORKDAY(A4286,E4286,Dias_Sem_Compensacao!$A$2:$A$500)),"")</f>
        <v/>
      </c>
      <c r="H4286" s="25">
        <v>5673.5</v>
      </c>
      <c r="I4286" s="28">
        <v>46315</v>
      </c>
      <c r="K4286" t="s">
        <v>126</v>
      </c>
    </row>
    <row r="4287" spans="1:11" hidden="1">
      <c r="A4287" s="28">
        <v>46315</v>
      </c>
      <c r="B4287" t="s">
        <v>3523</v>
      </c>
      <c r="C4287" t="s">
        <v>151</v>
      </c>
      <c r="D4287" t="s">
        <v>3462</v>
      </c>
      <c r="E4287" t="str">
        <f>IF(LEFT(D4287,6)="CLIENT",IFERROR(VLOOKUP(C4287,Config_Carteiras!$A:$B,2,FALSE),1),"")</f>
        <v/>
      </c>
      <c r="F4287" s="25">
        <v>0</v>
      </c>
      <c r="G4287" s="28" t="str">
        <f>IF(LEFT(D4287,6)="CLIENT",IF(E4287=0,WORKDAY(A4287-1,1,Dias_Sem_Compensacao!$A$2:$A$500),WORKDAY(A4287,E4287,Dias_Sem_Compensacao!$A$2:$A$500)),"")</f>
        <v/>
      </c>
      <c r="H4287" s="25">
        <v>11481.82</v>
      </c>
      <c r="I4287" s="28">
        <v>46315</v>
      </c>
      <c r="J4287" t="s">
        <v>3621</v>
      </c>
      <c r="K4287" t="s">
        <v>3962</v>
      </c>
    </row>
    <row r="4288" spans="1:11" hidden="1">
      <c r="A4288" s="28">
        <v>46315</v>
      </c>
      <c r="B4288" t="s">
        <v>3523</v>
      </c>
      <c r="C4288" t="s">
        <v>151</v>
      </c>
      <c r="D4288" t="s">
        <v>3462</v>
      </c>
      <c r="E4288" t="str">
        <f>IF(LEFT(D4288,6)="CLIENT",IFERROR(VLOOKUP(C4288,Config_Carteiras!$A:$B,2,FALSE),1),"")</f>
        <v/>
      </c>
      <c r="F4288" s="25">
        <v>0</v>
      </c>
      <c r="G4288" s="28" t="str">
        <f>IF(LEFT(D4288,6)="CLIENT",IF(E4288=0,WORKDAY(A4288-1,1,Dias_Sem_Compensacao!$A$2:$A$500),WORKDAY(A4288,E4288,Dias_Sem_Compensacao!$A$2:$A$500)),"")</f>
        <v/>
      </c>
      <c r="H4288" s="25">
        <v>218.19</v>
      </c>
      <c r="I4288" s="28">
        <v>46315</v>
      </c>
      <c r="J4288" t="s">
        <v>42</v>
      </c>
      <c r="K4288" t="s">
        <v>3963</v>
      </c>
    </row>
    <row r="4289" spans="1:11" hidden="1">
      <c r="A4289" s="28">
        <v>46315</v>
      </c>
      <c r="B4289" t="s">
        <v>3523</v>
      </c>
      <c r="C4289" t="s">
        <v>151</v>
      </c>
      <c r="D4289" t="s">
        <v>3462</v>
      </c>
      <c r="E4289" t="str">
        <f>IF(LEFT(D4289,6)="CLIENT",IFERROR(VLOOKUP(C4289,Config_Carteiras!$A:$B,2,FALSE),1),"")</f>
        <v/>
      </c>
      <c r="F4289" s="25">
        <v>0</v>
      </c>
      <c r="G4289" s="28" t="str">
        <f>IF(LEFT(D4289,6)="CLIENT",IF(E4289=0,WORKDAY(A4289-1,1,Dias_Sem_Compensacao!$A$2:$A$500),WORKDAY(A4289,E4289,Dias_Sem_Compensacao!$A$2:$A$500)),"")</f>
        <v/>
      </c>
      <c r="H4289" s="25">
        <v>177.11</v>
      </c>
      <c r="I4289" s="28">
        <v>46315</v>
      </c>
      <c r="K4289" t="s">
        <v>3964</v>
      </c>
    </row>
    <row r="4290" spans="1:11" hidden="1">
      <c r="A4290" s="28">
        <v>46315</v>
      </c>
      <c r="B4290" t="s">
        <v>3523</v>
      </c>
      <c r="C4290" t="s">
        <v>151</v>
      </c>
      <c r="D4290" t="s">
        <v>3462</v>
      </c>
      <c r="E4290" t="str">
        <f>IF(LEFT(D4290,6)="CLIENT",IFERROR(VLOOKUP(C4290,Config_Carteiras!$A:$B,2,FALSE),1),"")</f>
        <v/>
      </c>
      <c r="F4290" s="25">
        <v>0</v>
      </c>
      <c r="G4290" s="28" t="str">
        <f>IF(LEFT(D4290,6)="CLIENT",IF(E4290=0,WORKDAY(A4290-1,1,Dias_Sem_Compensacao!$A$2:$A$500),WORKDAY(A4290,E4290,Dias_Sem_Compensacao!$A$2:$A$500)),"")</f>
        <v/>
      </c>
      <c r="H4290" s="25">
        <v>100</v>
      </c>
      <c r="I4290" s="28">
        <v>46315</v>
      </c>
      <c r="J4290" t="s">
        <v>48</v>
      </c>
      <c r="K4290" t="s">
        <v>3965</v>
      </c>
    </row>
    <row r="4291" spans="1:11" hidden="1">
      <c r="A4291" s="28">
        <v>46315</v>
      </c>
      <c r="B4291" t="s">
        <v>3523</v>
      </c>
      <c r="C4291" t="s">
        <v>151</v>
      </c>
      <c r="D4291" t="s">
        <v>3462</v>
      </c>
      <c r="E4291" t="str">
        <f>IF(LEFT(D4291,6)="CLIENT",IFERROR(VLOOKUP(C4291,Config_Carteiras!$A:$B,2,FALSE),1),"")</f>
        <v/>
      </c>
      <c r="F4291" s="25">
        <v>0</v>
      </c>
      <c r="G4291" s="28" t="str">
        <f>IF(LEFT(D4291,6)="CLIENT",IF(E4291=0,WORKDAY(A4291-1,1,Dias_Sem_Compensacao!$A$2:$A$500),WORKDAY(A4291,E4291,Dias_Sem_Compensacao!$A$2:$A$500)),"")</f>
        <v/>
      </c>
      <c r="H4291" s="25">
        <v>76</v>
      </c>
      <c r="I4291" s="28">
        <v>46315</v>
      </c>
      <c r="K4291" t="s">
        <v>3966</v>
      </c>
    </row>
    <row r="4292" spans="1:11" hidden="1">
      <c r="A4292" s="28">
        <v>46315</v>
      </c>
      <c r="B4292" t="s">
        <v>3523</v>
      </c>
      <c r="C4292" t="s">
        <v>151</v>
      </c>
      <c r="D4292" t="s">
        <v>3462</v>
      </c>
      <c r="E4292" t="str">
        <f>IF(LEFT(D4292,6)="CLIENT",IFERROR(VLOOKUP(C4292,Config_Carteiras!$A:$B,2,FALSE),1),"")</f>
        <v/>
      </c>
      <c r="F4292" s="25">
        <v>0</v>
      </c>
      <c r="G4292" s="28" t="str">
        <f>IF(LEFT(D4292,6)="CLIENT",IF(E4292=0,WORKDAY(A4292-1,1,Dias_Sem_Compensacao!$A$2:$A$500),WORKDAY(A4292,E4292,Dias_Sem_Compensacao!$A$2:$A$500)),"")</f>
        <v/>
      </c>
      <c r="H4292" s="25">
        <v>1074</v>
      </c>
      <c r="I4292" s="28">
        <v>46315</v>
      </c>
      <c r="K4292" t="s">
        <v>3967</v>
      </c>
    </row>
    <row r="4293" spans="1:11" hidden="1">
      <c r="A4293" s="28">
        <v>46315</v>
      </c>
      <c r="B4293" t="s">
        <v>3523</v>
      </c>
      <c r="C4293" t="s">
        <v>151</v>
      </c>
      <c r="D4293" t="s">
        <v>3462</v>
      </c>
      <c r="E4293" t="str">
        <f>IF(LEFT(D4293,6)="CLIENT",IFERROR(VLOOKUP(C4293,Config_Carteiras!$A:$B,2,FALSE),1),"")</f>
        <v/>
      </c>
      <c r="F4293" s="25">
        <v>0</v>
      </c>
      <c r="G4293" s="28" t="str">
        <f>IF(LEFT(D4293,6)="CLIENT",IF(E4293=0,WORKDAY(A4293-1,1,Dias_Sem_Compensacao!$A$2:$A$500),WORKDAY(A4293,E4293,Dias_Sem_Compensacao!$A$2:$A$500)),"")</f>
        <v/>
      </c>
      <c r="H4293" s="25">
        <v>80</v>
      </c>
      <c r="I4293" s="28">
        <v>46315</v>
      </c>
      <c r="K4293" t="s">
        <v>3968</v>
      </c>
    </row>
    <row r="4294" spans="1:11" hidden="1">
      <c r="A4294" s="28">
        <v>46316</v>
      </c>
      <c r="B4294" t="s">
        <v>3523</v>
      </c>
      <c r="C4294" t="s">
        <v>151</v>
      </c>
      <c r="D4294" t="s">
        <v>3462</v>
      </c>
      <c r="E4294" t="str">
        <f>IF(LEFT(D4294,6)="CLIENT",IFERROR(VLOOKUP(C4294,Config_Carteiras!$A:$B,2,FALSE),1),"")</f>
        <v/>
      </c>
      <c r="F4294" s="25">
        <v>0</v>
      </c>
      <c r="G4294" s="28" t="str">
        <f>IF(LEFT(D4294,6)="CLIENT",IF(E4294=0,WORKDAY(A4294-1,1,Dias_Sem_Compensacao!$A$2:$A$500),WORKDAY(A4294,E4294,Dias_Sem_Compensacao!$A$2:$A$500)),"")</f>
        <v/>
      </c>
      <c r="H4294" s="25">
        <v>2255</v>
      </c>
      <c r="I4294" s="28">
        <v>46316</v>
      </c>
      <c r="J4294" t="s">
        <v>150</v>
      </c>
      <c r="K4294" t="s">
        <v>3969</v>
      </c>
    </row>
    <row r="4295" spans="1:11" hidden="1">
      <c r="A4295" s="28">
        <v>46316</v>
      </c>
      <c r="B4295" t="s">
        <v>3523</v>
      </c>
      <c r="C4295" t="s">
        <v>151</v>
      </c>
      <c r="D4295" t="s">
        <v>3462</v>
      </c>
      <c r="E4295" t="str">
        <f>IF(LEFT(D4295,6)="CLIENT",IFERROR(VLOOKUP(C4295,Config_Carteiras!$A:$B,2,FALSE),1),"")</f>
        <v/>
      </c>
      <c r="F4295" s="25">
        <v>0</v>
      </c>
      <c r="G4295" s="28" t="str">
        <f>IF(LEFT(D4295,6)="CLIENT",IF(E4295=0,WORKDAY(A4295-1,1,Dias_Sem_Compensacao!$A$2:$A$500),WORKDAY(A4295,E4295,Dias_Sem_Compensacao!$A$2:$A$500)),"")</f>
        <v/>
      </c>
      <c r="H4295" s="25">
        <v>1535</v>
      </c>
      <c r="I4295" s="28">
        <v>46316</v>
      </c>
      <c r="K4295" t="s">
        <v>3970</v>
      </c>
    </row>
    <row r="4296" spans="1:11" hidden="1">
      <c r="A4296" s="28">
        <v>46316</v>
      </c>
      <c r="B4296" t="s">
        <v>3523</v>
      </c>
      <c r="C4296" t="s">
        <v>151</v>
      </c>
      <c r="D4296" t="s">
        <v>3462</v>
      </c>
      <c r="E4296" t="str">
        <f>IF(LEFT(D4296,6)="CLIENT",IFERROR(VLOOKUP(C4296,Config_Carteiras!$A:$B,2,FALSE),1),"")</f>
        <v/>
      </c>
      <c r="F4296" s="25">
        <v>0</v>
      </c>
      <c r="G4296" s="28" t="str">
        <f>IF(LEFT(D4296,6)="CLIENT",IF(E4296=0,WORKDAY(A4296-1,1,Dias_Sem_Compensacao!$A$2:$A$500),WORKDAY(A4296,E4296,Dias_Sem_Compensacao!$A$2:$A$500)),"")</f>
        <v/>
      </c>
      <c r="H4296" s="25">
        <v>1840</v>
      </c>
      <c r="I4296" s="28">
        <v>46316</v>
      </c>
      <c r="K4296" t="s">
        <v>3971</v>
      </c>
    </row>
    <row r="4297" spans="1:11" hidden="1">
      <c r="A4297" s="28">
        <v>46316</v>
      </c>
      <c r="B4297" t="s">
        <v>3523</v>
      </c>
      <c r="C4297" t="s">
        <v>151</v>
      </c>
      <c r="D4297" t="s">
        <v>3462</v>
      </c>
      <c r="E4297" t="str">
        <f>IF(LEFT(D4297,6)="CLIENT",IFERROR(VLOOKUP(C4297,Config_Carteiras!$A:$B,2,FALSE),1),"")</f>
        <v/>
      </c>
      <c r="F4297" s="25">
        <v>0</v>
      </c>
      <c r="G4297" s="28" t="str">
        <f>IF(LEFT(D4297,6)="CLIENT",IF(E4297=0,WORKDAY(A4297-1,1,Dias_Sem_Compensacao!$A$2:$A$500),WORKDAY(A4297,E4297,Dias_Sem_Compensacao!$A$2:$A$500)),"")</f>
        <v/>
      </c>
      <c r="H4297" s="25">
        <v>369</v>
      </c>
      <c r="I4297" s="28">
        <v>46316</v>
      </c>
      <c r="J4297" t="s">
        <v>1162</v>
      </c>
      <c r="K4297" t="s">
        <v>3972</v>
      </c>
    </row>
    <row r="4298" spans="1:11" hidden="1">
      <c r="A4298" s="28">
        <v>46316</v>
      </c>
      <c r="B4298" t="s">
        <v>3523</v>
      </c>
      <c r="C4298" t="s">
        <v>151</v>
      </c>
      <c r="D4298" t="s">
        <v>3462</v>
      </c>
      <c r="E4298" t="str">
        <f>IF(LEFT(D4298,6)="CLIENT",IFERROR(VLOOKUP(C4298,Config_Carteiras!$A:$B,2,FALSE),1),"")</f>
        <v/>
      </c>
      <c r="F4298" s="25">
        <v>0</v>
      </c>
      <c r="G4298" s="28" t="str">
        <f>IF(LEFT(D4298,6)="CLIENT",IF(E4298=0,WORKDAY(A4298-1,1,Dias_Sem_Compensacao!$A$2:$A$500),WORKDAY(A4298,E4298,Dias_Sem_Compensacao!$A$2:$A$500)),"")</f>
        <v/>
      </c>
      <c r="H4298" s="25">
        <v>100</v>
      </c>
      <c r="I4298" s="28">
        <v>46316</v>
      </c>
      <c r="K4298" t="s">
        <v>3973</v>
      </c>
    </row>
    <row r="4299" spans="1:11" hidden="1">
      <c r="A4299" s="28">
        <v>46316</v>
      </c>
      <c r="B4299" t="s">
        <v>3523</v>
      </c>
      <c r="C4299" t="s">
        <v>151</v>
      </c>
      <c r="D4299" t="s">
        <v>3462</v>
      </c>
      <c r="E4299" t="str">
        <f>IF(LEFT(D4299,6)="CLIENT",IFERROR(VLOOKUP(C4299,Config_Carteiras!$A:$B,2,FALSE),1),"")</f>
        <v/>
      </c>
      <c r="F4299" s="25">
        <v>0</v>
      </c>
      <c r="G4299" s="28" t="str">
        <f>IF(LEFT(D4299,6)="CLIENT",IF(E4299=0,WORKDAY(A4299-1,1,Dias_Sem_Compensacao!$A$2:$A$500),WORKDAY(A4299,E4299,Dias_Sem_Compensacao!$A$2:$A$500)),"")</f>
        <v/>
      </c>
      <c r="H4299" s="25">
        <v>460.5</v>
      </c>
      <c r="I4299" s="28">
        <v>46316</v>
      </c>
      <c r="J4299" t="s">
        <v>74</v>
      </c>
      <c r="K4299" t="s">
        <v>3974</v>
      </c>
    </row>
    <row r="4300" spans="1:11" hidden="1">
      <c r="A4300" s="28">
        <v>46316</v>
      </c>
      <c r="B4300" t="s">
        <v>3523</v>
      </c>
      <c r="C4300" t="s">
        <v>151</v>
      </c>
      <c r="D4300" t="s">
        <v>3462</v>
      </c>
      <c r="E4300" t="str">
        <f>IF(LEFT(D4300,6)="CLIENT",IFERROR(VLOOKUP(C4300,Config_Carteiras!$A:$B,2,FALSE),1),"")</f>
        <v/>
      </c>
      <c r="F4300" s="25">
        <v>0</v>
      </c>
      <c r="G4300" s="28" t="str">
        <f>IF(LEFT(D4300,6)="CLIENT",IF(E4300=0,WORKDAY(A4300-1,1,Dias_Sem_Compensacao!$A$2:$A$500),WORKDAY(A4300,E4300,Dias_Sem_Compensacao!$A$2:$A$500)),"")</f>
        <v/>
      </c>
      <c r="H4300" s="25">
        <v>277.31</v>
      </c>
      <c r="I4300" s="28">
        <v>46316</v>
      </c>
      <c r="J4300" t="s">
        <v>2595</v>
      </c>
      <c r="K4300" t="s">
        <v>3975</v>
      </c>
    </row>
    <row r="4301" spans="1:11" hidden="1">
      <c r="A4301" s="28">
        <v>46316</v>
      </c>
      <c r="B4301" t="s">
        <v>3523</v>
      </c>
      <c r="C4301" t="s">
        <v>151</v>
      </c>
      <c r="D4301" t="s">
        <v>3462</v>
      </c>
      <c r="E4301" t="str">
        <f>IF(LEFT(D4301,6)="CLIENT",IFERROR(VLOOKUP(C4301,Config_Carteiras!$A:$B,2,FALSE),1),"")</f>
        <v/>
      </c>
      <c r="F4301" s="25">
        <v>0</v>
      </c>
      <c r="G4301" s="28" t="str">
        <f>IF(LEFT(D4301,6)="CLIENT",IF(E4301=0,WORKDAY(A4301-1,1,Dias_Sem_Compensacao!$A$2:$A$500),WORKDAY(A4301,E4301,Dias_Sem_Compensacao!$A$2:$A$500)),"")</f>
        <v/>
      </c>
      <c r="H4301" s="25">
        <v>96.44</v>
      </c>
      <c r="I4301" s="28">
        <v>46316</v>
      </c>
      <c r="K4301" t="s">
        <v>3976</v>
      </c>
    </row>
    <row r="4302" spans="1:11" hidden="1">
      <c r="A4302" s="28">
        <v>46316</v>
      </c>
      <c r="B4302" t="s">
        <v>3523</v>
      </c>
      <c r="C4302" t="s">
        <v>151</v>
      </c>
      <c r="D4302" t="s">
        <v>3462</v>
      </c>
      <c r="E4302" t="str">
        <f>IF(LEFT(D4302,6)="CLIENT",IFERROR(VLOOKUP(C4302,Config_Carteiras!$A:$B,2,FALSE),1),"")</f>
        <v/>
      </c>
      <c r="F4302" s="25">
        <v>0</v>
      </c>
      <c r="G4302" s="28" t="str">
        <f>IF(LEFT(D4302,6)="CLIENT",IF(E4302=0,WORKDAY(A4302-1,1,Dias_Sem_Compensacao!$A$2:$A$500),WORKDAY(A4302,E4302,Dias_Sem_Compensacao!$A$2:$A$500)),"")</f>
        <v/>
      </c>
      <c r="H4302" s="25">
        <v>103.71</v>
      </c>
      <c r="I4302" s="28">
        <v>46316</v>
      </c>
      <c r="K4302" t="s">
        <v>3977</v>
      </c>
    </row>
    <row r="4303" spans="1:11" hidden="1">
      <c r="A4303" s="28">
        <v>46316</v>
      </c>
      <c r="B4303" t="s">
        <v>3523</v>
      </c>
      <c r="C4303" t="s">
        <v>151</v>
      </c>
      <c r="D4303" t="s">
        <v>3462</v>
      </c>
      <c r="E4303" t="str">
        <f>IF(LEFT(D4303,6)="CLIENT",IFERROR(VLOOKUP(C4303,Config_Carteiras!$A:$B,2,FALSE),1),"")</f>
        <v/>
      </c>
      <c r="F4303" s="25">
        <v>0</v>
      </c>
      <c r="G4303" s="28" t="str">
        <f>IF(LEFT(D4303,6)="CLIENT",IF(E4303=0,WORKDAY(A4303-1,1,Dias_Sem_Compensacao!$A$2:$A$500),WORKDAY(A4303,E4303,Dias_Sem_Compensacao!$A$2:$A$500)),"")</f>
        <v/>
      </c>
      <c r="H4303" s="25">
        <v>76.98</v>
      </c>
      <c r="I4303" s="28">
        <v>46316</v>
      </c>
      <c r="K4303" t="s">
        <v>3978</v>
      </c>
    </row>
    <row r="4304" spans="1:11" hidden="1">
      <c r="A4304" s="28">
        <v>46316</v>
      </c>
      <c r="B4304" t="s">
        <v>3523</v>
      </c>
      <c r="C4304" t="s">
        <v>151</v>
      </c>
      <c r="D4304" t="s">
        <v>3462</v>
      </c>
      <c r="E4304" t="str">
        <f>IF(LEFT(D4304,6)="CLIENT",IFERROR(VLOOKUP(C4304,Config_Carteiras!$A:$B,2,FALSE),1),"")</f>
        <v/>
      </c>
      <c r="F4304" s="25">
        <v>0</v>
      </c>
      <c r="G4304" s="28" t="str">
        <f>IF(LEFT(D4304,6)="CLIENT",IF(E4304=0,WORKDAY(A4304-1,1,Dias_Sem_Compensacao!$A$2:$A$500),WORKDAY(A4304,E4304,Dias_Sem_Compensacao!$A$2:$A$500)),"")</f>
        <v/>
      </c>
      <c r="H4304" s="25">
        <v>482.89</v>
      </c>
      <c r="I4304" s="28">
        <v>46316</v>
      </c>
      <c r="K4304" t="s">
        <v>3979</v>
      </c>
    </row>
    <row r="4305" spans="1:11" hidden="1">
      <c r="A4305" s="28">
        <v>46316</v>
      </c>
      <c r="B4305" t="s">
        <v>3523</v>
      </c>
      <c r="C4305" t="s">
        <v>151</v>
      </c>
      <c r="D4305" t="s">
        <v>3462</v>
      </c>
      <c r="E4305" t="str">
        <f>IF(LEFT(D4305,6)="CLIENT",IFERROR(VLOOKUP(C4305,Config_Carteiras!$A:$B,2,FALSE),1),"")</f>
        <v/>
      </c>
      <c r="F4305" s="25">
        <v>0</v>
      </c>
      <c r="G4305" s="28" t="str">
        <f>IF(LEFT(D4305,6)="CLIENT",IF(E4305=0,WORKDAY(A4305-1,1,Dias_Sem_Compensacao!$A$2:$A$500),WORKDAY(A4305,E4305,Dias_Sem_Compensacao!$A$2:$A$500)),"")</f>
        <v/>
      </c>
      <c r="H4305" s="25">
        <v>228.56</v>
      </c>
      <c r="I4305" s="28">
        <v>46316</v>
      </c>
      <c r="K4305" t="s">
        <v>3980</v>
      </c>
    </row>
    <row r="4306" spans="1:11" hidden="1">
      <c r="A4306" s="28">
        <v>46316</v>
      </c>
      <c r="B4306" t="s">
        <v>3523</v>
      </c>
      <c r="C4306" t="s">
        <v>151</v>
      </c>
      <c r="D4306" t="s">
        <v>3462</v>
      </c>
      <c r="E4306" t="str">
        <f>IF(LEFT(D4306,6)="CLIENT",IFERROR(VLOOKUP(C4306,Config_Carteiras!$A:$B,2,FALSE),1),"")</f>
        <v/>
      </c>
      <c r="F4306" s="25">
        <v>0</v>
      </c>
      <c r="G4306" s="28" t="str">
        <f>IF(LEFT(D4306,6)="CLIENT",IF(E4306=0,WORKDAY(A4306-1,1,Dias_Sem_Compensacao!$A$2:$A$500),WORKDAY(A4306,E4306,Dias_Sem_Compensacao!$A$2:$A$500)),"")</f>
        <v/>
      </c>
      <c r="H4306" s="25">
        <v>88.28</v>
      </c>
      <c r="I4306" s="28">
        <v>46316</v>
      </c>
      <c r="K4306" t="s">
        <v>3981</v>
      </c>
    </row>
    <row r="4307" spans="1:11" hidden="1">
      <c r="A4307" s="28">
        <v>46316</v>
      </c>
      <c r="B4307" t="s">
        <v>3523</v>
      </c>
      <c r="C4307" t="s">
        <v>151</v>
      </c>
      <c r="D4307" t="s">
        <v>3462</v>
      </c>
      <c r="E4307" t="str">
        <f>IF(LEFT(D4307,6)="CLIENT",IFERROR(VLOOKUP(C4307,Config_Carteiras!$A:$B,2,FALSE),1),"")</f>
        <v/>
      </c>
      <c r="F4307" s="25">
        <v>0</v>
      </c>
      <c r="G4307" s="28" t="str">
        <f>IF(LEFT(D4307,6)="CLIENT",IF(E4307=0,WORKDAY(A4307-1,1,Dias_Sem_Compensacao!$A$2:$A$500),WORKDAY(A4307,E4307,Dias_Sem_Compensacao!$A$2:$A$500)),"")</f>
        <v/>
      </c>
      <c r="H4307" s="25">
        <v>443.34</v>
      </c>
      <c r="I4307" s="28">
        <v>46316</v>
      </c>
      <c r="K4307" t="s">
        <v>3982</v>
      </c>
    </row>
    <row r="4308" spans="1:11" hidden="1">
      <c r="A4308" s="28">
        <v>46316</v>
      </c>
      <c r="B4308" t="s">
        <v>3523</v>
      </c>
      <c r="C4308" t="s">
        <v>151</v>
      </c>
      <c r="D4308" t="s">
        <v>3462</v>
      </c>
      <c r="E4308" t="str">
        <f>IF(LEFT(D4308,6)="CLIENT",IFERROR(VLOOKUP(C4308,Config_Carteiras!$A:$B,2,FALSE),1),"")</f>
        <v/>
      </c>
      <c r="F4308" s="25">
        <v>0</v>
      </c>
      <c r="G4308" s="28" t="str">
        <f>IF(LEFT(D4308,6)="CLIENT",IF(E4308=0,WORKDAY(A4308-1,1,Dias_Sem_Compensacao!$A$2:$A$500),WORKDAY(A4308,E4308,Dias_Sem_Compensacao!$A$2:$A$500)),"")</f>
        <v/>
      </c>
      <c r="H4308" s="25">
        <v>408.06</v>
      </c>
      <c r="I4308" s="28">
        <v>46316</v>
      </c>
      <c r="K4308" t="s">
        <v>3983</v>
      </c>
    </row>
    <row r="4309" spans="1:11" hidden="1">
      <c r="A4309" s="28">
        <v>46316</v>
      </c>
      <c r="B4309" t="s">
        <v>3523</v>
      </c>
      <c r="C4309" t="s">
        <v>151</v>
      </c>
      <c r="D4309" t="s">
        <v>3462</v>
      </c>
      <c r="E4309" t="str">
        <f>IF(LEFT(D4309,6)="CLIENT",IFERROR(VLOOKUP(C4309,Config_Carteiras!$A:$B,2,FALSE),1),"")</f>
        <v/>
      </c>
      <c r="F4309" s="25">
        <v>0</v>
      </c>
      <c r="G4309" s="28" t="str">
        <f>IF(LEFT(D4309,6)="CLIENT",IF(E4309=0,WORKDAY(A4309-1,1,Dias_Sem_Compensacao!$A$2:$A$500),WORKDAY(A4309,E4309,Dias_Sem_Compensacao!$A$2:$A$500)),"")</f>
        <v/>
      </c>
      <c r="H4309" s="25">
        <v>119.13</v>
      </c>
      <c r="I4309" s="28">
        <v>46316</v>
      </c>
      <c r="K4309" t="s">
        <v>3984</v>
      </c>
    </row>
    <row r="4310" spans="1:11" hidden="1">
      <c r="A4310" s="28">
        <v>46316</v>
      </c>
      <c r="B4310" t="s">
        <v>3523</v>
      </c>
      <c r="C4310" t="s">
        <v>151</v>
      </c>
      <c r="D4310" t="s">
        <v>3462</v>
      </c>
      <c r="E4310" t="str">
        <f>IF(LEFT(D4310,6)="CLIENT",IFERROR(VLOOKUP(C4310,Config_Carteiras!$A:$B,2,FALSE),1),"")</f>
        <v/>
      </c>
      <c r="F4310" s="25">
        <v>0</v>
      </c>
      <c r="G4310" s="28" t="str">
        <f>IF(LEFT(D4310,6)="CLIENT",IF(E4310=0,WORKDAY(A4310-1,1,Dias_Sem_Compensacao!$A$2:$A$500),WORKDAY(A4310,E4310,Dias_Sem_Compensacao!$A$2:$A$500)),"")</f>
        <v/>
      </c>
      <c r="H4310" s="25">
        <v>144.15</v>
      </c>
      <c r="I4310" s="28">
        <v>46316</v>
      </c>
      <c r="K4310" t="s">
        <v>3985</v>
      </c>
    </row>
    <row r="4311" spans="1:11" hidden="1">
      <c r="A4311" s="28">
        <v>46316</v>
      </c>
      <c r="B4311" t="s">
        <v>3523</v>
      </c>
      <c r="C4311" t="s">
        <v>151</v>
      </c>
      <c r="D4311" t="s">
        <v>3462</v>
      </c>
      <c r="E4311" t="str">
        <f>IF(LEFT(D4311,6)="CLIENT",IFERROR(VLOOKUP(C4311,Config_Carteiras!$A:$B,2,FALSE),1),"")</f>
        <v/>
      </c>
      <c r="F4311" s="25">
        <v>0</v>
      </c>
      <c r="G4311" s="28" t="str">
        <f>IF(LEFT(D4311,6)="CLIENT",IF(E4311=0,WORKDAY(A4311-1,1,Dias_Sem_Compensacao!$A$2:$A$500),WORKDAY(A4311,E4311,Dias_Sem_Compensacao!$A$2:$A$500)),"")</f>
        <v/>
      </c>
      <c r="H4311" s="25">
        <v>119.13</v>
      </c>
      <c r="I4311" s="28">
        <v>46316</v>
      </c>
      <c r="K4311" t="s">
        <v>3986</v>
      </c>
    </row>
    <row r="4312" spans="1:11" hidden="1">
      <c r="A4312" s="28">
        <v>46316</v>
      </c>
      <c r="B4312" t="s">
        <v>3523</v>
      </c>
      <c r="C4312" t="s">
        <v>151</v>
      </c>
      <c r="D4312" t="s">
        <v>3462</v>
      </c>
      <c r="E4312" t="str">
        <f>IF(LEFT(D4312,6)="CLIENT",IFERROR(VLOOKUP(C4312,Config_Carteiras!$A:$B,2,FALSE),1),"")</f>
        <v/>
      </c>
      <c r="F4312" s="25">
        <v>0</v>
      </c>
      <c r="G4312" s="28" t="str">
        <f>IF(LEFT(D4312,6)="CLIENT",IF(E4312=0,WORKDAY(A4312-1,1,Dias_Sem_Compensacao!$A$2:$A$500),WORKDAY(A4312,E4312,Dias_Sem_Compensacao!$A$2:$A$500)),"")</f>
        <v/>
      </c>
      <c r="H4312" s="25">
        <v>219.19</v>
      </c>
      <c r="I4312" s="28">
        <v>46316</v>
      </c>
      <c r="K4312" t="s">
        <v>3987</v>
      </c>
    </row>
    <row r="4313" spans="1:11" hidden="1">
      <c r="A4313" s="28">
        <v>46316</v>
      </c>
      <c r="B4313" t="s">
        <v>3523</v>
      </c>
      <c r="C4313" t="s">
        <v>151</v>
      </c>
      <c r="D4313" t="s">
        <v>3462</v>
      </c>
      <c r="E4313" t="str">
        <f>IF(LEFT(D4313,6)="CLIENT",IFERROR(VLOOKUP(C4313,Config_Carteiras!$A:$B,2,FALSE),1),"")</f>
        <v/>
      </c>
      <c r="F4313" s="25">
        <v>0</v>
      </c>
      <c r="G4313" s="28" t="str">
        <f>IF(LEFT(D4313,6)="CLIENT",IF(E4313=0,WORKDAY(A4313-1,1,Dias_Sem_Compensacao!$A$2:$A$500),WORKDAY(A4313,E4313,Dias_Sem_Compensacao!$A$2:$A$500)),"")</f>
        <v/>
      </c>
      <c r="H4313" s="25">
        <v>202.61</v>
      </c>
      <c r="I4313" s="28">
        <v>46316</v>
      </c>
      <c r="K4313" t="s">
        <v>3988</v>
      </c>
    </row>
    <row r="4314" spans="1:11" hidden="1">
      <c r="A4314" s="28">
        <v>46316</v>
      </c>
      <c r="B4314" t="s">
        <v>3523</v>
      </c>
      <c r="C4314" t="s">
        <v>151</v>
      </c>
      <c r="D4314" t="s">
        <v>3462</v>
      </c>
      <c r="E4314" t="str">
        <f>IF(LEFT(D4314,6)="CLIENT",IFERROR(VLOOKUP(C4314,Config_Carteiras!$A:$B,2,FALSE),1),"")</f>
        <v/>
      </c>
      <c r="F4314" s="25">
        <v>0</v>
      </c>
      <c r="G4314" s="28" t="str">
        <f>IF(LEFT(D4314,6)="CLIENT",IF(E4314=0,WORKDAY(A4314-1,1,Dias_Sem_Compensacao!$A$2:$A$500),WORKDAY(A4314,E4314,Dias_Sem_Compensacao!$A$2:$A$500)),"")</f>
        <v/>
      </c>
      <c r="H4314" s="25">
        <v>233.23</v>
      </c>
      <c r="I4314" s="28">
        <v>46316</v>
      </c>
      <c r="K4314" t="s">
        <v>3989</v>
      </c>
    </row>
    <row r="4315" spans="1:11" hidden="1">
      <c r="A4315" s="28">
        <v>46316</v>
      </c>
      <c r="B4315" t="s">
        <v>3523</v>
      </c>
      <c r="C4315" t="s">
        <v>151</v>
      </c>
      <c r="D4315" t="s">
        <v>3462</v>
      </c>
      <c r="E4315" t="str">
        <f>IF(LEFT(D4315,6)="CLIENT",IFERROR(VLOOKUP(C4315,Config_Carteiras!$A:$B,2,FALSE),1),"")</f>
        <v/>
      </c>
      <c r="F4315" s="25">
        <v>0</v>
      </c>
      <c r="G4315" s="28" t="str">
        <f>IF(LEFT(D4315,6)="CLIENT",IF(E4315=0,WORKDAY(A4315-1,1,Dias_Sem_Compensacao!$A$2:$A$500),WORKDAY(A4315,E4315,Dias_Sem_Compensacao!$A$2:$A$500)),"")</f>
        <v/>
      </c>
      <c r="H4315" s="25">
        <v>232.26</v>
      </c>
      <c r="I4315" s="28">
        <v>46316</v>
      </c>
      <c r="K4315" t="s">
        <v>3990</v>
      </c>
    </row>
    <row r="4316" spans="1:11" hidden="1">
      <c r="A4316" s="28">
        <v>46316</v>
      </c>
      <c r="B4316" t="s">
        <v>3523</v>
      </c>
      <c r="C4316" t="s">
        <v>151</v>
      </c>
      <c r="D4316" t="s">
        <v>3462</v>
      </c>
      <c r="E4316" t="str">
        <f>IF(LEFT(D4316,6)="CLIENT",IFERROR(VLOOKUP(C4316,Config_Carteiras!$A:$B,2,FALSE),1),"")</f>
        <v/>
      </c>
      <c r="F4316" s="25">
        <v>0</v>
      </c>
      <c r="G4316" s="28" t="str">
        <f>IF(LEFT(D4316,6)="CLIENT",IF(E4316=0,WORKDAY(A4316-1,1,Dias_Sem_Compensacao!$A$2:$A$500),WORKDAY(A4316,E4316,Dias_Sem_Compensacao!$A$2:$A$500)),"")</f>
        <v/>
      </c>
      <c r="H4316" s="25">
        <v>806.18</v>
      </c>
      <c r="I4316" s="28">
        <v>46316</v>
      </c>
      <c r="K4316" t="s">
        <v>3991</v>
      </c>
    </row>
    <row r="4317" spans="1:11" hidden="1">
      <c r="A4317" s="28">
        <v>46316</v>
      </c>
      <c r="B4317" t="s">
        <v>3523</v>
      </c>
      <c r="C4317" t="s">
        <v>151</v>
      </c>
      <c r="D4317" t="s">
        <v>3462</v>
      </c>
      <c r="E4317" t="str">
        <f>IF(LEFT(D4317,6)="CLIENT",IFERROR(VLOOKUP(C4317,Config_Carteiras!$A:$B,2,FALSE),1),"")</f>
        <v/>
      </c>
      <c r="F4317" s="25">
        <v>0</v>
      </c>
      <c r="G4317" s="28" t="str">
        <f>IF(LEFT(D4317,6)="CLIENT",IF(E4317=0,WORKDAY(A4317-1,1,Dias_Sem_Compensacao!$A$2:$A$500),WORKDAY(A4317,E4317,Dias_Sem_Compensacao!$A$2:$A$500)),"")</f>
        <v/>
      </c>
      <c r="H4317" s="25">
        <v>764.61</v>
      </c>
      <c r="I4317" s="28">
        <v>46316</v>
      </c>
      <c r="K4317" t="s">
        <v>3992</v>
      </c>
    </row>
    <row r="4318" spans="1:11" hidden="1">
      <c r="A4318" s="28">
        <v>46316</v>
      </c>
      <c r="B4318" t="s">
        <v>3523</v>
      </c>
      <c r="C4318" t="s">
        <v>151</v>
      </c>
      <c r="D4318" t="s">
        <v>3462</v>
      </c>
      <c r="E4318" t="str">
        <f>IF(LEFT(D4318,6)="CLIENT",IFERROR(VLOOKUP(C4318,Config_Carteiras!$A:$B,2,FALSE),1),"")</f>
        <v/>
      </c>
      <c r="F4318" s="25">
        <v>0</v>
      </c>
      <c r="G4318" s="28" t="str">
        <f>IF(LEFT(D4318,6)="CLIENT",IF(E4318=0,WORKDAY(A4318-1,1,Dias_Sem_Compensacao!$A$2:$A$500),WORKDAY(A4318,E4318,Dias_Sem_Compensacao!$A$2:$A$500)),"")</f>
        <v/>
      </c>
      <c r="H4318" s="25">
        <v>175.42</v>
      </c>
      <c r="I4318" s="28">
        <v>46316</v>
      </c>
      <c r="K4318" t="s">
        <v>3993</v>
      </c>
    </row>
    <row r="4319" spans="1:11" hidden="1">
      <c r="A4319" s="28">
        <v>46316</v>
      </c>
      <c r="B4319" t="s">
        <v>3523</v>
      </c>
      <c r="C4319" t="s">
        <v>151</v>
      </c>
      <c r="D4319" t="s">
        <v>3462</v>
      </c>
      <c r="E4319" t="str">
        <f>IF(LEFT(D4319,6)="CLIENT",IFERROR(VLOOKUP(C4319,Config_Carteiras!$A:$B,2,FALSE),1),"")</f>
        <v/>
      </c>
      <c r="F4319" s="25">
        <v>0</v>
      </c>
      <c r="G4319" s="28" t="str">
        <f>IF(LEFT(D4319,6)="CLIENT",IF(E4319=0,WORKDAY(A4319-1,1,Dias_Sem_Compensacao!$A$2:$A$500),WORKDAY(A4319,E4319,Dias_Sem_Compensacao!$A$2:$A$500)),"")</f>
        <v/>
      </c>
      <c r="H4319" s="25">
        <v>69.069999999999993</v>
      </c>
      <c r="I4319" s="28">
        <v>46316</v>
      </c>
      <c r="K4319" t="s">
        <v>3994</v>
      </c>
    </row>
    <row r="4320" spans="1:11" hidden="1">
      <c r="A4320" s="28">
        <v>46316</v>
      </c>
      <c r="B4320" t="s">
        <v>3523</v>
      </c>
      <c r="C4320" t="s">
        <v>151</v>
      </c>
      <c r="D4320" t="s">
        <v>3462</v>
      </c>
      <c r="E4320" t="str">
        <f>IF(LEFT(D4320,6)="CLIENT",IFERROR(VLOOKUP(C4320,Config_Carteiras!$A:$B,2,FALSE),1),"")</f>
        <v/>
      </c>
      <c r="F4320" s="25">
        <v>0</v>
      </c>
      <c r="G4320" s="28" t="str">
        <f>IF(LEFT(D4320,6)="CLIENT",IF(E4320=0,WORKDAY(A4320-1,1,Dias_Sem_Compensacao!$A$2:$A$500),WORKDAY(A4320,E4320,Dias_Sem_Compensacao!$A$2:$A$500)),"")</f>
        <v/>
      </c>
      <c r="H4320" s="25">
        <v>210.6</v>
      </c>
      <c r="I4320" s="28">
        <v>46316</v>
      </c>
      <c r="K4320" t="s">
        <v>3995</v>
      </c>
    </row>
    <row r="4321" spans="1:11" hidden="1">
      <c r="A4321" s="28">
        <v>46316</v>
      </c>
      <c r="B4321" t="s">
        <v>3523</v>
      </c>
      <c r="C4321" t="s">
        <v>151</v>
      </c>
      <c r="D4321" t="s">
        <v>3462</v>
      </c>
      <c r="E4321" t="str">
        <f>IF(LEFT(D4321,6)="CLIENT",IFERROR(VLOOKUP(C4321,Config_Carteiras!$A:$B,2,FALSE),1),"")</f>
        <v/>
      </c>
      <c r="F4321" s="25">
        <v>0</v>
      </c>
      <c r="G4321" s="28" t="str">
        <f>IF(LEFT(D4321,6)="CLIENT",IF(E4321=0,WORKDAY(A4321-1,1,Dias_Sem_Compensacao!$A$2:$A$500),WORKDAY(A4321,E4321,Dias_Sem_Compensacao!$A$2:$A$500)),"")</f>
        <v/>
      </c>
      <c r="H4321" s="25">
        <v>254.6</v>
      </c>
      <c r="I4321" s="28">
        <v>46316</v>
      </c>
      <c r="K4321" t="s">
        <v>3996</v>
      </c>
    </row>
    <row r="4322" spans="1:11" hidden="1">
      <c r="A4322" s="28">
        <v>46316</v>
      </c>
      <c r="B4322" t="s">
        <v>3523</v>
      </c>
      <c r="C4322" t="s">
        <v>151</v>
      </c>
      <c r="D4322" t="s">
        <v>3462</v>
      </c>
      <c r="E4322" t="str">
        <f>IF(LEFT(D4322,6)="CLIENT",IFERROR(VLOOKUP(C4322,Config_Carteiras!$A:$B,2,FALSE),1),"")</f>
        <v/>
      </c>
      <c r="F4322" s="25">
        <v>0</v>
      </c>
      <c r="G4322" s="28" t="str">
        <f>IF(LEFT(D4322,6)="CLIENT",IF(E4322=0,WORKDAY(A4322-1,1,Dias_Sem_Compensacao!$A$2:$A$500),WORKDAY(A4322,E4322,Dias_Sem_Compensacao!$A$2:$A$500)),"")</f>
        <v/>
      </c>
      <c r="H4322" s="25">
        <v>556</v>
      </c>
      <c r="I4322" s="28">
        <v>46316</v>
      </c>
      <c r="J4322" t="s">
        <v>3997</v>
      </c>
      <c r="K4322" t="s">
        <v>3998</v>
      </c>
    </row>
    <row r="4323" spans="1:11" hidden="1">
      <c r="A4323" s="28">
        <v>46316</v>
      </c>
      <c r="B4323" t="s">
        <v>3523</v>
      </c>
      <c r="C4323" t="s">
        <v>151</v>
      </c>
      <c r="D4323" t="s">
        <v>3462</v>
      </c>
      <c r="E4323" t="str">
        <f>IF(LEFT(D4323,6)="CLIENT",IFERROR(VLOOKUP(C4323,Config_Carteiras!$A:$B,2,FALSE),1),"")</f>
        <v/>
      </c>
      <c r="F4323" s="25">
        <v>0</v>
      </c>
      <c r="G4323" s="28" t="str">
        <f>IF(LEFT(D4323,6)="CLIENT",IF(E4323=0,WORKDAY(A4323-1,1,Dias_Sem_Compensacao!$A$2:$A$500),WORKDAY(A4323,E4323,Dias_Sem_Compensacao!$A$2:$A$500)),"")</f>
        <v/>
      </c>
      <c r="H4323" s="25">
        <v>684.4</v>
      </c>
      <c r="I4323" s="28">
        <v>46316</v>
      </c>
      <c r="J4323" t="s">
        <v>3999</v>
      </c>
      <c r="K4323" t="s">
        <v>4000</v>
      </c>
    </row>
    <row r="4324" spans="1:11" hidden="1">
      <c r="A4324" s="28">
        <v>46316</v>
      </c>
      <c r="B4324" t="s">
        <v>3523</v>
      </c>
      <c r="C4324" t="s">
        <v>151</v>
      </c>
      <c r="D4324" t="s">
        <v>3462</v>
      </c>
      <c r="E4324" t="str">
        <f>IF(LEFT(D4324,6)="CLIENT",IFERROR(VLOOKUP(C4324,Config_Carteiras!$A:$B,2,FALSE),1),"")</f>
        <v/>
      </c>
      <c r="F4324" s="25">
        <v>0</v>
      </c>
      <c r="G4324" s="28" t="str">
        <f>IF(LEFT(D4324,6)="CLIENT",IF(E4324=0,WORKDAY(A4324-1,1,Dias_Sem_Compensacao!$A$2:$A$500),WORKDAY(A4324,E4324,Dias_Sem_Compensacao!$A$2:$A$500)),"")</f>
        <v/>
      </c>
      <c r="H4324" s="25">
        <v>293.14999999999998</v>
      </c>
      <c r="I4324" s="28">
        <v>46316</v>
      </c>
      <c r="J4324" t="s">
        <v>3720</v>
      </c>
      <c r="K4324" t="s">
        <v>4001</v>
      </c>
    </row>
    <row r="4325" spans="1:11" hidden="1">
      <c r="A4325" s="28">
        <v>46316</v>
      </c>
      <c r="B4325" t="s">
        <v>3523</v>
      </c>
      <c r="C4325" t="s">
        <v>151</v>
      </c>
      <c r="D4325" t="s">
        <v>3462</v>
      </c>
      <c r="E4325" t="str">
        <f>IF(LEFT(D4325,6)="CLIENT",IFERROR(VLOOKUP(C4325,Config_Carteiras!$A:$B,2,FALSE),1),"")</f>
        <v/>
      </c>
      <c r="F4325" s="25">
        <v>0</v>
      </c>
      <c r="G4325" s="28" t="str">
        <f>IF(LEFT(D4325,6)="CLIENT",IF(E4325=0,WORKDAY(A4325-1,1,Dias_Sem_Compensacao!$A$2:$A$500),WORKDAY(A4325,E4325,Dias_Sem_Compensacao!$A$2:$A$500)),"")</f>
        <v/>
      </c>
      <c r="H4325" s="25">
        <v>203.08</v>
      </c>
      <c r="I4325" s="28">
        <v>46316</v>
      </c>
      <c r="K4325" t="s">
        <v>4002</v>
      </c>
    </row>
    <row r="4326" spans="1:11" hidden="1">
      <c r="A4326" s="28">
        <v>46316</v>
      </c>
      <c r="B4326" t="s">
        <v>3523</v>
      </c>
      <c r="C4326" t="s">
        <v>151</v>
      </c>
      <c r="D4326" t="s">
        <v>3462</v>
      </c>
      <c r="E4326" t="str">
        <f>IF(LEFT(D4326,6)="CLIENT",IFERROR(VLOOKUP(C4326,Config_Carteiras!$A:$B,2,FALSE),1),"")</f>
        <v/>
      </c>
      <c r="F4326" s="25">
        <v>0</v>
      </c>
      <c r="G4326" s="28" t="str">
        <f>IF(LEFT(D4326,6)="CLIENT",IF(E4326=0,WORKDAY(A4326-1,1,Dias_Sem_Compensacao!$A$2:$A$500),WORKDAY(A4326,E4326,Dias_Sem_Compensacao!$A$2:$A$500)),"")</f>
        <v/>
      </c>
      <c r="H4326" s="25">
        <v>5467.3</v>
      </c>
      <c r="I4326" s="28">
        <v>46316</v>
      </c>
      <c r="J4326" t="s">
        <v>3607</v>
      </c>
      <c r="K4326" t="s">
        <v>4003</v>
      </c>
    </row>
    <row r="4327" spans="1:11" hidden="1">
      <c r="A4327" s="28">
        <v>46316</v>
      </c>
      <c r="B4327" t="s">
        <v>3523</v>
      </c>
      <c r="C4327" t="s">
        <v>151</v>
      </c>
      <c r="D4327" t="s">
        <v>3462</v>
      </c>
      <c r="E4327" t="str">
        <f>IF(LEFT(D4327,6)="CLIENT",IFERROR(VLOOKUP(C4327,Config_Carteiras!$A:$B,2,FALSE),1),"")</f>
        <v/>
      </c>
      <c r="F4327" s="25">
        <v>0</v>
      </c>
      <c r="G4327" s="28" t="str">
        <f>IF(LEFT(D4327,6)="CLIENT",IF(E4327=0,WORKDAY(A4327-1,1,Dias_Sem_Compensacao!$A$2:$A$500),WORKDAY(A4327,E4327,Dias_Sem_Compensacao!$A$2:$A$500)),"")</f>
        <v/>
      </c>
      <c r="H4327" s="25">
        <v>691.72</v>
      </c>
      <c r="I4327" s="28">
        <v>46316</v>
      </c>
      <c r="J4327" t="s">
        <v>103</v>
      </c>
      <c r="K4327" t="s">
        <v>4004</v>
      </c>
    </row>
    <row r="4328" spans="1:11" hidden="1">
      <c r="A4328" s="28">
        <v>46316</v>
      </c>
      <c r="B4328" t="s">
        <v>3523</v>
      </c>
      <c r="C4328" t="s">
        <v>151</v>
      </c>
      <c r="D4328" t="s">
        <v>3462</v>
      </c>
      <c r="E4328" t="str">
        <f>IF(LEFT(D4328,6)="CLIENT",IFERROR(VLOOKUP(C4328,Config_Carteiras!$A:$B,2,FALSE),1),"")</f>
        <v/>
      </c>
      <c r="F4328" s="25">
        <v>0</v>
      </c>
      <c r="G4328" s="28" t="str">
        <f>IF(LEFT(D4328,6)="CLIENT",IF(E4328=0,WORKDAY(A4328-1,1,Dias_Sem_Compensacao!$A$2:$A$500),WORKDAY(A4328,E4328,Dias_Sem_Compensacao!$A$2:$A$500)),"")</f>
        <v/>
      </c>
      <c r="H4328" s="25">
        <v>710.85</v>
      </c>
      <c r="I4328" s="28">
        <v>46316</v>
      </c>
      <c r="K4328" t="s">
        <v>4005</v>
      </c>
    </row>
    <row r="4329" spans="1:11" hidden="1">
      <c r="A4329" s="28">
        <v>46316</v>
      </c>
      <c r="B4329" t="s">
        <v>3523</v>
      </c>
      <c r="C4329" t="s">
        <v>151</v>
      </c>
      <c r="D4329" t="s">
        <v>3462</v>
      </c>
      <c r="E4329" t="str">
        <f>IF(LEFT(D4329,6)="CLIENT",IFERROR(VLOOKUP(C4329,Config_Carteiras!$A:$B,2,FALSE),1),"")</f>
        <v/>
      </c>
      <c r="F4329" s="25">
        <v>0</v>
      </c>
      <c r="G4329" s="28" t="str">
        <f>IF(LEFT(D4329,6)="CLIENT",IF(E4329=0,WORKDAY(A4329-1,1,Dias_Sem_Compensacao!$A$2:$A$500),WORKDAY(A4329,E4329,Dias_Sem_Compensacao!$A$2:$A$500)),"")</f>
        <v/>
      </c>
      <c r="H4329" s="25">
        <v>1091.02</v>
      </c>
      <c r="I4329" s="28">
        <v>46316</v>
      </c>
      <c r="K4329" t="s">
        <v>4006</v>
      </c>
    </row>
    <row r="4330" spans="1:11" hidden="1">
      <c r="A4330" s="28">
        <v>46316</v>
      </c>
      <c r="B4330" t="s">
        <v>3523</v>
      </c>
      <c r="C4330" t="s">
        <v>151</v>
      </c>
      <c r="D4330" t="s">
        <v>3462</v>
      </c>
      <c r="E4330" t="str">
        <f>IF(LEFT(D4330,6)="CLIENT",IFERROR(VLOOKUP(C4330,Config_Carteiras!$A:$B,2,FALSE),1),"")</f>
        <v/>
      </c>
      <c r="F4330" s="25">
        <v>0</v>
      </c>
      <c r="G4330" s="28" t="str">
        <f>IF(LEFT(D4330,6)="CLIENT",IF(E4330=0,WORKDAY(A4330-1,1,Dias_Sem_Compensacao!$A$2:$A$500),WORKDAY(A4330,E4330,Dias_Sem_Compensacao!$A$2:$A$500)),"")</f>
        <v/>
      </c>
      <c r="H4330" s="25">
        <v>641.23</v>
      </c>
      <c r="I4330" s="28">
        <v>46316</v>
      </c>
      <c r="K4330" t="s">
        <v>4007</v>
      </c>
    </row>
    <row r="4331" spans="1:11" hidden="1">
      <c r="A4331" s="28">
        <v>46316</v>
      </c>
      <c r="B4331" t="s">
        <v>3523</v>
      </c>
      <c r="C4331" t="s">
        <v>151</v>
      </c>
      <c r="D4331" t="s">
        <v>3462</v>
      </c>
      <c r="E4331" t="str">
        <f>IF(LEFT(D4331,6)="CLIENT",IFERROR(VLOOKUP(C4331,Config_Carteiras!$A:$B,2,FALSE),1),"")</f>
        <v/>
      </c>
      <c r="F4331" s="25">
        <v>0</v>
      </c>
      <c r="G4331" s="28" t="str">
        <f>IF(LEFT(D4331,6)="CLIENT",IF(E4331=0,WORKDAY(A4331-1,1,Dias_Sem_Compensacao!$A$2:$A$500),WORKDAY(A4331,E4331,Dias_Sem_Compensacao!$A$2:$A$500)),"")</f>
        <v/>
      </c>
      <c r="H4331" s="25">
        <v>4025.57</v>
      </c>
      <c r="I4331" s="28">
        <v>46316</v>
      </c>
      <c r="K4331" t="s">
        <v>4008</v>
      </c>
    </row>
    <row r="4332" spans="1:11" hidden="1">
      <c r="A4332" s="28">
        <v>46316</v>
      </c>
      <c r="B4332" t="s">
        <v>3523</v>
      </c>
      <c r="C4332" t="s">
        <v>151</v>
      </c>
      <c r="D4332" t="s">
        <v>3462</v>
      </c>
      <c r="E4332" t="str">
        <f>IF(LEFT(D4332,6)="CLIENT",IFERROR(VLOOKUP(C4332,Config_Carteiras!$A:$B,2,FALSE),1),"")</f>
        <v/>
      </c>
      <c r="F4332" s="25">
        <v>0</v>
      </c>
      <c r="G4332" s="28" t="str">
        <f>IF(LEFT(D4332,6)="CLIENT",IF(E4332=0,WORKDAY(A4332-1,1,Dias_Sem_Compensacao!$A$2:$A$500),WORKDAY(A4332,E4332,Dias_Sem_Compensacao!$A$2:$A$500)),"")</f>
        <v/>
      </c>
      <c r="H4332" s="25">
        <v>1569.68</v>
      </c>
      <c r="I4332" s="28">
        <v>46316</v>
      </c>
      <c r="J4332" t="s">
        <v>3574</v>
      </c>
      <c r="K4332" t="s">
        <v>4009</v>
      </c>
    </row>
    <row r="4333" spans="1:11" hidden="1">
      <c r="A4333" s="28">
        <v>46316</v>
      </c>
      <c r="B4333" t="s">
        <v>3523</v>
      </c>
      <c r="C4333" t="s">
        <v>151</v>
      </c>
      <c r="D4333" t="s">
        <v>3462</v>
      </c>
      <c r="E4333" t="str">
        <f>IF(LEFT(D4333,6)="CLIENT",IFERROR(VLOOKUP(C4333,Config_Carteiras!$A:$B,2,FALSE),1),"")</f>
        <v/>
      </c>
      <c r="F4333" s="25">
        <v>0</v>
      </c>
      <c r="G4333" s="28" t="str">
        <f>IF(LEFT(D4333,6)="CLIENT",IF(E4333=0,WORKDAY(A4333-1,1,Dias_Sem_Compensacao!$A$2:$A$500),WORKDAY(A4333,E4333,Dias_Sem_Compensacao!$A$2:$A$500)),"")</f>
        <v/>
      </c>
      <c r="H4333" s="25">
        <v>3870.32</v>
      </c>
      <c r="I4333" s="28">
        <v>46316</v>
      </c>
      <c r="K4333" t="s">
        <v>4010</v>
      </c>
    </row>
    <row r="4334" spans="1:11" hidden="1">
      <c r="A4334" s="28">
        <v>46316</v>
      </c>
      <c r="B4334" t="s">
        <v>3523</v>
      </c>
      <c r="C4334" t="s">
        <v>151</v>
      </c>
      <c r="D4334" t="s">
        <v>3462</v>
      </c>
      <c r="E4334" t="str">
        <f>IF(LEFT(D4334,6)="CLIENT",IFERROR(VLOOKUP(C4334,Config_Carteiras!$A:$B,2,FALSE),1),"")</f>
        <v/>
      </c>
      <c r="F4334" s="25">
        <v>0</v>
      </c>
      <c r="G4334" s="28" t="str">
        <f>IF(LEFT(D4334,6)="CLIENT",IF(E4334=0,WORKDAY(A4334-1,1,Dias_Sem_Compensacao!$A$2:$A$500),WORKDAY(A4334,E4334,Dias_Sem_Compensacao!$A$2:$A$500)),"")</f>
        <v/>
      </c>
      <c r="H4334" s="25">
        <v>823.58</v>
      </c>
      <c r="I4334" s="28">
        <v>46316</v>
      </c>
      <c r="K4334" t="s">
        <v>4011</v>
      </c>
    </row>
    <row r="4335" spans="1:11" hidden="1">
      <c r="A4335" s="28">
        <v>46316</v>
      </c>
      <c r="B4335" t="s">
        <v>3523</v>
      </c>
      <c r="C4335" t="s">
        <v>151</v>
      </c>
      <c r="D4335" t="s">
        <v>3462</v>
      </c>
      <c r="E4335" t="str">
        <f>IF(LEFT(D4335,6)="CLIENT",IFERROR(VLOOKUP(C4335,Config_Carteiras!$A:$B,2,FALSE),1),"")</f>
        <v/>
      </c>
      <c r="F4335" s="25">
        <v>0</v>
      </c>
      <c r="G4335" s="28" t="str">
        <f>IF(LEFT(D4335,6)="CLIENT",IF(E4335=0,WORKDAY(A4335-1,1,Dias_Sem_Compensacao!$A$2:$A$500),WORKDAY(A4335,E4335,Dias_Sem_Compensacao!$A$2:$A$500)),"")</f>
        <v/>
      </c>
      <c r="H4335" s="25">
        <v>506.89</v>
      </c>
      <c r="I4335" s="28">
        <v>46316</v>
      </c>
      <c r="K4335" t="s">
        <v>4012</v>
      </c>
    </row>
    <row r="4336" spans="1:11" hidden="1">
      <c r="A4336" s="28">
        <v>46316</v>
      </c>
      <c r="B4336" t="s">
        <v>3523</v>
      </c>
      <c r="C4336" t="s">
        <v>151</v>
      </c>
      <c r="D4336" t="s">
        <v>3462</v>
      </c>
      <c r="E4336" t="str">
        <f>IF(LEFT(D4336,6)="CLIENT",IFERROR(VLOOKUP(C4336,Config_Carteiras!$A:$B,2,FALSE),1),"")</f>
        <v/>
      </c>
      <c r="F4336" s="25">
        <v>0</v>
      </c>
      <c r="G4336" s="28" t="str">
        <f>IF(LEFT(D4336,6)="CLIENT",IF(E4336=0,WORKDAY(A4336-1,1,Dias_Sem_Compensacao!$A$2:$A$500),WORKDAY(A4336,E4336,Dias_Sem_Compensacao!$A$2:$A$500)),"")</f>
        <v/>
      </c>
      <c r="H4336" s="25">
        <v>289.92</v>
      </c>
      <c r="I4336" s="28">
        <v>46316</v>
      </c>
      <c r="K4336" t="s">
        <v>4013</v>
      </c>
    </row>
    <row r="4337" spans="1:11" hidden="1">
      <c r="A4337" s="28">
        <v>46316</v>
      </c>
      <c r="B4337" t="s">
        <v>3523</v>
      </c>
      <c r="C4337" t="s">
        <v>151</v>
      </c>
      <c r="D4337" t="s">
        <v>3462</v>
      </c>
      <c r="E4337" t="str">
        <f>IF(LEFT(D4337,6)="CLIENT",IFERROR(VLOOKUP(C4337,Config_Carteiras!$A:$B,2,FALSE),1),"")</f>
        <v/>
      </c>
      <c r="F4337" s="25">
        <v>0</v>
      </c>
      <c r="G4337" s="28" t="str">
        <f>IF(LEFT(D4337,6)="CLIENT",IF(E4337=0,WORKDAY(A4337-1,1,Dias_Sem_Compensacao!$A$2:$A$500),WORKDAY(A4337,E4337,Dias_Sem_Compensacao!$A$2:$A$500)),"")</f>
        <v/>
      </c>
      <c r="H4337" s="25">
        <v>446.38</v>
      </c>
      <c r="I4337" s="28">
        <v>46316</v>
      </c>
      <c r="K4337" t="s">
        <v>4014</v>
      </c>
    </row>
    <row r="4338" spans="1:11" hidden="1">
      <c r="A4338" s="28">
        <v>46316</v>
      </c>
      <c r="B4338" t="s">
        <v>3523</v>
      </c>
      <c r="C4338" t="s">
        <v>151</v>
      </c>
      <c r="D4338" t="s">
        <v>3462</v>
      </c>
      <c r="E4338" t="str">
        <f>IF(LEFT(D4338,6)="CLIENT",IFERROR(VLOOKUP(C4338,Config_Carteiras!$A:$B,2,FALSE),1),"")</f>
        <v/>
      </c>
      <c r="F4338" s="25">
        <v>0</v>
      </c>
      <c r="G4338" s="28" t="str">
        <f>IF(LEFT(D4338,6)="CLIENT",IF(E4338=0,WORKDAY(A4338-1,1,Dias_Sem_Compensacao!$A$2:$A$500),WORKDAY(A4338,E4338,Dias_Sem_Compensacao!$A$2:$A$500)),"")</f>
        <v/>
      </c>
      <c r="H4338" s="25">
        <v>76.069999999999993</v>
      </c>
      <c r="I4338" s="28">
        <v>46316</v>
      </c>
      <c r="K4338" t="s">
        <v>4015</v>
      </c>
    </row>
    <row r="4339" spans="1:11" hidden="1">
      <c r="A4339" s="28">
        <v>46316</v>
      </c>
      <c r="B4339" t="s">
        <v>3523</v>
      </c>
      <c r="C4339" t="s">
        <v>151</v>
      </c>
      <c r="D4339" t="s">
        <v>3462</v>
      </c>
      <c r="E4339" t="str">
        <f>IF(LEFT(D4339,6)="CLIENT",IFERROR(VLOOKUP(C4339,Config_Carteiras!$A:$B,2,FALSE),1),"")</f>
        <v/>
      </c>
      <c r="F4339" s="25">
        <v>0</v>
      </c>
      <c r="G4339" s="28" t="str">
        <f>IF(LEFT(D4339,6)="CLIENT",IF(E4339=0,WORKDAY(A4339-1,1,Dias_Sem_Compensacao!$A$2:$A$500),WORKDAY(A4339,E4339,Dias_Sem_Compensacao!$A$2:$A$500)),"")</f>
        <v/>
      </c>
      <c r="H4339" s="25">
        <v>75.03</v>
      </c>
      <c r="I4339" s="28">
        <v>46316</v>
      </c>
      <c r="K4339" t="s">
        <v>4016</v>
      </c>
    </row>
    <row r="4340" spans="1:11" hidden="1">
      <c r="A4340" s="28">
        <v>46316</v>
      </c>
      <c r="B4340" t="s">
        <v>3523</v>
      </c>
      <c r="C4340" t="s">
        <v>151</v>
      </c>
      <c r="D4340" t="s">
        <v>3462</v>
      </c>
      <c r="E4340" t="str">
        <f>IF(LEFT(D4340,6)="CLIENT",IFERROR(VLOOKUP(C4340,Config_Carteiras!$A:$B,2,FALSE),1),"")</f>
        <v/>
      </c>
      <c r="F4340" s="25">
        <v>0</v>
      </c>
      <c r="G4340" s="28" t="str">
        <f>IF(LEFT(D4340,6)="CLIENT",IF(E4340=0,WORKDAY(A4340-1,1,Dias_Sem_Compensacao!$A$2:$A$500),WORKDAY(A4340,E4340,Dias_Sem_Compensacao!$A$2:$A$500)),"")</f>
        <v/>
      </c>
      <c r="H4340" s="25">
        <v>354.64</v>
      </c>
      <c r="I4340" s="28">
        <v>46316</v>
      </c>
      <c r="K4340" t="s">
        <v>4017</v>
      </c>
    </row>
    <row r="4341" spans="1:11" hidden="1">
      <c r="A4341" s="28">
        <v>46316</v>
      </c>
      <c r="B4341" t="s">
        <v>3523</v>
      </c>
      <c r="C4341" t="s">
        <v>151</v>
      </c>
      <c r="D4341" t="s">
        <v>3462</v>
      </c>
      <c r="E4341" t="str">
        <f>IF(LEFT(D4341,6)="CLIENT",IFERROR(VLOOKUP(C4341,Config_Carteiras!$A:$B,2,FALSE),1),"")</f>
        <v/>
      </c>
      <c r="F4341" s="25">
        <v>0</v>
      </c>
      <c r="G4341" s="28" t="str">
        <f>IF(LEFT(D4341,6)="CLIENT",IF(E4341=0,WORKDAY(A4341-1,1,Dias_Sem_Compensacao!$A$2:$A$500),WORKDAY(A4341,E4341,Dias_Sem_Compensacao!$A$2:$A$500)),"")</f>
        <v/>
      </c>
      <c r="H4341" s="25">
        <v>90.88</v>
      </c>
      <c r="I4341" s="28">
        <v>46316</v>
      </c>
      <c r="K4341" t="s">
        <v>4018</v>
      </c>
    </row>
    <row r="4342" spans="1:11" hidden="1">
      <c r="A4342" s="28">
        <v>46316</v>
      </c>
      <c r="B4342" t="s">
        <v>3523</v>
      </c>
      <c r="C4342" t="s">
        <v>151</v>
      </c>
      <c r="D4342" t="s">
        <v>3462</v>
      </c>
      <c r="E4342" t="str">
        <f>IF(LEFT(D4342,6)="CLIENT",IFERROR(VLOOKUP(C4342,Config_Carteiras!$A:$B,2,FALSE),1),"")</f>
        <v/>
      </c>
      <c r="F4342" s="25">
        <v>0</v>
      </c>
      <c r="G4342" s="28" t="str">
        <f>IF(LEFT(D4342,6)="CLIENT",IF(E4342=0,WORKDAY(A4342-1,1,Dias_Sem_Compensacao!$A$2:$A$500),WORKDAY(A4342,E4342,Dias_Sem_Compensacao!$A$2:$A$500)),"")</f>
        <v/>
      </c>
      <c r="H4342" s="25">
        <v>456.64</v>
      </c>
      <c r="I4342" s="28">
        <v>46316</v>
      </c>
      <c r="K4342" t="s">
        <v>4019</v>
      </c>
    </row>
    <row r="4343" spans="1:11" hidden="1">
      <c r="A4343" s="28">
        <v>46316</v>
      </c>
      <c r="B4343" t="s">
        <v>3523</v>
      </c>
      <c r="C4343" t="s">
        <v>151</v>
      </c>
      <c r="D4343" t="s">
        <v>3462</v>
      </c>
      <c r="E4343" t="str">
        <f>IF(LEFT(D4343,6)="CLIENT",IFERROR(VLOOKUP(C4343,Config_Carteiras!$A:$B,2,FALSE),1),"")</f>
        <v/>
      </c>
      <c r="F4343" s="25">
        <v>0</v>
      </c>
      <c r="G4343" s="28" t="str">
        <f>IF(LEFT(D4343,6)="CLIENT",IF(E4343=0,WORKDAY(A4343-1,1,Dias_Sem_Compensacao!$A$2:$A$500),WORKDAY(A4343,E4343,Dias_Sem_Compensacao!$A$2:$A$500)),"")</f>
        <v/>
      </c>
      <c r="H4343" s="25">
        <v>88.53</v>
      </c>
      <c r="I4343" s="28">
        <v>46316</v>
      </c>
      <c r="K4343" t="s">
        <v>4020</v>
      </c>
    </row>
    <row r="4344" spans="1:11" hidden="1">
      <c r="A4344" s="28">
        <v>46316</v>
      </c>
      <c r="B4344" t="s">
        <v>3523</v>
      </c>
      <c r="C4344" t="s">
        <v>151</v>
      </c>
      <c r="D4344" t="s">
        <v>3462</v>
      </c>
      <c r="E4344" t="str">
        <f>IF(LEFT(D4344,6)="CLIENT",IFERROR(VLOOKUP(C4344,Config_Carteiras!$A:$B,2,FALSE),1),"")</f>
        <v/>
      </c>
      <c r="F4344" s="25">
        <v>0</v>
      </c>
      <c r="G4344" s="28" t="str">
        <f>IF(LEFT(D4344,6)="CLIENT",IF(E4344=0,WORKDAY(A4344-1,1,Dias_Sem_Compensacao!$A$2:$A$500),WORKDAY(A4344,E4344,Dias_Sem_Compensacao!$A$2:$A$500)),"")</f>
        <v/>
      </c>
      <c r="H4344" s="25">
        <v>239</v>
      </c>
      <c r="I4344" s="28">
        <v>46316</v>
      </c>
      <c r="K4344" t="s">
        <v>4021</v>
      </c>
    </row>
    <row r="4345" spans="1:11" hidden="1">
      <c r="A4345" s="28">
        <v>46316</v>
      </c>
      <c r="B4345" t="s">
        <v>3523</v>
      </c>
      <c r="C4345" t="s">
        <v>151</v>
      </c>
      <c r="D4345" t="s">
        <v>3462</v>
      </c>
      <c r="E4345" t="str">
        <f>IF(LEFT(D4345,6)="CLIENT",IFERROR(VLOOKUP(C4345,Config_Carteiras!$A:$B,2,FALSE),1),"")</f>
        <v/>
      </c>
      <c r="F4345" s="25">
        <v>0</v>
      </c>
      <c r="G4345" s="28" t="str">
        <f>IF(LEFT(D4345,6)="CLIENT",IF(E4345=0,WORKDAY(A4345-1,1,Dias_Sem_Compensacao!$A$2:$A$500),WORKDAY(A4345,E4345,Dias_Sem_Compensacao!$A$2:$A$500)),"")</f>
        <v/>
      </c>
      <c r="H4345" s="25">
        <v>585.52</v>
      </c>
      <c r="I4345" s="28">
        <v>46316</v>
      </c>
      <c r="K4345" t="s">
        <v>4022</v>
      </c>
    </row>
    <row r="4346" spans="1:11" hidden="1">
      <c r="A4346" s="28">
        <v>46316</v>
      </c>
      <c r="B4346" t="s">
        <v>3523</v>
      </c>
      <c r="C4346" t="s">
        <v>151</v>
      </c>
      <c r="D4346" t="s">
        <v>3462</v>
      </c>
      <c r="E4346" t="str">
        <f>IF(LEFT(D4346,6)="CLIENT",IFERROR(VLOOKUP(C4346,Config_Carteiras!$A:$B,2,FALSE),1),"")</f>
        <v/>
      </c>
      <c r="F4346" s="25">
        <v>0</v>
      </c>
      <c r="G4346" s="28" t="str">
        <f>IF(LEFT(D4346,6)="CLIENT",IF(E4346=0,WORKDAY(A4346-1,1,Dias_Sem_Compensacao!$A$2:$A$500),WORKDAY(A4346,E4346,Dias_Sem_Compensacao!$A$2:$A$500)),"")</f>
        <v/>
      </c>
      <c r="H4346" s="25">
        <v>316.25</v>
      </c>
      <c r="I4346" s="28">
        <v>46316</v>
      </c>
      <c r="J4346" t="s">
        <v>48</v>
      </c>
      <c r="K4346" t="s">
        <v>4023</v>
      </c>
    </row>
    <row r="4347" spans="1:11" hidden="1">
      <c r="A4347" s="28">
        <v>46317</v>
      </c>
      <c r="B4347" t="s">
        <v>3523</v>
      </c>
      <c r="C4347" t="s">
        <v>151</v>
      </c>
      <c r="D4347" t="s">
        <v>3462</v>
      </c>
      <c r="E4347" t="str">
        <f>IF(LEFT(D4347,6)="CLIENT",IFERROR(VLOOKUP(C4347,Config_Carteiras!$A:$B,2,FALSE),1),"")</f>
        <v/>
      </c>
      <c r="F4347" s="25">
        <v>0</v>
      </c>
      <c r="G4347" s="28" t="str">
        <f>IF(LEFT(D4347,6)="CLIENT",IF(E4347=0,WORKDAY(A4347-1,1,Dias_Sem_Compensacao!$A$2:$A$500),WORKDAY(A4347,E4347,Dias_Sem_Compensacao!$A$2:$A$500)),"")</f>
        <v/>
      </c>
      <c r="H4347" s="25">
        <v>176.47</v>
      </c>
      <c r="I4347" s="28">
        <v>46317</v>
      </c>
      <c r="J4347" t="s">
        <v>2824</v>
      </c>
      <c r="K4347" t="s">
        <v>4024</v>
      </c>
    </row>
    <row r="4348" spans="1:11" hidden="1">
      <c r="A4348" s="28">
        <v>46317</v>
      </c>
      <c r="B4348" t="s">
        <v>3523</v>
      </c>
      <c r="C4348" t="s">
        <v>151</v>
      </c>
      <c r="D4348" t="s">
        <v>3462</v>
      </c>
      <c r="E4348" t="str">
        <f>IF(LEFT(D4348,6)="CLIENT",IFERROR(VLOOKUP(C4348,Config_Carteiras!$A:$B,2,FALSE),1),"")</f>
        <v/>
      </c>
      <c r="F4348" s="25">
        <v>0</v>
      </c>
      <c r="G4348" s="28" t="str">
        <f>IF(LEFT(D4348,6)="CLIENT",IF(E4348=0,WORKDAY(A4348-1,1,Dias_Sem_Compensacao!$A$2:$A$500),WORKDAY(A4348,E4348,Dias_Sem_Compensacao!$A$2:$A$500)),"")</f>
        <v/>
      </c>
      <c r="H4348" s="25">
        <v>694.2</v>
      </c>
      <c r="I4348" s="28">
        <v>46317</v>
      </c>
      <c r="J4348" t="s">
        <v>2915</v>
      </c>
      <c r="K4348" t="s">
        <v>4025</v>
      </c>
    </row>
    <row r="4349" spans="1:11" hidden="1">
      <c r="A4349" s="28">
        <v>46317</v>
      </c>
      <c r="B4349" t="s">
        <v>3523</v>
      </c>
      <c r="C4349" t="s">
        <v>151</v>
      </c>
      <c r="D4349" t="s">
        <v>3462</v>
      </c>
      <c r="E4349" t="str">
        <f>IF(LEFT(D4349,6)="CLIENT",IFERROR(VLOOKUP(C4349,Config_Carteiras!$A:$B,2,FALSE),1),"")</f>
        <v/>
      </c>
      <c r="F4349" s="25">
        <v>0</v>
      </c>
      <c r="G4349" s="28" t="str">
        <f>IF(LEFT(D4349,6)="CLIENT",IF(E4349=0,WORKDAY(A4349-1,1,Dias_Sem_Compensacao!$A$2:$A$500),WORKDAY(A4349,E4349,Dias_Sem_Compensacao!$A$2:$A$500)),"")</f>
        <v/>
      </c>
      <c r="H4349" s="25">
        <v>4220.78</v>
      </c>
      <c r="I4349" s="28">
        <v>46317</v>
      </c>
      <c r="J4349" t="s">
        <v>150</v>
      </c>
      <c r="K4349" t="s">
        <v>4026</v>
      </c>
    </row>
    <row r="4350" spans="1:11" hidden="1">
      <c r="A4350" s="28">
        <v>46317</v>
      </c>
      <c r="B4350" t="s">
        <v>3523</v>
      </c>
      <c r="C4350" t="s">
        <v>151</v>
      </c>
      <c r="D4350" t="s">
        <v>3462</v>
      </c>
      <c r="E4350" t="str">
        <f>IF(LEFT(D4350,6)="CLIENT",IFERROR(VLOOKUP(C4350,Config_Carteiras!$A:$B,2,FALSE),1),"")</f>
        <v/>
      </c>
      <c r="F4350" s="25">
        <v>0</v>
      </c>
      <c r="G4350" s="28" t="str">
        <f>IF(LEFT(D4350,6)="CLIENT",IF(E4350=0,WORKDAY(A4350-1,1,Dias_Sem_Compensacao!$A$2:$A$500),WORKDAY(A4350,E4350,Dias_Sem_Compensacao!$A$2:$A$500)),"")</f>
        <v/>
      </c>
      <c r="H4350" s="25">
        <v>5018.76</v>
      </c>
      <c r="I4350" s="28">
        <v>46317</v>
      </c>
      <c r="K4350" t="s">
        <v>4027</v>
      </c>
    </row>
    <row r="4351" spans="1:11" hidden="1">
      <c r="A4351" s="28">
        <v>46317</v>
      </c>
      <c r="B4351" t="s">
        <v>3523</v>
      </c>
      <c r="C4351" t="s">
        <v>151</v>
      </c>
      <c r="D4351" t="s">
        <v>3462</v>
      </c>
      <c r="E4351" t="str">
        <f>IF(LEFT(D4351,6)="CLIENT",IFERROR(VLOOKUP(C4351,Config_Carteiras!$A:$B,2,FALSE),1),"")</f>
        <v/>
      </c>
      <c r="F4351" s="25">
        <v>0</v>
      </c>
      <c r="G4351" s="28" t="str">
        <f>IF(LEFT(D4351,6)="CLIENT",IF(E4351=0,WORKDAY(A4351-1,1,Dias_Sem_Compensacao!$A$2:$A$500),WORKDAY(A4351,E4351,Dias_Sem_Compensacao!$A$2:$A$500)),"")</f>
        <v/>
      </c>
      <c r="H4351" s="25">
        <v>4070</v>
      </c>
      <c r="I4351" s="28">
        <v>46317</v>
      </c>
      <c r="K4351" t="s">
        <v>4028</v>
      </c>
    </row>
    <row r="4352" spans="1:11" hidden="1">
      <c r="A4352" s="28">
        <v>46317</v>
      </c>
      <c r="B4352" t="s">
        <v>3523</v>
      </c>
      <c r="C4352" t="s">
        <v>151</v>
      </c>
      <c r="D4352" t="s">
        <v>3462</v>
      </c>
      <c r="E4352" t="str">
        <f>IF(LEFT(D4352,6)="CLIENT",IFERROR(VLOOKUP(C4352,Config_Carteiras!$A:$B,2,FALSE),1),"")</f>
        <v/>
      </c>
      <c r="F4352" s="25">
        <v>0</v>
      </c>
      <c r="G4352" s="28" t="str">
        <f>IF(LEFT(D4352,6)="CLIENT",IF(E4352=0,WORKDAY(A4352-1,1,Dias_Sem_Compensacao!$A$2:$A$500),WORKDAY(A4352,E4352,Dias_Sem_Compensacao!$A$2:$A$500)),"")</f>
        <v/>
      </c>
      <c r="H4352" s="25">
        <v>1705</v>
      </c>
      <c r="I4352" s="28">
        <v>46317</v>
      </c>
      <c r="K4352" t="s">
        <v>4029</v>
      </c>
    </row>
    <row r="4353" spans="1:11" hidden="1">
      <c r="A4353" s="28">
        <v>46317</v>
      </c>
      <c r="B4353" t="s">
        <v>3523</v>
      </c>
      <c r="C4353" t="s">
        <v>151</v>
      </c>
      <c r="D4353" t="s">
        <v>3462</v>
      </c>
      <c r="E4353" t="str">
        <f>IF(LEFT(D4353,6)="CLIENT",IFERROR(VLOOKUP(C4353,Config_Carteiras!$A:$B,2,FALSE),1),"")</f>
        <v/>
      </c>
      <c r="F4353" s="25">
        <v>0</v>
      </c>
      <c r="G4353" s="28" t="str">
        <f>IF(LEFT(D4353,6)="CLIENT",IF(E4353=0,WORKDAY(A4353-1,1,Dias_Sem_Compensacao!$A$2:$A$500),WORKDAY(A4353,E4353,Dias_Sem_Compensacao!$A$2:$A$500)),"")</f>
        <v/>
      </c>
      <c r="H4353" s="25">
        <v>523.5</v>
      </c>
      <c r="I4353" s="28">
        <v>46317</v>
      </c>
      <c r="J4353" t="s">
        <v>74</v>
      </c>
      <c r="K4353" t="s">
        <v>4030</v>
      </c>
    </row>
    <row r="4354" spans="1:11" hidden="1">
      <c r="A4354" s="28">
        <v>46317</v>
      </c>
      <c r="B4354" t="s">
        <v>3523</v>
      </c>
      <c r="C4354" t="s">
        <v>151</v>
      </c>
      <c r="D4354" t="s">
        <v>3462</v>
      </c>
      <c r="E4354" t="str">
        <f>IF(LEFT(D4354,6)="CLIENT",IFERROR(VLOOKUP(C4354,Config_Carteiras!$A:$B,2,FALSE),1),"")</f>
        <v/>
      </c>
      <c r="F4354" s="25">
        <v>0</v>
      </c>
      <c r="G4354" s="28" t="str">
        <f>IF(LEFT(D4354,6)="CLIENT",IF(E4354=0,WORKDAY(A4354-1,1,Dias_Sem_Compensacao!$A$2:$A$500),WORKDAY(A4354,E4354,Dias_Sem_Compensacao!$A$2:$A$500)),"")</f>
        <v/>
      </c>
      <c r="H4354" s="25">
        <v>220.98</v>
      </c>
      <c r="I4354" s="28">
        <v>46317</v>
      </c>
      <c r="J4354" t="s">
        <v>76</v>
      </c>
      <c r="K4354" t="s">
        <v>4031</v>
      </c>
    </row>
    <row r="4355" spans="1:11" hidden="1">
      <c r="A4355" s="28">
        <v>46317</v>
      </c>
      <c r="B4355" t="s">
        <v>3523</v>
      </c>
      <c r="C4355" t="s">
        <v>151</v>
      </c>
      <c r="D4355" t="s">
        <v>3462</v>
      </c>
      <c r="E4355" t="str">
        <f>IF(LEFT(D4355,6)="CLIENT",IFERROR(VLOOKUP(C4355,Config_Carteiras!$A:$B,2,FALSE),1),"")</f>
        <v/>
      </c>
      <c r="F4355" s="25">
        <v>0</v>
      </c>
      <c r="G4355" s="28" t="str">
        <f>IF(LEFT(D4355,6)="CLIENT",IF(E4355=0,WORKDAY(A4355-1,1,Dias_Sem_Compensacao!$A$2:$A$500),WORKDAY(A4355,E4355,Dias_Sem_Compensacao!$A$2:$A$500)),"")</f>
        <v/>
      </c>
      <c r="H4355" s="25">
        <v>112.26</v>
      </c>
      <c r="I4355" s="28">
        <v>46317</v>
      </c>
      <c r="K4355" t="s">
        <v>4032</v>
      </c>
    </row>
    <row r="4356" spans="1:11" hidden="1">
      <c r="A4356" s="28">
        <v>46317</v>
      </c>
      <c r="B4356" t="s">
        <v>3523</v>
      </c>
      <c r="C4356" t="s">
        <v>151</v>
      </c>
      <c r="D4356" t="s">
        <v>3462</v>
      </c>
      <c r="E4356" t="str">
        <f>IF(LEFT(D4356,6)="CLIENT",IFERROR(VLOOKUP(C4356,Config_Carteiras!$A:$B,2,FALSE),1),"")</f>
        <v/>
      </c>
      <c r="F4356" s="25">
        <v>0</v>
      </c>
      <c r="G4356" s="28" t="str">
        <f>IF(LEFT(D4356,6)="CLIENT",IF(E4356=0,WORKDAY(A4356-1,1,Dias_Sem_Compensacao!$A$2:$A$500),WORKDAY(A4356,E4356,Dias_Sem_Compensacao!$A$2:$A$500)),"")</f>
        <v/>
      </c>
      <c r="H4356" s="25">
        <v>744.98</v>
      </c>
      <c r="I4356" s="28">
        <v>46317</v>
      </c>
      <c r="K4356" t="s">
        <v>4033</v>
      </c>
    </row>
    <row r="4357" spans="1:11" hidden="1">
      <c r="A4357" s="28">
        <v>46317</v>
      </c>
      <c r="B4357" t="s">
        <v>3523</v>
      </c>
      <c r="C4357" t="s">
        <v>151</v>
      </c>
      <c r="D4357" t="s">
        <v>3462</v>
      </c>
      <c r="E4357" t="str">
        <f>IF(LEFT(D4357,6)="CLIENT",IFERROR(VLOOKUP(C4357,Config_Carteiras!$A:$B,2,FALSE),1),"")</f>
        <v/>
      </c>
      <c r="F4357" s="25">
        <v>0</v>
      </c>
      <c r="G4357" s="28" t="str">
        <f>IF(LEFT(D4357,6)="CLIENT",IF(E4357=0,WORKDAY(A4357-1,1,Dias_Sem_Compensacao!$A$2:$A$500),WORKDAY(A4357,E4357,Dias_Sem_Compensacao!$A$2:$A$500)),"")</f>
        <v/>
      </c>
      <c r="H4357" s="25">
        <v>81.99</v>
      </c>
      <c r="I4357" s="28">
        <v>46317</v>
      </c>
      <c r="J4357" t="s">
        <v>78</v>
      </c>
      <c r="K4357" t="s">
        <v>4034</v>
      </c>
    </row>
    <row r="4358" spans="1:11" hidden="1">
      <c r="A4358" s="28">
        <v>46317</v>
      </c>
      <c r="B4358" t="s">
        <v>3523</v>
      </c>
      <c r="C4358" t="s">
        <v>151</v>
      </c>
      <c r="D4358" t="s">
        <v>3462</v>
      </c>
      <c r="E4358" t="str">
        <f>IF(LEFT(D4358,6)="CLIENT",IFERROR(VLOOKUP(C4358,Config_Carteiras!$A:$B,2,FALSE),1),"")</f>
        <v/>
      </c>
      <c r="F4358" s="25">
        <v>0</v>
      </c>
      <c r="G4358" s="28" t="str">
        <f>IF(LEFT(D4358,6)="CLIENT",IF(E4358=0,WORKDAY(A4358-1,1,Dias_Sem_Compensacao!$A$2:$A$500),WORKDAY(A4358,E4358,Dias_Sem_Compensacao!$A$2:$A$500)),"")</f>
        <v/>
      </c>
      <c r="H4358" s="25">
        <v>156.72</v>
      </c>
      <c r="I4358" s="28">
        <v>46317</v>
      </c>
      <c r="K4358" t="s">
        <v>4035</v>
      </c>
    </row>
    <row r="4359" spans="1:11" hidden="1">
      <c r="A4359" s="28">
        <v>46317</v>
      </c>
      <c r="B4359" t="s">
        <v>3523</v>
      </c>
      <c r="C4359" t="s">
        <v>151</v>
      </c>
      <c r="D4359" t="s">
        <v>3462</v>
      </c>
      <c r="E4359" t="str">
        <f>IF(LEFT(D4359,6)="CLIENT",IFERROR(VLOOKUP(C4359,Config_Carteiras!$A:$B,2,FALSE),1),"")</f>
        <v/>
      </c>
      <c r="F4359" s="25">
        <v>0</v>
      </c>
      <c r="G4359" s="28" t="str">
        <f>IF(LEFT(D4359,6)="CLIENT",IF(E4359=0,WORKDAY(A4359-1,1,Dias_Sem_Compensacao!$A$2:$A$500),WORKDAY(A4359,E4359,Dias_Sem_Compensacao!$A$2:$A$500)),"")</f>
        <v/>
      </c>
      <c r="H4359" s="25">
        <v>1079.4100000000001</v>
      </c>
      <c r="I4359" s="28">
        <v>46317</v>
      </c>
      <c r="J4359" t="s">
        <v>2595</v>
      </c>
      <c r="K4359" t="s">
        <v>4036</v>
      </c>
    </row>
    <row r="4360" spans="1:11" hidden="1">
      <c r="A4360" s="28">
        <v>46317</v>
      </c>
      <c r="B4360" t="s">
        <v>3523</v>
      </c>
      <c r="C4360" t="s">
        <v>151</v>
      </c>
      <c r="D4360" t="s">
        <v>3462</v>
      </c>
      <c r="E4360" t="str">
        <f>IF(LEFT(D4360,6)="CLIENT",IFERROR(VLOOKUP(C4360,Config_Carteiras!$A:$B,2,FALSE),1),"")</f>
        <v/>
      </c>
      <c r="F4360" s="25">
        <v>0</v>
      </c>
      <c r="G4360" s="28" t="str">
        <f>IF(LEFT(D4360,6)="CLIENT",IF(E4360=0,WORKDAY(A4360-1,1,Dias_Sem_Compensacao!$A$2:$A$500),WORKDAY(A4360,E4360,Dias_Sem_Compensacao!$A$2:$A$500)),"")</f>
        <v/>
      </c>
      <c r="H4360" s="25">
        <v>220.6</v>
      </c>
      <c r="I4360" s="28">
        <v>46317</v>
      </c>
      <c r="K4360" t="s">
        <v>4037</v>
      </c>
    </row>
    <row r="4361" spans="1:11" hidden="1">
      <c r="A4361" s="28">
        <v>46317</v>
      </c>
      <c r="B4361" t="s">
        <v>3523</v>
      </c>
      <c r="C4361" t="s">
        <v>151</v>
      </c>
      <c r="D4361" t="s">
        <v>3462</v>
      </c>
      <c r="E4361" t="str">
        <f>IF(LEFT(D4361,6)="CLIENT",IFERROR(VLOOKUP(C4361,Config_Carteiras!$A:$B,2,FALSE),1),"")</f>
        <v/>
      </c>
      <c r="F4361" s="25">
        <v>0</v>
      </c>
      <c r="G4361" s="28" t="str">
        <f>IF(LEFT(D4361,6)="CLIENT",IF(E4361=0,WORKDAY(A4361-1,1,Dias_Sem_Compensacao!$A$2:$A$500),WORKDAY(A4361,E4361,Dias_Sem_Compensacao!$A$2:$A$500)),"")</f>
        <v/>
      </c>
      <c r="H4361" s="25">
        <v>276.08</v>
      </c>
      <c r="I4361" s="28">
        <v>46317</v>
      </c>
      <c r="K4361" t="s">
        <v>4038</v>
      </c>
    </row>
    <row r="4362" spans="1:11" hidden="1">
      <c r="A4362" s="28">
        <v>46317</v>
      </c>
      <c r="B4362" t="s">
        <v>3523</v>
      </c>
      <c r="C4362" t="s">
        <v>151</v>
      </c>
      <c r="D4362" t="s">
        <v>3462</v>
      </c>
      <c r="E4362" t="str">
        <f>IF(LEFT(D4362,6)="CLIENT",IFERROR(VLOOKUP(C4362,Config_Carteiras!$A:$B,2,FALSE),1),"")</f>
        <v/>
      </c>
      <c r="F4362" s="25">
        <v>0</v>
      </c>
      <c r="G4362" s="28" t="str">
        <f>IF(LEFT(D4362,6)="CLIENT",IF(E4362=0,WORKDAY(A4362-1,1,Dias_Sem_Compensacao!$A$2:$A$500),WORKDAY(A4362,E4362,Dias_Sem_Compensacao!$A$2:$A$500)),"")</f>
        <v/>
      </c>
      <c r="H4362" s="25">
        <v>80.33</v>
      </c>
      <c r="I4362" s="28">
        <v>46317</v>
      </c>
      <c r="K4362" t="s">
        <v>4039</v>
      </c>
    </row>
    <row r="4363" spans="1:11" hidden="1">
      <c r="A4363" s="28">
        <v>46317</v>
      </c>
      <c r="B4363" t="s">
        <v>3523</v>
      </c>
      <c r="C4363" t="s">
        <v>151</v>
      </c>
      <c r="D4363" t="s">
        <v>3462</v>
      </c>
      <c r="E4363" t="str">
        <f>IF(LEFT(D4363,6)="CLIENT",IFERROR(VLOOKUP(C4363,Config_Carteiras!$A:$B,2,FALSE),1),"")</f>
        <v/>
      </c>
      <c r="F4363" s="25">
        <v>0</v>
      </c>
      <c r="G4363" s="28" t="str">
        <f>IF(LEFT(D4363,6)="CLIENT",IF(E4363=0,WORKDAY(A4363-1,1,Dias_Sem_Compensacao!$A$2:$A$500),WORKDAY(A4363,E4363,Dias_Sem_Compensacao!$A$2:$A$500)),"")</f>
        <v/>
      </c>
      <c r="H4363" s="25">
        <v>412.52</v>
      </c>
      <c r="I4363" s="28">
        <v>46317</v>
      </c>
      <c r="K4363" t="s">
        <v>4040</v>
      </c>
    </row>
    <row r="4364" spans="1:11" hidden="1">
      <c r="A4364" s="28">
        <v>46317</v>
      </c>
      <c r="B4364" t="s">
        <v>3523</v>
      </c>
      <c r="C4364" t="s">
        <v>151</v>
      </c>
      <c r="D4364" t="s">
        <v>3462</v>
      </c>
      <c r="E4364" t="str">
        <f>IF(LEFT(D4364,6)="CLIENT",IFERROR(VLOOKUP(C4364,Config_Carteiras!$A:$B,2,FALSE),1),"")</f>
        <v/>
      </c>
      <c r="F4364" s="25">
        <v>0</v>
      </c>
      <c r="G4364" s="28" t="str">
        <f>IF(LEFT(D4364,6)="CLIENT",IF(E4364=0,WORKDAY(A4364-1,1,Dias_Sem_Compensacao!$A$2:$A$500),WORKDAY(A4364,E4364,Dias_Sem_Compensacao!$A$2:$A$500)),"")</f>
        <v/>
      </c>
      <c r="H4364" s="25">
        <v>416.18</v>
      </c>
      <c r="I4364" s="28">
        <v>46317</v>
      </c>
      <c r="K4364" t="s">
        <v>4041</v>
      </c>
    </row>
    <row r="4365" spans="1:11" hidden="1">
      <c r="A4365" s="28">
        <v>46317</v>
      </c>
      <c r="B4365" t="s">
        <v>3523</v>
      </c>
      <c r="C4365" t="s">
        <v>151</v>
      </c>
      <c r="D4365" t="s">
        <v>3462</v>
      </c>
      <c r="E4365" t="str">
        <f>IF(LEFT(D4365,6)="CLIENT",IFERROR(VLOOKUP(C4365,Config_Carteiras!$A:$B,2,FALSE),1),"")</f>
        <v/>
      </c>
      <c r="F4365" s="25">
        <v>0</v>
      </c>
      <c r="G4365" s="28" t="str">
        <f>IF(LEFT(D4365,6)="CLIENT",IF(E4365=0,WORKDAY(A4365-1,1,Dias_Sem_Compensacao!$A$2:$A$500),WORKDAY(A4365,E4365,Dias_Sem_Compensacao!$A$2:$A$500)),"")</f>
        <v/>
      </c>
      <c r="H4365" s="25">
        <v>118.02</v>
      </c>
      <c r="I4365" s="28">
        <v>46317</v>
      </c>
      <c r="K4365" t="s">
        <v>4042</v>
      </c>
    </row>
    <row r="4366" spans="1:11" hidden="1">
      <c r="A4366" s="28">
        <v>46317</v>
      </c>
      <c r="B4366" t="s">
        <v>3523</v>
      </c>
      <c r="C4366" t="s">
        <v>151</v>
      </c>
      <c r="D4366" t="s">
        <v>3462</v>
      </c>
      <c r="E4366" t="str">
        <f>IF(LEFT(D4366,6)="CLIENT",IFERROR(VLOOKUP(C4366,Config_Carteiras!$A:$B,2,FALSE),1),"")</f>
        <v/>
      </c>
      <c r="F4366" s="25">
        <v>0</v>
      </c>
      <c r="G4366" s="28" t="str">
        <f>IF(LEFT(D4366,6)="CLIENT",IF(E4366=0,WORKDAY(A4366-1,1,Dias_Sem_Compensacao!$A$2:$A$500),WORKDAY(A4366,E4366,Dias_Sem_Compensacao!$A$2:$A$500)),"")</f>
        <v/>
      </c>
      <c r="H4366" s="25">
        <v>270.08</v>
      </c>
      <c r="I4366" s="28">
        <v>46317</v>
      </c>
      <c r="K4366" t="s">
        <v>4043</v>
      </c>
    </row>
    <row r="4367" spans="1:11" hidden="1">
      <c r="A4367" s="28">
        <v>46317</v>
      </c>
      <c r="B4367" t="s">
        <v>3523</v>
      </c>
      <c r="C4367" t="s">
        <v>151</v>
      </c>
      <c r="D4367" t="s">
        <v>3462</v>
      </c>
      <c r="E4367" t="str">
        <f>IF(LEFT(D4367,6)="CLIENT",IFERROR(VLOOKUP(C4367,Config_Carteiras!$A:$B,2,FALSE),1),"")</f>
        <v/>
      </c>
      <c r="F4367" s="25">
        <v>0</v>
      </c>
      <c r="G4367" s="28" t="str">
        <f>IF(LEFT(D4367,6)="CLIENT",IF(E4367=0,WORKDAY(A4367-1,1,Dias_Sem_Compensacao!$A$2:$A$500),WORKDAY(A4367,E4367,Dias_Sem_Compensacao!$A$2:$A$500)),"")</f>
        <v/>
      </c>
      <c r="H4367" s="25">
        <v>150.05000000000001</v>
      </c>
      <c r="I4367" s="28">
        <v>46317</v>
      </c>
      <c r="K4367" t="s">
        <v>4044</v>
      </c>
    </row>
    <row r="4368" spans="1:11" hidden="1">
      <c r="A4368" s="28">
        <v>46317</v>
      </c>
      <c r="B4368" t="s">
        <v>3523</v>
      </c>
      <c r="C4368" t="s">
        <v>151</v>
      </c>
      <c r="D4368" t="s">
        <v>3462</v>
      </c>
      <c r="E4368" t="str">
        <f>IF(LEFT(D4368,6)="CLIENT",IFERROR(VLOOKUP(C4368,Config_Carteiras!$A:$B,2,FALSE),1),"")</f>
        <v/>
      </c>
      <c r="F4368" s="25">
        <v>0</v>
      </c>
      <c r="G4368" s="28" t="str">
        <f>IF(LEFT(D4368,6)="CLIENT",IF(E4368=0,WORKDAY(A4368-1,1,Dias_Sem_Compensacao!$A$2:$A$500),WORKDAY(A4368,E4368,Dias_Sem_Compensacao!$A$2:$A$500)),"")</f>
        <v/>
      </c>
      <c r="H4368" s="25">
        <v>194.74</v>
      </c>
      <c r="I4368" s="28">
        <v>46317</v>
      </c>
      <c r="K4368" t="s">
        <v>4045</v>
      </c>
    </row>
    <row r="4369" spans="1:11" hidden="1">
      <c r="A4369" s="28">
        <v>46317</v>
      </c>
      <c r="B4369" t="s">
        <v>3523</v>
      </c>
      <c r="C4369" t="s">
        <v>151</v>
      </c>
      <c r="D4369" t="s">
        <v>3462</v>
      </c>
      <c r="E4369" t="str">
        <f>IF(LEFT(D4369,6)="CLIENT",IFERROR(VLOOKUP(C4369,Config_Carteiras!$A:$B,2,FALSE),1),"")</f>
        <v/>
      </c>
      <c r="F4369" s="25">
        <v>0</v>
      </c>
      <c r="G4369" s="28" t="str">
        <f>IF(LEFT(D4369,6)="CLIENT",IF(E4369=0,WORKDAY(A4369-1,1,Dias_Sem_Compensacao!$A$2:$A$500),WORKDAY(A4369,E4369,Dias_Sem_Compensacao!$A$2:$A$500)),"")</f>
        <v/>
      </c>
      <c r="H4369" s="25">
        <v>103.71</v>
      </c>
      <c r="I4369" s="28">
        <v>46317</v>
      </c>
      <c r="K4369" t="s">
        <v>4046</v>
      </c>
    </row>
    <row r="4370" spans="1:11" hidden="1">
      <c r="A4370" s="28">
        <v>46317</v>
      </c>
      <c r="B4370" t="s">
        <v>3523</v>
      </c>
      <c r="C4370" t="s">
        <v>151</v>
      </c>
      <c r="D4370" t="s">
        <v>3462</v>
      </c>
      <c r="E4370" t="str">
        <f>IF(LEFT(D4370,6)="CLIENT",IFERROR(VLOOKUP(C4370,Config_Carteiras!$A:$B,2,FALSE),1),"")</f>
        <v/>
      </c>
      <c r="F4370" s="25">
        <v>0</v>
      </c>
      <c r="G4370" s="28" t="str">
        <f>IF(LEFT(D4370,6)="CLIENT",IF(E4370=0,WORKDAY(A4370-1,1,Dias_Sem_Compensacao!$A$2:$A$500),WORKDAY(A4370,E4370,Dias_Sem_Compensacao!$A$2:$A$500)),"")</f>
        <v/>
      </c>
      <c r="H4370" s="25">
        <v>348.14</v>
      </c>
      <c r="I4370" s="28">
        <v>46317</v>
      </c>
      <c r="K4370" t="s">
        <v>4047</v>
      </c>
    </row>
    <row r="4371" spans="1:11" hidden="1">
      <c r="A4371" s="28">
        <v>46317</v>
      </c>
      <c r="B4371" t="s">
        <v>3523</v>
      </c>
      <c r="C4371" t="s">
        <v>151</v>
      </c>
      <c r="D4371" t="s">
        <v>3462</v>
      </c>
      <c r="E4371" t="str">
        <f>IF(LEFT(D4371,6)="CLIENT",IFERROR(VLOOKUP(C4371,Config_Carteiras!$A:$B,2,FALSE),1),"")</f>
        <v/>
      </c>
      <c r="F4371" s="25">
        <v>0</v>
      </c>
      <c r="G4371" s="28" t="str">
        <f>IF(LEFT(D4371,6)="CLIENT",IF(E4371=0,WORKDAY(A4371-1,1,Dias_Sem_Compensacao!$A$2:$A$500),WORKDAY(A4371,E4371,Dias_Sem_Compensacao!$A$2:$A$500)),"")</f>
        <v/>
      </c>
      <c r="H4371" s="25">
        <v>101.29</v>
      </c>
      <c r="I4371" s="28">
        <v>46317</v>
      </c>
      <c r="K4371" t="s">
        <v>4048</v>
      </c>
    </row>
    <row r="4372" spans="1:11" hidden="1">
      <c r="A4372" s="28">
        <v>46317</v>
      </c>
      <c r="B4372" t="s">
        <v>3523</v>
      </c>
      <c r="C4372" t="s">
        <v>151</v>
      </c>
      <c r="D4372" t="s">
        <v>3462</v>
      </c>
      <c r="E4372" t="str">
        <f>IF(LEFT(D4372,6)="CLIENT",IFERROR(VLOOKUP(C4372,Config_Carteiras!$A:$B,2,FALSE),1),"")</f>
        <v/>
      </c>
      <c r="F4372" s="25">
        <v>0</v>
      </c>
      <c r="G4372" s="28" t="str">
        <f>IF(LEFT(D4372,6)="CLIENT",IF(E4372=0,WORKDAY(A4372-1,1,Dias_Sem_Compensacao!$A$2:$A$500),WORKDAY(A4372,E4372,Dias_Sem_Compensacao!$A$2:$A$500)),"")</f>
        <v/>
      </c>
      <c r="H4372" s="25">
        <v>261.48</v>
      </c>
      <c r="I4372" s="28">
        <v>46317</v>
      </c>
      <c r="K4372" t="s">
        <v>4049</v>
      </c>
    </row>
    <row r="4373" spans="1:11" hidden="1">
      <c r="A4373" s="28">
        <v>46317</v>
      </c>
      <c r="B4373" t="s">
        <v>3523</v>
      </c>
      <c r="C4373" t="s">
        <v>151</v>
      </c>
      <c r="D4373" t="s">
        <v>3462</v>
      </c>
      <c r="E4373" t="str">
        <f>IF(LEFT(D4373,6)="CLIENT",IFERROR(VLOOKUP(C4373,Config_Carteiras!$A:$B,2,FALSE),1),"")</f>
        <v/>
      </c>
      <c r="F4373" s="25">
        <v>0</v>
      </c>
      <c r="G4373" s="28" t="str">
        <f>IF(LEFT(D4373,6)="CLIENT",IF(E4373=0,WORKDAY(A4373-1,1,Dias_Sem_Compensacao!$A$2:$A$500),WORKDAY(A4373,E4373,Dias_Sem_Compensacao!$A$2:$A$500)),"")</f>
        <v/>
      </c>
      <c r="H4373" s="25">
        <v>69.069999999999993</v>
      </c>
      <c r="I4373" s="28">
        <v>46317</v>
      </c>
      <c r="K4373" t="s">
        <v>4050</v>
      </c>
    </row>
    <row r="4374" spans="1:11" hidden="1">
      <c r="A4374" s="28">
        <v>46317</v>
      </c>
      <c r="B4374" t="s">
        <v>3523</v>
      </c>
      <c r="C4374" t="s">
        <v>151</v>
      </c>
      <c r="D4374" t="s">
        <v>3462</v>
      </c>
      <c r="E4374" t="str">
        <f>IF(LEFT(D4374,6)="CLIENT",IFERROR(VLOOKUP(C4374,Config_Carteiras!$A:$B,2,FALSE),1),"")</f>
        <v/>
      </c>
      <c r="F4374" s="25">
        <v>0</v>
      </c>
      <c r="G4374" s="28" t="str">
        <f>IF(LEFT(D4374,6)="CLIENT",IF(E4374=0,WORKDAY(A4374-1,1,Dias_Sem_Compensacao!$A$2:$A$500),WORKDAY(A4374,E4374,Dias_Sem_Compensacao!$A$2:$A$500)),"")</f>
        <v/>
      </c>
      <c r="H4374" s="25">
        <v>351.28</v>
      </c>
      <c r="I4374" s="28">
        <v>46317</v>
      </c>
      <c r="J4374" t="s">
        <v>28</v>
      </c>
      <c r="K4374" t="s">
        <v>4051</v>
      </c>
    </row>
    <row r="4375" spans="1:11" hidden="1">
      <c r="A4375" s="28">
        <v>46317</v>
      </c>
      <c r="B4375" t="s">
        <v>3523</v>
      </c>
      <c r="C4375" t="s">
        <v>151</v>
      </c>
      <c r="D4375" t="s">
        <v>3462</v>
      </c>
      <c r="E4375" t="str">
        <f>IF(LEFT(D4375,6)="CLIENT",IFERROR(VLOOKUP(C4375,Config_Carteiras!$A:$B,2,FALSE),1),"")</f>
        <v/>
      </c>
      <c r="F4375" s="25">
        <v>0</v>
      </c>
      <c r="G4375" s="28" t="str">
        <f>IF(LEFT(D4375,6)="CLIENT",IF(E4375=0,WORKDAY(A4375-1,1,Dias_Sem_Compensacao!$A$2:$A$500),WORKDAY(A4375,E4375,Dias_Sem_Compensacao!$A$2:$A$500)),"")</f>
        <v/>
      </c>
      <c r="H4375" s="25">
        <v>884.24</v>
      </c>
      <c r="I4375" s="28">
        <v>46317</v>
      </c>
      <c r="K4375" t="s">
        <v>4052</v>
      </c>
    </row>
    <row r="4376" spans="1:11" hidden="1">
      <c r="A4376" s="28">
        <v>46317</v>
      </c>
      <c r="B4376" t="s">
        <v>3523</v>
      </c>
      <c r="C4376" t="s">
        <v>151</v>
      </c>
      <c r="D4376" t="s">
        <v>3462</v>
      </c>
      <c r="E4376" t="str">
        <f>IF(LEFT(D4376,6)="CLIENT",IFERROR(VLOOKUP(C4376,Config_Carteiras!$A:$B,2,FALSE),1),"")</f>
        <v/>
      </c>
      <c r="F4376" s="25">
        <v>0</v>
      </c>
      <c r="G4376" s="28" t="str">
        <f>IF(LEFT(D4376,6)="CLIENT",IF(E4376=0,WORKDAY(A4376-1,1,Dias_Sem_Compensacao!$A$2:$A$500),WORKDAY(A4376,E4376,Dias_Sem_Compensacao!$A$2:$A$500)),"")</f>
        <v/>
      </c>
      <c r="H4376" s="25">
        <v>87.59</v>
      </c>
      <c r="I4376" s="28">
        <v>46317</v>
      </c>
      <c r="J4376" t="s">
        <v>130</v>
      </c>
      <c r="K4376" t="s">
        <v>4053</v>
      </c>
    </row>
    <row r="4377" spans="1:11" hidden="1">
      <c r="A4377" s="28">
        <v>46317</v>
      </c>
      <c r="B4377" t="s">
        <v>3523</v>
      </c>
      <c r="C4377" t="s">
        <v>151</v>
      </c>
      <c r="D4377" t="s">
        <v>3462</v>
      </c>
      <c r="E4377" t="str">
        <f>IF(LEFT(D4377,6)="CLIENT",IFERROR(VLOOKUP(C4377,Config_Carteiras!$A:$B,2,FALSE),1),"")</f>
        <v/>
      </c>
      <c r="F4377" s="25">
        <v>0</v>
      </c>
      <c r="G4377" s="28" t="str">
        <f>IF(LEFT(D4377,6)="CLIENT",IF(E4377=0,WORKDAY(A4377-1,1,Dias_Sem_Compensacao!$A$2:$A$500),WORKDAY(A4377,E4377,Dias_Sem_Compensacao!$A$2:$A$500)),"")</f>
        <v/>
      </c>
      <c r="H4377" s="25">
        <v>112.12</v>
      </c>
      <c r="I4377" s="28">
        <v>46317</v>
      </c>
      <c r="K4377" t="s">
        <v>4054</v>
      </c>
    </row>
    <row r="4378" spans="1:11" hidden="1">
      <c r="A4378" s="28">
        <v>46317</v>
      </c>
      <c r="B4378" t="s">
        <v>3523</v>
      </c>
      <c r="C4378" t="s">
        <v>151</v>
      </c>
      <c r="D4378" t="s">
        <v>3462</v>
      </c>
      <c r="E4378" t="str">
        <f>IF(LEFT(D4378,6)="CLIENT",IFERROR(VLOOKUP(C4378,Config_Carteiras!$A:$B,2,FALSE),1),"")</f>
        <v/>
      </c>
      <c r="F4378" s="25">
        <v>0</v>
      </c>
      <c r="G4378" s="28" t="str">
        <f>IF(LEFT(D4378,6)="CLIENT",IF(E4378=0,WORKDAY(A4378-1,1,Dias_Sem_Compensacao!$A$2:$A$500),WORKDAY(A4378,E4378,Dias_Sem_Compensacao!$A$2:$A$500)),"")</f>
        <v/>
      </c>
      <c r="H4378" s="25">
        <v>92.55</v>
      </c>
      <c r="I4378" s="28">
        <v>46317</v>
      </c>
      <c r="K4378" t="s">
        <v>4055</v>
      </c>
    </row>
    <row r="4379" spans="1:11" hidden="1">
      <c r="A4379" s="28">
        <v>46317</v>
      </c>
      <c r="B4379" t="s">
        <v>3523</v>
      </c>
      <c r="C4379" t="s">
        <v>151</v>
      </c>
      <c r="D4379" t="s">
        <v>3462</v>
      </c>
      <c r="E4379" t="str">
        <f>IF(LEFT(D4379,6)="CLIENT",IFERROR(VLOOKUP(C4379,Config_Carteiras!$A:$B,2,FALSE),1),"")</f>
        <v/>
      </c>
      <c r="F4379" s="25">
        <v>0</v>
      </c>
      <c r="G4379" s="28" t="str">
        <f>IF(LEFT(D4379,6)="CLIENT",IF(E4379=0,WORKDAY(A4379-1,1,Dias_Sem_Compensacao!$A$2:$A$500),WORKDAY(A4379,E4379,Dias_Sem_Compensacao!$A$2:$A$500)),"")</f>
        <v/>
      </c>
      <c r="H4379" s="25">
        <v>103.68</v>
      </c>
      <c r="I4379" s="28">
        <v>46317</v>
      </c>
      <c r="K4379" t="s">
        <v>4056</v>
      </c>
    </row>
    <row r="4380" spans="1:11" hidden="1">
      <c r="A4380" s="28">
        <v>46317</v>
      </c>
      <c r="B4380" t="s">
        <v>3523</v>
      </c>
      <c r="C4380" t="s">
        <v>151</v>
      </c>
      <c r="D4380" t="s">
        <v>3462</v>
      </c>
      <c r="E4380" t="str">
        <f>IF(LEFT(D4380,6)="CLIENT",IFERROR(VLOOKUP(C4380,Config_Carteiras!$A:$B,2,FALSE),1),"")</f>
        <v/>
      </c>
      <c r="F4380" s="25">
        <v>0</v>
      </c>
      <c r="G4380" s="28" t="str">
        <f>IF(LEFT(D4380,6)="CLIENT",IF(E4380=0,WORKDAY(A4380-1,1,Dias_Sem_Compensacao!$A$2:$A$500),WORKDAY(A4380,E4380,Dias_Sem_Compensacao!$A$2:$A$500)),"")</f>
        <v/>
      </c>
      <c r="H4380" s="25">
        <v>111.63</v>
      </c>
      <c r="I4380" s="28">
        <v>46317</v>
      </c>
      <c r="K4380" t="s">
        <v>4057</v>
      </c>
    </row>
    <row r="4381" spans="1:11" hidden="1">
      <c r="A4381" s="28">
        <v>46317</v>
      </c>
      <c r="B4381" t="s">
        <v>3523</v>
      </c>
      <c r="C4381" t="s">
        <v>151</v>
      </c>
      <c r="D4381" t="s">
        <v>3462</v>
      </c>
      <c r="E4381" t="str">
        <f>IF(LEFT(D4381,6)="CLIENT",IFERROR(VLOOKUP(C4381,Config_Carteiras!$A:$B,2,FALSE),1),"")</f>
        <v/>
      </c>
      <c r="F4381" s="25">
        <v>0</v>
      </c>
      <c r="G4381" s="28" t="str">
        <f>IF(LEFT(D4381,6)="CLIENT",IF(E4381=0,WORKDAY(A4381-1,1,Dias_Sem_Compensacao!$A$2:$A$500),WORKDAY(A4381,E4381,Dias_Sem_Compensacao!$A$2:$A$500)),"")</f>
        <v/>
      </c>
      <c r="H4381" s="25">
        <v>9324.4</v>
      </c>
      <c r="I4381" s="28">
        <v>46317</v>
      </c>
      <c r="J4381" t="s">
        <v>4058</v>
      </c>
      <c r="K4381" t="s">
        <v>4059</v>
      </c>
    </row>
    <row r="4382" spans="1:11" hidden="1">
      <c r="A4382" s="28">
        <v>46317</v>
      </c>
      <c r="B4382" t="s">
        <v>3523</v>
      </c>
      <c r="C4382" t="s">
        <v>151</v>
      </c>
      <c r="D4382" t="s">
        <v>3462</v>
      </c>
      <c r="E4382" t="str">
        <f>IF(LEFT(D4382,6)="CLIENT",IFERROR(VLOOKUP(C4382,Config_Carteiras!$A:$B,2,FALSE),1),"")</f>
        <v/>
      </c>
      <c r="F4382" s="25">
        <v>0</v>
      </c>
      <c r="G4382" s="28" t="str">
        <f>IF(LEFT(D4382,6)="CLIENT",IF(E4382=0,WORKDAY(A4382-1,1,Dias_Sem_Compensacao!$A$2:$A$500),WORKDAY(A4382,E4382,Dias_Sem_Compensacao!$A$2:$A$500)),"")</f>
        <v/>
      </c>
      <c r="H4382" s="25">
        <v>188.44</v>
      </c>
      <c r="I4382" s="28">
        <v>46317</v>
      </c>
      <c r="J4382" t="s">
        <v>4060</v>
      </c>
      <c r="K4382" t="s">
        <v>4061</v>
      </c>
    </row>
    <row r="4383" spans="1:11" hidden="1">
      <c r="A4383" s="28">
        <v>46317</v>
      </c>
      <c r="B4383" t="s">
        <v>3523</v>
      </c>
      <c r="C4383" t="s">
        <v>151</v>
      </c>
      <c r="D4383" t="s">
        <v>3462</v>
      </c>
      <c r="E4383" t="str">
        <f>IF(LEFT(D4383,6)="CLIENT",IFERROR(VLOOKUP(C4383,Config_Carteiras!$A:$B,2,FALSE),1),"")</f>
        <v/>
      </c>
      <c r="F4383" s="25">
        <v>0</v>
      </c>
      <c r="G4383" s="28" t="str">
        <f>IF(LEFT(D4383,6)="CLIENT",IF(E4383=0,WORKDAY(A4383-1,1,Dias_Sem_Compensacao!$A$2:$A$500),WORKDAY(A4383,E4383,Dias_Sem_Compensacao!$A$2:$A$500)),"")</f>
        <v/>
      </c>
      <c r="H4383" s="25">
        <v>502.7</v>
      </c>
      <c r="I4383" s="28">
        <v>46317</v>
      </c>
      <c r="J4383" t="s">
        <v>904</v>
      </c>
      <c r="K4383" t="s">
        <v>4062</v>
      </c>
    </row>
    <row r="4384" spans="1:11" hidden="1">
      <c r="A4384" s="28">
        <v>46317</v>
      </c>
      <c r="B4384" t="s">
        <v>3523</v>
      </c>
      <c r="C4384" t="s">
        <v>151</v>
      </c>
      <c r="D4384" t="s">
        <v>3462</v>
      </c>
      <c r="E4384" t="str">
        <f>IF(LEFT(D4384,6)="CLIENT",IFERROR(VLOOKUP(C4384,Config_Carteiras!$A:$B,2,FALSE),1),"")</f>
        <v/>
      </c>
      <c r="F4384" s="25">
        <v>0</v>
      </c>
      <c r="G4384" s="28" t="str">
        <f>IF(LEFT(D4384,6)="CLIENT",IF(E4384=0,WORKDAY(A4384-1,1,Dias_Sem_Compensacao!$A$2:$A$500),WORKDAY(A4384,E4384,Dias_Sem_Compensacao!$A$2:$A$500)),"")</f>
        <v/>
      </c>
      <c r="H4384" s="25">
        <v>71</v>
      </c>
      <c r="I4384" s="28">
        <v>46317</v>
      </c>
      <c r="J4384" t="s">
        <v>88</v>
      </c>
      <c r="K4384" t="s">
        <v>4063</v>
      </c>
    </row>
    <row r="4385" spans="1:11" hidden="1">
      <c r="A4385" s="28">
        <v>46317</v>
      </c>
      <c r="B4385" t="s">
        <v>3523</v>
      </c>
      <c r="C4385" t="s">
        <v>151</v>
      </c>
      <c r="D4385" t="s">
        <v>3462</v>
      </c>
      <c r="E4385" t="str">
        <f>IF(LEFT(D4385,6)="CLIENT",IFERROR(VLOOKUP(C4385,Config_Carteiras!$A:$B,2,FALSE),1),"")</f>
        <v/>
      </c>
      <c r="F4385" s="25">
        <v>0</v>
      </c>
      <c r="G4385" s="28" t="str">
        <f>IF(LEFT(D4385,6)="CLIENT",IF(E4385=0,WORKDAY(A4385-1,1,Dias_Sem_Compensacao!$A$2:$A$500),WORKDAY(A4385,E4385,Dias_Sem_Compensacao!$A$2:$A$500)),"")</f>
        <v/>
      </c>
      <c r="H4385" s="25">
        <v>163.52000000000001</v>
      </c>
      <c r="I4385" s="28">
        <v>46317</v>
      </c>
      <c r="J4385" t="s">
        <v>3720</v>
      </c>
      <c r="K4385" t="s">
        <v>4064</v>
      </c>
    </row>
    <row r="4386" spans="1:11" hidden="1">
      <c r="A4386" s="28">
        <v>46317</v>
      </c>
      <c r="B4386" t="s">
        <v>3523</v>
      </c>
      <c r="C4386" t="s">
        <v>151</v>
      </c>
      <c r="D4386" t="s">
        <v>3462</v>
      </c>
      <c r="E4386" t="str">
        <f>IF(LEFT(D4386,6)="CLIENT",IFERROR(VLOOKUP(C4386,Config_Carteiras!$A:$B,2,FALSE),1),"")</f>
        <v/>
      </c>
      <c r="F4386" s="25">
        <v>0</v>
      </c>
      <c r="G4386" s="28" t="str">
        <f>IF(LEFT(D4386,6)="CLIENT",IF(E4386=0,WORKDAY(A4386-1,1,Dias_Sem_Compensacao!$A$2:$A$500),WORKDAY(A4386,E4386,Dias_Sem_Compensacao!$A$2:$A$500)),"")</f>
        <v/>
      </c>
      <c r="H4386" s="25">
        <v>238.14</v>
      </c>
      <c r="I4386" s="28">
        <v>46317</v>
      </c>
      <c r="J4386" t="s">
        <v>42</v>
      </c>
      <c r="K4386" t="s">
        <v>4065</v>
      </c>
    </row>
    <row r="4387" spans="1:11" hidden="1">
      <c r="A4387" s="28">
        <v>46317</v>
      </c>
      <c r="B4387" t="s">
        <v>3523</v>
      </c>
      <c r="C4387" t="s">
        <v>151</v>
      </c>
      <c r="D4387" t="s">
        <v>3462</v>
      </c>
      <c r="E4387" t="str">
        <f>IF(LEFT(D4387,6)="CLIENT",IFERROR(VLOOKUP(C4387,Config_Carteiras!$A:$B,2,FALSE),1),"")</f>
        <v/>
      </c>
      <c r="F4387" s="25">
        <v>0</v>
      </c>
      <c r="G4387" s="28" t="str">
        <f>IF(LEFT(D4387,6)="CLIENT",IF(E4387=0,WORKDAY(A4387-1,1,Dias_Sem_Compensacao!$A$2:$A$500),WORKDAY(A4387,E4387,Dias_Sem_Compensacao!$A$2:$A$500)),"")</f>
        <v/>
      </c>
      <c r="H4387" s="25">
        <v>228.28</v>
      </c>
      <c r="I4387" s="28">
        <v>46317</v>
      </c>
      <c r="K4387" t="s">
        <v>4066</v>
      </c>
    </row>
    <row r="4388" spans="1:11" hidden="1">
      <c r="A4388" s="28">
        <v>46317</v>
      </c>
      <c r="B4388" t="s">
        <v>3523</v>
      </c>
      <c r="C4388" t="s">
        <v>151</v>
      </c>
      <c r="D4388" t="s">
        <v>3462</v>
      </c>
      <c r="E4388" t="str">
        <f>IF(LEFT(D4388,6)="CLIENT",IFERROR(VLOOKUP(C4388,Config_Carteiras!$A:$B,2,FALSE),1),"")</f>
        <v/>
      </c>
      <c r="F4388" s="25">
        <v>0</v>
      </c>
      <c r="G4388" s="28" t="str">
        <f>IF(LEFT(D4388,6)="CLIENT",IF(E4388=0,WORKDAY(A4388-1,1,Dias_Sem_Compensacao!$A$2:$A$500),WORKDAY(A4388,E4388,Dias_Sem_Compensacao!$A$2:$A$500)),"")</f>
        <v/>
      </c>
      <c r="H4388" s="25">
        <v>1077.8900000000001</v>
      </c>
      <c r="I4388" s="28">
        <v>46317</v>
      </c>
      <c r="J4388" t="s">
        <v>3592</v>
      </c>
      <c r="K4388" t="s">
        <v>3593</v>
      </c>
    </row>
    <row r="4389" spans="1:11" hidden="1">
      <c r="A4389" s="28">
        <v>46317</v>
      </c>
      <c r="B4389" t="s">
        <v>3523</v>
      </c>
      <c r="C4389" t="s">
        <v>151</v>
      </c>
      <c r="D4389" t="s">
        <v>3462</v>
      </c>
      <c r="E4389" t="str">
        <f>IF(LEFT(D4389,6)="CLIENT",IFERROR(VLOOKUP(C4389,Config_Carteiras!$A:$B,2,FALSE),1),"")</f>
        <v/>
      </c>
      <c r="F4389" s="25">
        <v>0</v>
      </c>
      <c r="G4389" s="28" t="str">
        <f>IF(LEFT(D4389,6)="CLIENT",IF(E4389=0,WORKDAY(A4389-1,1,Dias_Sem_Compensacao!$A$2:$A$500),WORKDAY(A4389,E4389,Dias_Sem_Compensacao!$A$2:$A$500)),"")</f>
        <v/>
      </c>
      <c r="H4389" s="25">
        <v>8617.07</v>
      </c>
      <c r="I4389" s="28">
        <v>46317</v>
      </c>
      <c r="J4389" t="s">
        <v>52</v>
      </c>
      <c r="K4389" t="s">
        <v>4067</v>
      </c>
    </row>
    <row r="4390" spans="1:11" hidden="1">
      <c r="A4390" s="28">
        <v>46318</v>
      </c>
      <c r="B4390" t="s">
        <v>3523</v>
      </c>
      <c r="C4390" t="s">
        <v>151</v>
      </c>
      <c r="D4390" t="s">
        <v>3462</v>
      </c>
      <c r="E4390" t="str">
        <f>IF(LEFT(D4390,6)="CLIENT",IFERROR(VLOOKUP(C4390,Config_Carteiras!$A:$B,2,FALSE),1),"")</f>
        <v/>
      </c>
      <c r="F4390" s="25">
        <v>0</v>
      </c>
      <c r="G4390" s="28" t="str">
        <f>IF(LEFT(D4390,6)="CLIENT",IF(E4390=0,WORKDAY(A4390-1,1,Dias_Sem_Compensacao!$A$2:$A$500),WORKDAY(A4390,E4390,Dias_Sem_Compensacao!$A$2:$A$500)),"")</f>
        <v/>
      </c>
      <c r="H4390" s="25">
        <v>185.85</v>
      </c>
      <c r="I4390" s="28">
        <v>46318</v>
      </c>
      <c r="J4390" t="s">
        <v>2682</v>
      </c>
      <c r="K4390" t="s">
        <v>4068</v>
      </c>
    </row>
    <row r="4391" spans="1:11" hidden="1">
      <c r="A4391" s="28">
        <v>46318</v>
      </c>
      <c r="B4391" t="s">
        <v>3523</v>
      </c>
      <c r="C4391" t="s">
        <v>151</v>
      </c>
      <c r="D4391" t="s">
        <v>3462</v>
      </c>
      <c r="E4391" t="str">
        <f>IF(LEFT(D4391,6)="CLIENT",IFERROR(VLOOKUP(C4391,Config_Carteiras!$A:$B,2,FALSE),1),"")</f>
        <v/>
      </c>
      <c r="F4391" s="25">
        <v>0</v>
      </c>
      <c r="G4391" s="28" t="str">
        <f>IF(LEFT(D4391,6)="CLIENT",IF(E4391=0,WORKDAY(A4391-1,1,Dias_Sem_Compensacao!$A$2:$A$500),WORKDAY(A4391,E4391,Dias_Sem_Compensacao!$A$2:$A$500)),"")</f>
        <v/>
      </c>
      <c r="H4391" s="25">
        <v>1100</v>
      </c>
      <c r="I4391" s="28">
        <v>46318</v>
      </c>
      <c r="J4391" t="s">
        <v>150</v>
      </c>
      <c r="K4391" t="s">
        <v>4069</v>
      </c>
    </row>
    <row r="4392" spans="1:11" hidden="1">
      <c r="A4392" s="28">
        <v>46318</v>
      </c>
      <c r="B4392" t="s">
        <v>3523</v>
      </c>
      <c r="C4392" t="s">
        <v>151</v>
      </c>
      <c r="D4392" t="s">
        <v>3462</v>
      </c>
      <c r="E4392" t="str">
        <f>IF(LEFT(D4392,6)="CLIENT",IFERROR(VLOOKUP(C4392,Config_Carteiras!$A:$B,2,FALSE),1),"")</f>
        <v/>
      </c>
      <c r="F4392" s="25">
        <v>0</v>
      </c>
      <c r="G4392" s="28" t="str">
        <f>IF(LEFT(D4392,6)="CLIENT",IF(E4392=0,WORKDAY(A4392-1,1,Dias_Sem_Compensacao!$A$2:$A$500),WORKDAY(A4392,E4392,Dias_Sem_Compensacao!$A$2:$A$500)),"")</f>
        <v/>
      </c>
      <c r="H4392" s="25">
        <v>915</v>
      </c>
      <c r="I4392" s="28">
        <v>46318</v>
      </c>
      <c r="K4392" t="s">
        <v>4070</v>
      </c>
    </row>
    <row r="4393" spans="1:11" hidden="1">
      <c r="A4393" s="28">
        <v>46318</v>
      </c>
      <c r="B4393" t="s">
        <v>3523</v>
      </c>
      <c r="C4393" t="s">
        <v>151</v>
      </c>
      <c r="D4393" t="s">
        <v>3462</v>
      </c>
      <c r="E4393" t="str">
        <f>IF(LEFT(D4393,6)="CLIENT",IFERROR(VLOOKUP(C4393,Config_Carteiras!$A:$B,2,FALSE),1),"")</f>
        <v/>
      </c>
      <c r="F4393" s="25">
        <v>0</v>
      </c>
      <c r="G4393" s="28" t="str">
        <f>IF(LEFT(D4393,6)="CLIENT",IF(E4393=0,WORKDAY(A4393-1,1,Dias_Sem_Compensacao!$A$2:$A$500),WORKDAY(A4393,E4393,Dias_Sem_Compensacao!$A$2:$A$500)),"")</f>
        <v/>
      </c>
      <c r="H4393" s="25">
        <v>3000</v>
      </c>
      <c r="I4393" s="28">
        <v>46318</v>
      </c>
      <c r="K4393" t="s">
        <v>4071</v>
      </c>
    </row>
    <row r="4394" spans="1:11" hidden="1">
      <c r="A4394" s="28">
        <v>46318</v>
      </c>
      <c r="B4394" t="s">
        <v>3523</v>
      </c>
      <c r="C4394" t="s">
        <v>151</v>
      </c>
      <c r="D4394" t="s">
        <v>3462</v>
      </c>
      <c r="E4394" t="str">
        <f>IF(LEFT(D4394,6)="CLIENT",IFERROR(VLOOKUP(C4394,Config_Carteiras!$A:$B,2,FALSE),1),"")</f>
        <v/>
      </c>
      <c r="F4394" s="25">
        <v>0</v>
      </c>
      <c r="G4394" s="28" t="str">
        <f>IF(LEFT(D4394,6)="CLIENT",IF(E4394=0,WORKDAY(A4394-1,1,Dias_Sem_Compensacao!$A$2:$A$500),WORKDAY(A4394,E4394,Dias_Sem_Compensacao!$A$2:$A$500)),"")</f>
        <v/>
      </c>
      <c r="H4394" s="25">
        <v>463.5</v>
      </c>
      <c r="I4394" s="28">
        <v>46318</v>
      </c>
      <c r="J4394" t="s">
        <v>74</v>
      </c>
      <c r="K4394" t="s">
        <v>4072</v>
      </c>
    </row>
    <row r="4395" spans="1:11" hidden="1">
      <c r="A4395" s="28">
        <v>46318</v>
      </c>
      <c r="B4395" t="s">
        <v>3523</v>
      </c>
      <c r="C4395" t="s">
        <v>151</v>
      </c>
      <c r="D4395" t="s">
        <v>3462</v>
      </c>
      <c r="E4395" t="str">
        <f>IF(LEFT(D4395,6)="CLIENT",IFERROR(VLOOKUP(C4395,Config_Carteiras!$A:$B,2,FALSE),1),"")</f>
        <v/>
      </c>
      <c r="F4395" s="25">
        <v>0</v>
      </c>
      <c r="G4395" s="28" t="str">
        <f>IF(LEFT(D4395,6)="CLIENT",IF(E4395=0,WORKDAY(A4395-1,1,Dias_Sem_Compensacao!$A$2:$A$500),WORKDAY(A4395,E4395,Dias_Sem_Compensacao!$A$2:$A$500)),"")</f>
        <v/>
      </c>
      <c r="H4395" s="25">
        <v>870</v>
      </c>
      <c r="I4395" s="28">
        <v>46318</v>
      </c>
      <c r="J4395" t="s">
        <v>4073</v>
      </c>
      <c r="K4395" t="s">
        <v>4074</v>
      </c>
    </row>
    <row r="4396" spans="1:11" hidden="1">
      <c r="A4396" s="28">
        <v>46318</v>
      </c>
      <c r="B4396" t="s">
        <v>3523</v>
      </c>
      <c r="C4396" t="s">
        <v>151</v>
      </c>
      <c r="D4396" t="s">
        <v>3462</v>
      </c>
      <c r="E4396" t="str">
        <f>IF(LEFT(D4396,6)="CLIENT",IFERROR(VLOOKUP(C4396,Config_Carteiras!$A:$B,2,FALSE),1),"")</f>
        <v/>
      </c>
      <c r="F4396" s="25">
        <v>0</v>
      </c>
      <c r="G4396" s="28" t="str">
        <f>IF(LEFT(D4396,6)="CLIENT",IF(E4396=0,WORKDAY(A4396-1,1,Dias_Sem_Compensacao!$A$2:$A$500),WORKDAY(A4396,E4396,Dias_Sem_Compensacao!$A$2:$A$500)),"")</f>
        <v/>
      </c>
      <c r="H4396" s="25">
        <v>90.58</v>
      </c>
      <c r="I4396" s="28">
        <v>46318</v>
      </c>
      <c r="J4396" t="s">
        <v>78</v>
      </c>
      <c r="K4396" t="s">
        <v>4075</v>
      </c>
    </row>
    <row r="4397" spans="1:11" hidden="1">
      <c r="A4397" s="28">
        <v>46318</v>
      </c>
      <c r="B4397" t="s">
        <v>3523</v>
      </c>
      <c r="C4397" t="s">
        <v>151</v>
      </c>
      <c r="D4397" t="s">
        <v>3462</v>
      </c>
      <c r="E4397" t="str">
        <f>IF(LEFT(D4397,6)="CLIENT",IFERROR(VLOOKUP(C4397,Config_Carteiras!$A:$B,2,FALSE),1),"")</f>
        <v/>
      </c>
      <c r="F4397" s="25">
        <v>0</v>
      </c>
      <c r="G4397" s="28" t="str">
        <f>IF(LEFT(D4397,6)="CLIENT",IF(E4397=0,WORKDAY(A4397-1,1,Dias_Sem_Compensacao!$A$2:$A$500),WORKDAY(A4397,E4397,Dias_Sem_Compensacao!$A$2:$A$500)),"")</f>
        <v/>
      </c>
      <c r="H4397" s="25">
        <v>387.51</v>
      </c>
      <c r="I4397" s="28">
        <v>46318</v>
      </c>
      <c r="K4397" t="s">
        <v>4076</v>
      </c>
    </row>
    <row r="4398" spans="1:11" hidden="1">
      <c r="A4398" s="28">
        <v>46318</v>
      </c>
      <c r="B4398" t="s">
        <v>3523</v>
      </c>
      <c r="C4398" t="s">
        <v>151</v>
      </c>
      <c r="D4398" t="s">
        <v>3462</v>
      </c>
      <c r="E4398" t="str">
        <f>IF(LEFT(D4398,6)="CLIENT",IFERROR(VLOOKUP(C4398,Config_Carteiras!$A:$B,2,FALSE),1),"")</f>
        <v/>
      </c>
      <c r="F4398" s="25">
        <v>0</v>
      </c>
      <c r="G4398" s="28" t="str">
        <f>IF(LEFT(D4398,6)="CLIENT",IF(E4398=0,WORKDAY(A4398-1,1,Dias_Sem_Compensacao!$A$2:$A$500),WORKDAY(A4398,E4398,Dias_Sem_Compensacao!$A$2:$A$500)),"")</f>
        <v/>
      </c>
      <c r="H4398" s="25">
        <v>534.15</v>
      </c>
      <c r="I4398" s="28">
        <v>46318</v>
      </c>
      <c r="J4398" t="s">
        <v>2595</v>
      </c>
      <c r="K4398" t="s">
        <v>4077</v>
      </c>
    </row>
    <row r="4399" spans="1:11" hidden="1">
      <c r="A4399" s="28">
        <v>46318</v>
      </c>
      <c r="B4399" t="s">
        <v>3523</v>
      </c>
      <c r="C4399" t="s">
        <v>151</v>
      </c>
      <c r="D4399" t="s">
        <v>3462</v>
      </c>
      <c r="E4399" t="str">
        <f>IF(LEFT(D4399,6)="CLIENT",IFERROR(VLOOKUP(C4399,Config_Carteiras!$A:$B,2,FALSE),1),"")</f>
        <v/>
      </c>
      <c r="F4399" s="25">
        <v>0</v>
      </c>
      <c r="G4399" s="28" t="str">
        <f>IF(LEFT(D4399,6)="CLIENT",IF(E4399=0,WORKDAY(A4399-1,1,Dias_Sem_Compensacao!$A$2:$A$500),WORKDAY(A4399,E4399,Dias_Sem_Compensacao!$A$2:$A$500)),"")</f>
        <v/>
      </c>
      <c r="H4399" s="25">
        <v>1460.53</v>
      </c>
      <c r="I4399" s="28">
        <v>46318</v>
      </c>
      <c r="K4399" t="s">
        <v>4078</v>
      </c>
    </row>
    <row r="4400" spans="1:11" hidden="1">
      <c r="A4400" s="28">
        <v>46318</v>
      </c>
      <c r="B4400" t="s">
        <v>3523</v>
      </c>
      <c r="C4400" t="s">
        <v>151</v>
      </c>
      <c r="D4400" t="s">
        <v>3462</v>
      </c>
      <c r="E4400" t="str">
        <f>IF(LEFT(D4400,6)="CLIENT",IFERROR(VLOOKUP(C4400,Config_Carteiras!$A:$B,2,FALSE),1),"")</f>
        <v/>
      </c>
      <c r="F4400" s="25">
        <v>0</v>
      </c>
      <c r="G4400" s="28" t="str">
        <f>IF(LEFT(D4400,6)="CLIENT",IF(E4400=0,WORKDAY(A4400-1,1,Dias_Sem_Compensacao!$A$2:$A$500),WORKDAY(A4400,E4400,Dias_Sem_Compensacao!$A$2:$A$500)),"")</f>
        <v/>
      </c>
      <c r="H4400" s="25">
        <v>544.52</v>
      </c>
      <c r="I4400" s="28">
        <v>46318</v>
      </c>
      <c r="K4400" t="s">
        <v>4079</v>
      </c>
    </row>
    <row r="4401" spans="1:11" hidden="1">
      <c r="A4401" s="28">
        <v>46318</v>
      </c>
      <c r="B4401" t="s">
        <v>3523</v>
      </c>
      <c r="C4401" t="s">
        <v>151</v>
      </c>
      <c r="D4401" t="s">
        <v>3462</v>
      </c>
      <c r="E4401" t="str">
        <f>IF(LEFT(D4401,6)="CLIENT",IFERROR(VLOOKUP(C4401,Config_Carteiras!$A:$B,2,FALSE),1),"")</f>
        <v/>
      </c>
      <c r="F4401" s="25">
        <v>0</v>
      </c>
      <c r="G4401" s="28" t="str">
        <f>IF(LEFT(D4401,6)="CLIENT",IF(E4401=0,WORKDAY(A4401-1,1,Dias_Sem_Compensacao!$A$2:$A$500),WORKDAY(A4401,E4401,Dias_Sem_Compensacao!$A$2:$A$500)),"")</f>
        <v/>
      </c>
      <c r="H4401" s="25">
        <v>564</v>
      </c>
      <c r="I4401" s="28">
        <v>46318</v>
      </c>
      <c r="J4401" t="s">
        <v>3755</v>
      </c>
      <c r="K4401" t="s">
        <v>4080</v>
      </c>
    </row>
    <row r="4402" spans="1:11" hidden="1">
      <c r="A4402" s="28">
        <v>46318</v>
      </c>
      <c r="B4402" t="s">
        <v>3523</v>
      </c>
      <c r="C4402" t="s">
        <v>151</v>
      </c>
      <c r="D4402" t="s">
        <v>3462</v>
      </c>
      <c r="E4402" t="str">
        <f>IF(LEFT(D4402,6)="CLIENT",IFERROR(VLOOKUP(C4402,Config_Carteiras!$A:$B,2,FALSE),1),"")</f>
        <v/>
      </c>
      <c r="F4402" s="25">
        <v>0</v>
      </c>
      <c r="G4402" s="28" t="str">
        <f>IF(LEFT(D4402,6)="CLIENT",IF(E4402=0,WORKDAY(A4402-1,1,Dias_Sem_Compensacao!$A$2:$A$500),WORKDAY(A4402,E4402,Dias_Sem_Compensacao!$A$2:$A$500)),"")</f>
        <v/>
      </c>
      <c r="H4402" s="25">
        <v>192.98</v>
      </c>
      <c r="I4402" s="28">
        <v>46318</v>
      </c>
      <c r="J4402" t="s">
        <v>3720</v>
      </c>
      <c r="K4402" t="s">
        <v>4081</v>
      </c>
    </row>
    <row r="4403" spans="1:11" hidden="1">
      <c r="A4403" s="28">
        <v>46318</v>
      </c>
      <c r="B4403" t="s">
        <v>3523</v>
      </c>
      <c r="C4403" t="s">
        <v>151</v>
      </c>
      <c r="D4403" t="s">
        <v>3462</v>
      </c>
      <c r="E4403" t="str">
        <f>IF(LEFT(D4403,6)="CLIENT",IFERROR(VLOOKUP(C4403,Config_Carteiras!$A:$B,2,FALSE),1),"")</f>
        <v/>
      </c>
      <c r="F4403" s="25">
        <v>0</v>
      </c>
      <c r="G4403" s="28" t="str">
        <f>IF(LEFT(D4403,6)="CLIENT",IF(E4403=0,WORKDAY(A4403-1,1,Dias_Sem_Compensacao!$A$2:$A$500),WORKDAY(A4403,E4403,Dias_Sem_Compensacao!$A$2:$A$500)),"")</f>
        <v/>
      </c>
      <c r="H4403" s="25">
        <v>57.9</v>
      </c>
      <c r="I4403" s="28">
        <v>46318</v>
      </c>
      <c r="J4403" t="s">
        <v>42</v>
      </c>
      <c r="K4403" t="s">
        <v>4082</v>
      </c>
    </row>
    <row r="4404" spans="1:11" hidden="1">
      <c r="A4404" s="28">
        <v>46318</v>
      </c>
      <c r="B4404" t="s">
        <v>3523</v>
      </c>
      <c r="C4404" t="s">
        <v>151</v>
      </c>
      <c r="D4404" t="s">
        <v>3462</v>
      </c>
      <c r="E4404" t="str">
        <f>IF(LEFT(D4404,6)="CLIENT",IFERROR(VLOOKUP(C4404,Config_Carteiras!$A:$B,2,FALSE),1),"")</f>
        <v/>
      </c>
      <c r="F4404" s="25">
        <v>0</v>
      </c>
      <c r="G4404" s="28" t="str">
        <f>IF(LEFT(D4404,6)="CLIENT",IF(E4404=0,WORKDAY(A4404-1,1,Dias_Sem_Compensacao!$A$2:$A$500),WORKDAY(A4404,E4404,Dias_Sem_Compensacao!$A$2:$A$500)),"")</f>
        <v/>
      </c>
      <c r="H4404" s="25">
        <v>420</v>
      </c>
      <c r="I4404" s="28">
        <v>46318</v>
      </c>
      <c r="J4404" t="s">
        <v>167</v>
      </c>
      <c r="K4404" t="s">
        <v>4083</v>
      </c>
    </row>
    <row r="4405" spans="1:11" hidden="1">
      <c r="A4405" s="28">
        <v>46318</v>
      </c>
      <c r="B4405" t="s">
        <v>3523</v>
      </c>
      <c r="C4405" t="s">
        <v>151</v>
      </c>
      <c r="D4405" t="s">
        <v>3462</v>
      </c>
      <c r="E4405" t="str">
        <f>IF(LEFT(D4405,6)="CLIENT",IFERROR(VLOOKUP(C4405,Config_Carteiras!$A:$B,2,FALSE),1),"")</f>
        <v/>
      </c>
      <c r="F4405" s="25">
        <v>0</v>
      </c>
      <c r="G4405" s="28" t="str">
        <f>IF(LEFT(D4405,6)="CLIENT",IF(E4405=0,WORKDAY(A4405-1,1,Dias_Sem_Compensacao!$A$2:$A$500),WORKDAY(A4405,E4405,Dias_Sem_Compensacao!$A$2:$A$500)),"")</f>
        <v/>
      </c>
      <c r="H4405" s="25">
        <v>13344.66</v>
      </c>
      <c r="I4405" s="28">
        <v>46318</v>
      </c>
      <c r="J4405" t="s">
        <v>4084</v>
      </c>
      <c r="K4405" t="s">
        <v>4085</v>
      </c>
    </row>
    <row r="4406" spans="1:11" hidden="1">
      <c r="A4406" s="28">
        <v>46318</v>
      </c>
      <c r="B4406" t="s">
        <v>3523</v>
      </c>
      <c r="C4406" t="s">
        <v>151</v>
      </c>
      <c r="D4406" t="s">
        <v>3462</v>
      </c>
      <c r="E4406" t="str">
        <f>IF(LEFT(D4406,6)="CLIENT",IFERROR(VLOOKUP(C4406,Config_Carteiras!$A:$B,2,FALSE),1),"")</f>
        <v/>
      </c>
      <c r="F4406" s="25">
        <v>0</v>
      </c>
      <c r="G4406" s="28" t="str">
        <f>IF(LEFT(D4406,6)="CLIENT",IF(E4406=0,WORKDAY(A4406-1,1,Dias_Sem_Compensacao!$A$2:$A$500),WORKDAY(A4406,E4406,Dias_Sem_Compensacao!$A$2:$A$500)),"")</f>
        <v/>
      </c>
      <c r="H4406" s="25">
        <v>560.85</v>
      </c>
      <c r="I4406" s="28">
        <v>46318</v>
      </c>
      <c r="J4406" t="s">
        <v>103</v>
      </c>
      <c r="K4406" t="s">
        <v>4086</v>
      </c>
    </row>
    <row r="4407" spans="1:11" hidden="1">
      <c r="A4407" s="28">
        <v>46318</v>
      </c>
      <c r="B4407" t="s">
        <v>3523</v>
      </c>
      <c r="C4407" t="s">
        <v>151</v>
      </c>
      <c r="D4407" t="s">
        <v>3462</v>
      </c>
      <c r="E4407" t="str">
        <f>IF(LEFT(D4407,6)="CLIENT",IFERROR(VLOOKUP(C4407,Config_Carteiras!$A:$B,2,FALSE),1),"")</f>
        <v/>
      </c>
      <c r="F4407" s="25">
        <v>0</v>
      </c>
      <c r="G4407" s="28" t="str">
        <f>IF(LEFT(D4407,6)="CLIENT",IF(E4407=0,WORKDAY(A4407-1,1,Dias_Sem_Compensacao!$A$2:$A$500),WORKDAY(A4407,E4407,Dias_Sem_Compensacao!$A$2:$A$500)),"")</f>
        <v/>
      </c>
      <c r="H4407" s="25">
        <v>574.54</v>
      </c>
      <c r="I4407" s="28">
        <v>46318</v>
      </c>
      <c r="K4407" t="s">
        <v>4087</v>
      </c>
    </row>
    <row r="4408" spans="1:11" hidden="1">
      <c r="A4408" s="28">
        <v>46318</v>
      </c>
      <c r="B4408" t="s">
        <v>3523</v>
      </c>
      <c r="C4408" t="s">
        <v>151</v>
      </c>
      <c r="D4408" t="s">
        <v>3462</v>
      </c>
      <c r="E4408" t="str">
        <f>IF(LEFT(D4408,6)="CLIENT",IFERROR(VLOOKUP(C4408,Config_Carteiras!$A:$B,2,FALSE),1),"")</f>
        <v/>
      </c>
      <c r="F4408" s="25">
        <v>0</v>
      </c>
      <c r="G4408" s="28" t="str">
        <f>IF(LEFT(D4408,6)="CLIENT",IF(E4408=0,WORKDAY(A4408-1,1,Dias_Sem_Compensacao!$A$2:$A$500),WORKDAY(A4408,E4408,Dias_Sem_Compensacao!$A$2:$A$500)),"")</f>
        <v/>
      </c>
      <c r="H4408" s="25">
        <v>702.29</v>
      </c>
      <c r="I4408" s="28">
        <v>46318</v>
      </c>
      <c r="K4408" t="s">
        <v>4088</v>
      </c>
    </row>
    <row r="4409" spans="1:11" hidden="1">
      <c r="A4409" s="28">
        <v>46318</v>
      </c>
      <c r="B4409" t="s">
        <v>3523</v>
      </c>
      <c r="C4409" t="s">
        <v>151</v>
      </c>
      <c r="D4409" t="s">
        <v>3462</v>
      </c>
      <c r="E4409" t="str">
        <f>IF(LEFT(D4409,6)="CLIENT",IFERROR(VLOOKUP(C4409,Config_Carteiras!$A:$B,2,FALSE),1),"")</f>
        <v/>
      </c>
      <c r="F4409" s="25">
        <v>0</v>
      </c>
      <c r="G4409" s="28" t="str">
        <f>IF(LEFT(D4409,6)="CLIENT",IF(E4409=0,WORKDAY(A4409-1,1,Dias_Sem_Compensacao!$A$2:$A$500),WORKDAY(A4409,E4409,Dias_Sem_Compensacao!$A$2:$A$500)),"")</f>
        <v/>
      </c>
      <c r="H4409" s="25">
        <v>649.49</v>
      </c>
      <c r="I4409" s="28">
        <v>46318</v>
      </c>
      <c r="K4409" t="s">
        <v>4089</v>
      </c>
    </row>
    <row r="4410" spans="1:11" hidden="1">
      <c r="A4410" s="28">
        <v>46318</v>
      </c>
      <c r="B4410" t="s">
        <v>3523</v>
      </c>
      <c r="C4410" t="s">
        <v>151</v>
      </c>
      <c r="D4410" t="s">
        <v>3462</v>
      </c>
      <c r="E4410" t="str">
        <f>IF(LEFT(D4410,6)="CLIENT",IFERROR(VLOOKUP(C4410,Config_Carteiras!$A:$B,2,FALSE),1),"")</f>
        <v/>
      </c>
      <c r="F4410" s="25">
        <v>0</v>
      </c>
      <c r="G4410" s="28" t="str">
        <f>IF(LEFT(D4410,6)="CLIENT",IF(E4410=0,WORKDAY(A4410-1,1,Dias_Sem_Compensacao!$A$2:$A$500),WORKDAY(A4410,E4410,Dias_Sem_Compensacao!$A$2:$A$500)),"")</f>
        <v/>
      </c>
      <c r="H4410" s="25">
        <v>2581.73</v>
      </c>
      <c r="I4410" s="28">
        <v>46318</v>
      </c>
      <c r="K4410" t="s">
        <v>4090</v>
      </c>
    </row>
    <row r="4411" spans="1:11" hidden="1">
      <c r="A4411" s="28">
        <v>46318</v>
      </c>
      <c r="B4411" t="s">
        <v>3523</v>
      </c>
      <c r="C4411" t="s">
        <v>151</v>
      </c>
      <c r="D4411" t="s">
        <v>3462</v>
      </c>
      <c r="E4411" t="str">
        <f>IF(LEFT(D4411,6)="CLIENT",IFERROR(VLOOKUP(C4411,Config_Carteiras!$A:$B,2,FALSE),1),"")</f>
        <v/>
      </c>
      <c r="F4411" s="25">
        <v>0</v>
      </c>
      <c r="G4411" s="28" t="str">
        <f>IF(LEFT(D4411,6)="CLIENT",IF(E4411=0,WORKDAY(A4411-1,1,Dias_Sem_Compensacao!$A$2:$A$500),WORKDAY(A4411,E4411,Dias_Sem_Compensacao!$A$2:$A$500)),"")</f>
        <v/>
      </c>
      <c r="H4411" s="25">
        <v>1930.98</v>
      </c>
      <c r="I4411" s="28">
        <v>46318</v>
      </c>
      <c r="K4411" t="s">
        <v>4091</v>
      </c>
    </row>
    <row r="4412" spans="1:11" hidden="1">
      <c r="A4412" s="28">
        <v>46318</v>
      </c>
      <c r="B4412" t="s">
        <v>3523</v>
      </c>
      <c r="C4412" t="s">
        <v>151</v>
      </c>
      <c r="D4412" t="s">
        <v>3462</v>
      </c>
      <c r="E4412" t="str">
        <f>IF(LEFT(D4412,6)="CLIENT",IFERROR(VLOOKUP(C4412,Config_Carteiras!$A:$B,2,FALSE),1),"")</f>
        <v/>
      </c>
      <c r="F4412" s="25">
        <v>0</v>
      </c>
      <c r="G4412" s="28" t="str">
        <f>IF(LEFT(D4412,6)="CLIENT",IF(E4412=0,WORKDAY(A4412-1,1,Dias_Sem_Compensacao!$A$2:$A$500),WORKDAY(A4412,E4412,Dias_Sem_Compensacao!$A$2:$A$500)),"")</f>
        <v/>
      </c>
      <c r="H4412" s="25">
        <v>2497.59</v>
      </c>
      <c r="I4412" s="28">
        <v>46318</v>
      </c>
      <c r="K4412" t="s">
        <v>4092</v>
      </c>
    </row>
    <row r="4413" spans="1:11" hidden="1">
      <c r="A4413" s="28">
        <v>46318</v>
      </c>
      <c r="B4413" t="s">
        <v>3523</v>
      </c>
      <c r="C4413" t="s">
        <v>151</v>
      </c>
      <c r="D4413" t="s">
        <v>3462</v>
      </c>
      <c r="E4413" t="str">
        <f>IF(LEFT(D4413,6)="CLIENT",IFERROR(VLOOKUP(C4413,Config_Carteiras!$A:$B,2,FALSE),1),"")</f>
        <v/>
      </c>
      <c r="F4413" s="25">
        <v>0</v>
      </c>
      <c r="G4413" s="28" t="str">
        <f>IF(LEFT(D4413,6)="CLIENT",IF(E4413=0,WORKDAY(A4413-1,1,Dias_Sem_Compensacao!$A$2:$A$500),WORKDAY(A4413,E4413,Dias_Sem_Compensacao!$A$2:$A$500)),"")</f>
        <v/>
      </c>
      <c r="H4413" s="25">
        <v>2592.12</v>
      </c>
      <c r="I4413" s="28">
        <v>46318</v>
      </c>
      <c r="K4413" t="s">
        <v>4093</v>
      </c>
    </row>
    <row r="4414" spans="1:11" hidden="1">
      <c r="A4414" s="28">
        <v>46318</v>
      </c>
      <c r="B4414" t="s">
        <v>3523</v>
      </c>
      <c r="C4414" t="s">
        <v>151</v>
      </c>
      <c r="D4414" t="s">
        <v>3462</v>
      </c>
      <c r="E4414" t="str">
        <f>IF(LEFT(D4414,6)="CLIENT",IFERROR(VLOOKUP(C4414,Config_Carteiras!$A:$B,2,FALSE),1),"")</f>
        <v/>
      </c>
      <c r="F4414" s="25">
        <v>0</v>
      </c>
      <c r="G4414" s="28" t="str">
        <f>IF(LEFT(D4414,6)="CLIENT",IF(E4414=0,WORKDAY(A4414-1,1,Dias_Sem_Compensacao!$A$2:$A$500),WORKDAY(A4414,E4414,Dias_Sem_Compensacao!$A$2:$A$500)),"")</f>
        <v/>
      </c>
      <c r="H4414" s="25">
        <v>130</v>
      </c>
      <c r="I4414" s="28">
        <v>46318</v>
      </c>
      <c r="J4414" t="s">
        <v>3638</v>
      </c>
      <c r="K4414" t="s">
        <v>4094</v>
      </c>
    </row>
    <row r="4415" spans="1:11" hidden="1">
      <c r="A4415" s="28">
        <v>46318</v>
      </c>
      <c r="B4415" t="s">
        <v>3523</v>
      </c>
      <c r="C4415" t="s">
        <v>151</v>
      </c>
      <c r="D4415" t="s">
        <v>3462</v>
      </c>
      <c r="E4415" t="str">
        <f>IF(LEFT(D4415,6)="CLIENT",IFERROR(VLOOKUP(C4415,Config_Carteiras!$A:$B,2,FALSE),1),"")</f>
        <v/>
      </c>
      <c r="F4415" s="25">
        <v>0</v>
      </c>
      <c r="G4415" s="28" t="str">
        <f>IF(LEFT(D4415,6)="CLIENT",IF(E4415=0,WORKDAY(A4415-1,1,Dias_Sem_Compensacao!$A$2:$A$500),WORKDAY(A4415,E4415,Dias_Sem_Compensacao!$A$2:$A$500)),"")</f>
        <v/>
      </c>
      <c r="H4415" s="25">
        <v>135</v>
      </c>
      <c r="I4415" s="28">
        <v>46318</v>
      </c>
      <c r="K4415" t="s">
        <v>4095</v>
      </c>
    </row>
    <row r="4416" spans="1:11" hidden="1">
      <c r="A4416" s="28">
        <v>46318</v>
      </c>
      <c r="B4416" t="s">
        <v>3523</v>
      </c>
      <c r="C4416" t="s">
        <v>151</v>
      </c>
      <c r="D4416" t="s">
        <v>3462</v>
      </c>
      <c r="E4416" t="str">
        <f>IF(LEFT(D4416,6)="CLIENT",IFERROR(VLOOKUP(C4416,Config_Carteiras!$A:$B,2,FALSE),1),"")</f>
        <v/>
      </c>
      <c r="F4416" s="25">
        <v>0</v>
      </c>
      <c r="G4416" s="28" t="str">
        <f>IF(LEFT(D4416,6)="CLIENT",IF(E4416=0,WORKDAY(A4416-1,1,Dias_Sem_Compensacao!$A$2:$A$500),WORKDAY(A4416,E4416,Dias_Sem_Compensacao!$A$2:$A$500)),"")</f>
        <v/>
      </c>
      <c r="H4416" s="25">
        <v>12822.55</v>
      </c>
      <c r="I4416" s="28">
        <v>46318</v>
      </c>
      <c r="J4416" t="s">
        <v>44</v>
      </c>
      <c r="K4416" t="s">
        <v>4096</v>
      </c>
    </row>
    <row r="4417" spans="1:11" hidden="1">
      <c r="A4417" s="28">
        <v>46318</v>
      </c>
      <c r="B4417" t="s">
        <v>3523</v>
      </c>
      <c r="C4417" t="s">
        <v>151</v>
      </c>
      <c r="D4417" t="s">
        <v>3462</v>
      </c>
      <c r="E4417" t="str">
        <f>IF(LEFT(D4417,6)="CLIENT",IFERROR(VLOOKUP(C4417,Config_Carteiras!$A:$B,2,FALSE),1),"")</f>
        <v/>
      </c>
      <c r="F4417" s="25">
        <v>0</v>
      </c>
      <c r="G4417" s="28" t="str">
        <f>IF(LEFT(D4417,6)="CLIENT",IF(E4417=0,WORKDAY(A4417-1,1,Dias_Sem_Compensacao!$A$2:$A$500),WORKDAY(A4417,E4417,Dias_Sem_Compensacao!$A$2:$A$500)),"")</f>
        <v/>
      </c>
      <c r="H4417" s="25">
        <v>290.10000000000002</v>
      </c>
      <c r="I4417" s="28">
        <v>46318</v>
      </c>
      <c r="J4417" t="s">
        <v>3574</v>
      </c>
      <c r="K4417" t="s">
        <v>4097</v>
      </c>
    </row>
    <row r="4418" spans="1:11" hidden="1">
      <c r="A4418" s="28">
        <v>46318</v>
      </c>
      <c r="B4418" t="s">
        <v>3523</v>
      </c>
      <c r="C4418" t="s">
        <v>151</v>
      </c>
      <c r="D4418" t="s">
        <v>3462</v>
      </c>
      <c r="E4418" t="str">
        <f>IF(LEFT(D4418,6)="CLIENT",IFERROR(VLOOKUP(C4418,Config_Carteiras!$A:$B,2,FALSE),1),"")</f>
        <v/>
      </c>
      <c r="F4418" s="25">
        <v>0</v>
      </c>
      <c r="G4418" s="28" t="str">
        <f>IF(LEFT(D4418,6)="CLIENT",IF(E4418=0,WORKDAY(A4418-1,1,Dias_Sem_Compensacao!$A$2:$A$500),WORKDAY(A4418,E4418,Dias_Sem_Compensacao!$A$2:$A$500)),"")</f>
        <v/>
      </c>
      <c r="H4418" s="25">
        <v>354.51</v>
      </c>
      <c r="I4418" s="28">
        <v>46318</v>
      </c>
      <c r="K4418" t="s">
        <v>4098</v>
      </c>
    </row>
    <row r="4419" spans="1:11" hidden="1">
      <c r="A4419" s="28">
        <v>46318</v>
      </c>
      <c r="B4419" t="s">
        <v>3523</v>
      </c>
      <c r="C4419" t="s">
        <v>151</v>
      </c>
      <c r="D4419" t="s">
        <v>3462</v>
      </c>
      <c r="E4419" t="str">
        <f>IF(LEFT(D4419,6)="CLIENT",IFERROR(VLOOKUP(C4419,Config_Carteiras!$A:$B,2,FALSE),1),"")</f>
        <v/>
      </c>
      <c r="F4419" s="25">
        <v>0</v>
      </c>
      <c r="G4419" s="28" t="str">
        <f>IF(LEFT(D4419,6)="CLIENT",IF(E4419=0,WORKDAY(A4419-1,1,Dias_Sem_Compensacao!$A$2:$A$500),WORKDAY(A4419,E4419,Dias_Sem_Compensacao!$A$2:$A$500)),"")</f>
        <v/>
      </c>
      <c r="H4419" s="25">
        <v>1639.79</v>
      </c>
      <c r="I4419" s="28">
        <v>46318</v>
      </c>
      <c r="K4419" t="s">
        <v>4099</v>
      </c>
    </row>
    <row r="4420" spans="1:11" hidden="1">
      <c r="A4420" s="28">
        <v>46318</v>
      </c>
      <c r="B4420" t="s">
        <v>3523</v>
      </c>
      <c r="C4420" t="s">
        <v>151</v>
      </c>
      <c r="D4420" t="s">
        <v>3462</v>
      </c>
      <c r="E4420" t="str">
        <f>IF(LEFT(D4420,6)="CLIENT",IFERROR(VLOOKUP(C4420,Config_Carteiras!$A:$B,2,FALSE),1),"")</f>
        <v/>
      </c>
      <c r="F4420" s="25">
        <v>0</v>
      </c>
      <c r="G4420" s="28" t="str">
        <f>IF(LEFT(D4420,6)="CLIENT",IF(E4420=0,WORKDAY(A4420-1,1,Dias_Sem_Compensacao!$A$2:$A$500),WORKDAY(A4420,E4420,Dias_Sem_Compensacao!$A$2:$A$500)),"")</f>
        <v/>
      </c>
      <c r="H4420" s="25">
        <v>11248.24</v>
      </c>
      <c r="I4420" s="28">
        <v>46318</v>
      </c>
      <c r="J4420" t="s">
        <v>46</v>
      </c>
      <c r="K4420" t="s">
        <v>4100</v>
      </c>
    </row>
    <row r="4421" spans="1:11" hidden="1">
      <c r="A4421" s="28">
        <v>46318</v>
      </c>
      <c r="B4421" t="s">
        <v>3523</v>
      </c>
      <c r="C4421" t="s">
        <v>151</v>
      </c>
      <c r="D4421" t="s">
        <v>3462</v>
      </c>
      <c r="E4421" t="str">
        <f>IF(LEFT(D4421,6)="CLIENT",IFERROR(VLOOKUP(C4421,Config_Carteiras!$A:$B,2,FALSE),1),"")</f>
        <v/>
      </c>
      <c r="F4421" s="25">
        <v>0</v>
      </c>
      <c r="G4421" s="28" t="str">
        <f>IF(LEFT(D4421,6)="CLIENT",IF(E4421=0,WORKDAY(A4421-1,1,Dias_Sem_Compensacao!$A$2:$A$500),WORKDAY(A4421,E4421,Dias_Sem_Compensacao!$A$2:$A$500)),"")</f>
        <v/>
      </c>
      <c r="H4421" s="25">
        <v>4000</v>
      </c>
      <c r="I4421" s="28">
        <v>46318</v>
      </c>
      <c r="J4421" t="s">
        <v>173</v>
      </c>
      <c r="K4421" t="s">
        <v>172</v>
      </c>
    </row>
    <row r="4422" spans="1:11" hidden="1">
      <c r="A4422" s="28">
        <v>46318</v>
      </c>
      <c r="B4422" t="s">
        <v>3523</v>
      </c>
      <c r="C4422" t="s">
        <v>151</v>
      </c>
      <c r="D4422" t="s">
        <v>3462</v>
      </c>
      <c r="E4422" t="str">
        <f>IF(LEFT(D4422,6)="CLIENT",IFERROR(VLOOKUP(C4422,Config_Carteiras!$A:$B,2,FALSE),1),"")</f>
        <v/>
      </c>
      <c r="F4422" s="25">
        <v>0</v>
      </c>
      <c r="G4422" s="28" t="str">
        <f>IF(LEFT(D4422,6)="CLIENT",IF(E4422=0,WORKDAY(A4422-1,1,Dias_Sem_Compensacao!$A$2:$A$500),WORKDAY(A4422,E4422,Dias_Sem_Compensacao!$A$2:$A$500)),"")</f>
        <v/>
      </c>
      <c r="H4422" s="25">
        <v>396</v>
      </c>
      <c r="I4422" s="28">
        <v>46318</v>
      </c>
      <c r="J4422" t="s">
        <v>3910</v>
      </c>
      <c r="K4422" t="s">
        <v>4101</v>
      </c>
    </row>
    <row r="4423" spans="1:11" hidden="1">
      <c r="A4423" s="28">
        <v>46319</v>
      </c>
      <c r="B4423" t="s">
        <v>3523</v>
      </c>
      <c r="C4423" t="s">
        <v>151</v>
      </c>
      <c r="D4423" t="s">
        <v>3462</v>
      </c>
      <c r="E4423" t="str">
        <f>IF(LEFT(D4423,6)="CLIENT",IFERROR(VLOOKUP(C4423,Config_Carteiras!$A:$B,2,FALSE),1),"")</f>
        <v/>
      </c>
      <c r="F4423" s="25">
        <v>0</v>
      </c>
      <c r="G4423" s="28" t="str">
        <f>IF(LEFT(D4423,6)="CLIENT",IF(E4423=0,WORKDAY(A4423-1,1,Dias_Sem_Compensacao!$A$2:$A$500),WORKDAY(A4423,E4423,Dias_Sem_Compensacao!$A$2:$A$500)),"")</f>
        <v/>
      </c>
      <c r="H4423" s="25">
        <v>12896.91</v>
      </c>
      <c r="I4423" s="28">
        <v>46319</v>
      </c>
      <c r="J4423" t="s">
        <v>40</v>
      </c>
      <c r="K4423" t="s">
        <v>4102</v>
      </c>
    </row>
    <row r="4424" spans="1:11" hidden="1">
      <c r="A4424" s="28">
        <v>46320</v>
      </c>
      <c r="B4424" t="s">
        <v>3523</v>
      </c>
      <c r="C4424" t="s">
        <v>151</v>
      </c>
      <c r="D4424" t="s">
        <v>3462</v>
      </c>
      <c r="E4424" t="str">
        <f>IF(LEFT(D4424,6)="CLIENT",IFERROR(VLOOKUP(C4424,Config_Carteiras!$A:$B,2,FALSE),1),"")</f>
        <v/>
      </c>
      <c r="F4424" s="25">
        <v>0</v>
      </c>
      <c r="G4424" s="28" t="str">
        <f>IF(LEFT(D4424,6)="CLIENT",IF(E4424=0,WORKDAY(A4424-1,1,Dias_Sem_Compensacao!$A$2:$A$500),WORKDAY(A4424,E4424,Dias_Sem_Compensacao!$A$2:$A$500)),"")</f>
        <v/>
      </c>
      <c r="H4424" s="25">
        <v>650</v>
      </c>
      <c r="I4424" s="28">
        <v>46320</v>
      </c>
      <c r="J4424" t="s">
        <v>167</v>
      </c>
      <c r="K4424" t="s">
        <v>4103</v>
      </c>
    </row>
    <row r="4425" spans="1:11" hidden="1">
      <c r="A4425" s="28">
        <v>46320</v>
      </c>
      <c r="B4425" t="s">
        <v>3523</v>
      </c>
      <c r="C4425" t="s">
        <v>151</v>
      </c>
      <c r="D4425" t="s">
        <v>3462</v>
      </c>
      <c r="E4425" t="str">
        <f>IF(LEFT(D4425,6)="CLIENT",IFERROR(VLOOKUP(C4425,Config_Carteiras!$A:$B,2,FALSE),1),"")</f>
        <v/>
      </c>
      <c r="F4425" s="25">
        <v>0</v>
      </c>
      <c r="G4425" s="28" t="str">
        <f>IF(LEFT(D4425,6)="CLIENT",IF(E4425=0,WORKDAY(A4425-1,1,Dias_Sem_Compensacao!$A$2:$A$500),WORKDAY(A4425,E4425,Dias_Sem_Compensacao!$A$2:$A$500)),"")</f>
        <v/>
      </c>
      <c r="H4425" s="25">
        <v>969.18</v>
      </c>
      <c r="I4425" s="28">
        <v>46320</v>
      </c>
      <c r="J4425" t="s">
        <v>3640</v>
      </c>
      <c r="K4425" t="s">
        <v>4104</v>
      </c>
    </row>
    <row r="4426" spans="1:11" hidden="1">
      <c r="A4426" s="28">
        <v>46321</v>
      </c>
      <c r="B4426" t="s">
        <v>3523</v>
      </c>
      <c r="C4426" t="s">
        <v>151</v>
      </c>
      <c r="D4426" t="s">
        <v>3462</v>
      </c>
      <c r="E4426" t="str">
        <f>IF(LEFT(D4426,6)="CLIENT",IFERROR(VLOOKUP(C4426,Config_Carteiras!$A:$B,2,FALSE),1),"")</f>
        <v/>
      </c>
      <c r="F4426" s="25">
        <v>0</v>
      </c>
      <c r="G4426" s="28" t="str">
        <f>IF(LEFT(D4426,6)="CLIENT",IF(E4426=0,WORKDAY(A4426-1,1,Dias_Sem_Compensacao!$A$2:$A$500),WORKDAY(A4426,E4426,Dias_Sem_Compensacao!$A$2:$A$500)),"")</f>
        <v/>
      </c>
      <c r="H4426" s="25">
        <v>438</v>
      </c>
      <c r="I4426" s="28">
        <v>46321</v>
      </c>
      <c r="J4426" t="s">
        <v>74</v>
      </c>
      <c r="K4426" t="s">
        <v>4105</v>
      </c>
    </row>
    <row r="4427" spans="1:11" hidden="1">
      <c r="A4427" s="28">
        <v>46321</v>
      </c>
      <c r="B4427" t="s">
        <v>3523</v>
      </c>
      <c r="C4427" t="s">
        <v>151</v>
      </c>
      <c r="D4427" t="s">
        <v>3462</v>
      </c>
      <c r="E4427" t="str">
        <f>IF(LEFT(D4427,6)="CLIENT",IFERROR(VLOOKUP(C4427,Config_Carteiras!$A:$B,2,FALSE),1),"")</f>
        <v/>
      </c>
      <c r="F4427" s="25">
        <v>0</v>
      </c>
      <c r="G4427" s="28" t="str">
        <f>IF(LEFT(D4427,6)="CLIENT",IF(E4427=0,WORKDAY(A4427-1,1,Dias_Sem_Compensacao!$A$2:$A$500),WORKDAY(A4427,E4427,Dias_Sem_Compensacao!$A$2:$A$500)),"")</f>
        <v/>
      </c>
      <c r="H4427" s="25">
        <v>447</v>
      </c>
      <c r="I4427" s="28">
        <v>46321</v>
      </c>
      <c r="K4427" t="s">
        <v>4106</v>
      </c>
    </row>
    <row r="4428" spans="1:11" hidden="1">
      <c r="A4428" s="28">
        <v>46321</v>
      </c>
      <c r="B4428" t="s">
        <v>3523</v>
      </c>
      <c r="C4428" t="s">
        <v>151</v>
      </c>
      <c r="D4428" t="s">
        <v>3462</v>
      </c>
      <c r="E4428" t="str">
        <f>IF(LEFT(D4428,6)="CLIENT",IFERROR(VLOOKUP(C4428,Config_Carteiras!$A:$B,2,FALSE),1),"")</f>
        <v/>
      </c>
      <c r="F4428" s="25">
        <v>0</v>
      </c>
      <c r="G4428" s="28" t="str">
        <f>IF(LEFT(D4428,6)="CLIENT",IF(E4428=0,WORKDAY(A4428-1,1,Dias_Sem_Compensacao!$A$2:$A$500),WORKDAY(A4428,E4428,Dias_Sem_Compensacao!$A$2:$A$500)),"")</f>
        <v/>
      </c>
      <c r="H4428" s="25">
        <v>16000</v>
      </c>
      <c r="I4428" s="28">
        <v>46321</v>
      </c>
      <c r="J4428" t="s">
        <v>34</v>
      </c>
      <c r="K4428" t="s">
        <v>3419</v>
      </c>
    </row>
    <row r="4429" spans="1:11" hidden="1">
      <c r="A4429" s="28">
        <v>46321</v>
      </c>
      <c r="B4429" t="s">
        <v>3523</v>
      </c>
      <c r="C4429" t="s">
        <v>151</v>
      </c>
      <c r="D4429" t="s">
        <v>3462</v>
      </c>
      <c r="E4429" t="str">
        <f>IF(LEFT(D4429,6)="CLIENT",IFERROR(VLOOKUP(C4429,Config_Carteiras!$A:$B,2,FALSE),1),"")</f>
        <v/>
      </c>
      <c r="F4429" s="25">
        <v>0</v>
      </c>
      <c r="G4429" s="28" t="str">
        <f>IF(LEFT(D4429,6)="CLIENT",IF(E4429=0,WORKDAY(A4429-1,1,Dias_Sem_Compensacao!$A$2:$A$500),WORKDAY(A4429,E4429,Dias_Sem_Compensacao!$A$2:$A$500)),"")</f>
        <v/>
      </c>
      <c r="H4429" s="25">
        <v>2882</v>
      </c>
      <c r="I4429" s="28">
        <v>46321</v>
      </c>
      <c r="J4429" t="s">
        <v>84</v>
      </c>
      <c r="K4429" t="s">
        <v>4107</v>
      </c>
    </row>
    <row r="4430" spans="1:11" hidden="1">
      <c r="A4430" s="28">
        <v>46321</v>
      </c>
      <c r="B4430" t="s">
        <v>3523</v>
      </c>
      <c r="C4430" t="s">
        <v>151</v>
      </c>
      <c r="D4430" t="s">
        <v>3462</v>
      </c>
      <c r="E4430" t="str">
        <f>IF(LEFT(D4430,6)="CLIENT",IFERROR(VLOOKUP(C4430,Config_Carteiras!$A:$B,2,FALSE),1),"")</f>
        <v/>
      </c>
      <c r="F4430" s="25">
        <v>0</v>
      </c>
      <c r="G4430" s="28" t="str">
        <f>IF(LEFT(D4430,6)="CLIENT",IF(E4430=0,WORKDAY(A4430-1,1,Dias_Sem_Compensacao!$A$2:$A$500),WORKDAY(A4430,E4430,Dias_Sem_Compensacao!$A$2:$A$500)),"")</f>
        <v/>
      </c>
      <c r="H4430" s="25">
        <v>243.97</v>
      </c>
      <c r="I4430" s="28">
        <v>46321</v>
      </c>
      <c r="J4430" t="s">
        <v>42</v>
      </c>
      <c r="K4430" t="s">
        <v>4108</v>
      </c>
    </row>
    <row r="4431" spans="1:11" hidden="1">
      <c r="A4431" s="28">
        <v>46322</v>
      </c>
      <c r="B4431" t="s">
        <v>3523</v>
      </c>
      <c r="C4431" t="s">
        <v>151</v>
      </c>
      <c r="D4431" t="s">
        <v>3462</v>
      </c>
      <c r="E4431" t="str">
        <f>IF(LEFT(D4431,6)="CLIENT",IFERROR(VLOOKUP(C4431,Config_Carteiras!$A:$B,2,FALSE),1),"")</f>
        <v/>
      </c>
      <c r="F4431" s="25">
        <v>0</v>
      </c>
      <c r="G4431" s="28" t="str">
        <f>IF(LEFT(D4431,6)="CLIENT",IF(E4431=0,WORKDAY(A4431-1,1,Dias_Sem_Compensacao!$A$2:$A$500),WORKDAY(A4431,E4431,Dias_Sem_Compensacao!$A$2:$A$500)),"")</f>
        <v/>
      </c>
      <c r="H4431" s="25">
        <v>3375</v>
      </c>
      <c r="I4431" s="28">
        <v>46322</v>
      </c>
      <c r="J4431" t="s">
        <v>36</v>
      </c>
      <c r="K4431" t="s">
        <v>35</v>
      </c>
    </row>
    <row r="4432" spans="1:11" hidden="1">
      <c r="A4432" s="28">
        <v>46325</v>
      </c>
      <c r="B4432" t="s">
        <v>3523</v>
      </c>
      <c r="C4432" t="s">
        <v>151</v>
      </c>
      <c r="D4432" t="s">
        <v>3462</v>
      </c>
      <c r="E4432" t="str">
        <f>IF(LEFT(D4432,6)="CLIENT",IFERROR(VLOOKUP(C4432,Config_Carteiras!$A:$B,2,FALSE),1),"")</f>
        <v/>
      </c>
      <c r="F4432" s="25">
        <v>0</v>
      </c>
      <c r="G4432" s="28" t="str">
        <f>IF(LEFT(D4432,6)="CLIENT",IF(E4432=0,WORKDAY(A4432-1,1,Dias_Sem_Compensacao!$A$2:$A$500),WORKDAY(A4432,E4432,Dias_Sem_Compensacao!$A$2:$A$500)),"")</f>
        <v/>
      </c>
      <c r="H4432" s="25">
        <v>550</v>
      </c>
      <c r="I4432" s="28">
        <v>46325</v>
      </c>
      <c r="J4432" t="s">
        <v>82</v>
      </c>
      <c r="K4432" t="s">
        <v>81</v>
      </c>
    </row>
    <row r="4433" spans="1:11" hidden="1">
      <c r="A4433" s="28">
        <v>46325</v>
      </c>
      <c r="B4433" t="s">
        <v>3523</v>
      </c>
      <c r="C4433" t="s">
        <v>151</v>
      </c>
      <c r="D4433" t="s">
        <v>3462</v>
      </c>
      <c r="E4433" t="str">
        <f>IF(LEFT(D4433,6)="CLIENT",IFERROR(VLOOKUP(C4433,Config_Carteiras!$A:$B,2,FALSE),1),"")</f>
        <v/>
      </c>
      <c r="F4433" s="25">
        <v>0</v>
      </c>
      <c r="G4433" s="28" t="str">
        <f>IF(LEFT(D4433,6)="CLIENT",IF(E4433=0,WORKDAY(A4433-1,1,Dias_Sem_Compensacao!$A$2:$A$500),WORKDAY(A4433,E4433,Dias_Sem_Compensacao!$A$2:$A$500)),"")</f>
        <v/>
      </c>
      <c r="H4433" s="25">
        <v>3375</v>
      </c>
      <c r="I4433" s="28">
        <v>46325</v>
      </c>
      <c r="J4433" t="s">
        <v>94</v>
      </c>
      <c r="K4433" t="s">
        <v>93</v>
      </c>
    </row>
    <row r="4434" spans="1:11" hidden="1">
      <c r="A4434" s="28">
        <v>46325</v>
      </c>
      <c r="B4434" t="s">
        <v>3523</v>
      </c>
      <c r="C4434" t="s">
        <v>151</v>
      </c>
      <c r="D4434" t="s">
        <v>3462</v>
      </c>
      <c r="E4434" t="str">
        <f>IF(LEFT(D4434,6)="CLIENT",IFERROR(VLOOKUP(C4434,Config_Carteiras!$A:$B,2,FALSE),1),"")</f>
        <v/>
      </c>
      <c r="F4434" s="25">
        <v>0</v>
      </c>
      <c r="G4434" s="28" t="str">
        <f>IF(LEFT(D4434,6)="CLIENT",IF(E4434=0,WORKDAY(A4434-1,1,Dias_Sem_Compensacao!$A$2:$A$500),WORKDAY(A4434,E4434,Dias_Sem_Compensacao!$A$2:$A$500)),"")</f>
        <v/>
      </c>
      <c r="H4434" s="25">
        <v>4000</v>
      </c>
      <c r="I4434" s="28">
        <v>46325</v>
      </c>
      <c r="J4434" t="s">
        <v>173</v>
      </c>
      <c r="K4434" t="s">
        <v>172</v>
      </c>
    </row>
    <row r="4435" spans="1:11" hidden="1">
      <c r="A4435" s="28">
        <v>46327</v>
      </c>
      <c r="B4435" t="s">
        <v>3523</v>
      </c>
      <c r="C4435" t="s">
        <v>151</v>
      </c>
      <c r="D4435" t="s">
        <v>3462</v>
      </c>
      <c r="E4435" t="str">
        <f>IF(LEFT(D4435,6)="CLIENT",IFERROR(VLOOKUP(C4435,Config_Carteiras!$A:$B,2,FALSE),1),"")</f>
        <v/>
      </c>
      <c r="F4435" s="25">
        <v>0</v>
      </c>
      <c r="G4435" s="28" t="str">
        <f>IF(LEFT(D4435,6)="CLIENT",IF(E4435=0,WORKDAY(A4435-1,1,Dias_Sem_Compensacao!$A$2:$A$500),WORKDAY(A4435,E4435,Dias_Sem_Compensacao!$A$2:$A$500)),"")</f>
        <v/>
      </c>
      <c r="H4435" s="25">
        <v>1240</v>
      </c>
      <c r="I4435" s="28">
        <v>46327</v>
      </c>
      <c r="J4435" t="s">
        <v>162</v>
      </c>
      <c r="K4435" t="s">
        <v>161</v>
      </c>
    </row>
    <row r="4436" spans="1:11" hidden="1">
      <c r="A4436" s="28">
        <v>46328</v>
      </c>
      <c r="B4436" t="s">
        <v>3523</v>
      </c>
      <c r="C4436" t="s">
        <v>151</v>
      </c>
      <c r="D4436" t="s">
        <v>3462</v>
      </c>
      <c r="E4436" t="str">
        <f>IF(LEFT(D4436,6)="CLIENT",IFERROR(VLOOKUP(C4436,Config_Carteiras!$A:$B,2,FALSE),1),"")</f>
        <v/>
      </c>
      <c r="F4436" s="25">
        <v>0</v>
      </c>
      <c r="G4436" s="28" t="str">
        <f>IF(LEFT(D4436,6)="CLIENT",IF(E4436=0,WORKDAY(A4436-1,1,Dias_Sem_Compensacao!$A$2:$A$500),WORKDAY(A4436,E4436,Dias_Sem_Compensacao!$A$2:$A$500)),"")</f>
        <v/>
      </c>
      <c r="H4436" s="25">
        <v>177.13</v>
      </c>
      <c r="I4436" s="28">
        <v>46328</v>
      </c>
      <c r="J4436" t="s">
        <v>3650</v>
      </c>
      <c r="K4436" t="s">
        <v>3651</v>
      </c>
    </row>
    <row r="4437" spans="1:11" hidden="1">
      <c r="A4437" s="28">
        <v>46328</v>
      </c>
      <c r="B4437" t="s">
        <v>3523</v>
      </c>
      <c r="C4437" t="s">
        <v>151</v>
      </c>
      <c r="D4437" t="s">
        <v>3462</v>
      </c>
      <c r="E4437" t="str">
        <f>IF(LEFT(D4437,6)="CLIENT",IFERROR(VLOOKUP(C4437,Config_Carteiras!$A:$B,2,FALSE),1),"")</f>
        <v/>
      </c>
      <c r="F4437" s="25">
        <v>0</v>
      </c>
      <c r="G4437" s="28" t="str">
        <f>IF(LEFT(D4437,6)="CLIENT",IF(E4437=0,WORKDAY(A4437-1,1,Dias_Sem_Compensacao!$A$2:$A$500),WORKDAY(A4437,E4437,Dias_Sem_Compensacao!$A$2:$A$500)),"")</f>
        <v/>
      </c>
      <c r="H4437" s="25">
        <v>435</v>
      </c>
      <c r="I4437" s="28">
        <v>46328</v>
      </c>
      <c r="J4437" t="s">
        <v>167</v>
      </c>
      <c r="K4437" t="s">
        <v>166</v>
      </c>
    </row>
    <row r="4438" spans="1:11" hidden="1">
      <c r="A4438" s="28">
        <v>46329</v>
      </c>
      <c r="B4438" t="s">
        <v>3523</v>
      </c>
      <c r="C4438" t="s">
        <v>151</v>
      </c>
      <c r="D4438" t="s">
        <v>3462</v>
      </c>
      <c r="E4438" t="str">
        <f>IF(LEFT(D4438,6)="CLIENT",IFERROR(VLOOKUP(C4438,Config_Carteiras!$A:$B,2,FALSE),1),"")</f>
        <v/>
      </c>
      <c r="F4438" s="25">
        <v>0</v>
      </c>
      <c r="G4438" s="28" t="str">
        <f>IF(LEFT(D4438,6)="CLIENT",IF(E4438=0,WORKDAY(A4438-1,1,Dias_Sem_Compensacao!$A$2:$A$500),WORKDAY(A4438,E4438,Dias_Sem_Compensacao!$A$2:$A$500)),"")</f>
        <v/>
      </c>
      <c r="H4438" s="25">
        <v>7247.05</v>
      </c>
      <c r="I4438" s="28">
        <v>46329</v>
      </c>
      <c r="J4438" t="s">
        <v>115</v>
      </c>
      <c r="K4438" t="s">
        <v>114</v>
      </c>
    </row>
    <row r="4439" spans="1:11" hidden="1">
      <c r="A4439" s="28">
        <v>46329</v>
      </c>
      <c r="B4439" t="s">
        <v>3523</v>
      </c>
      <c r="C4439" t="s">
        <v>151</v>
      </c>
      <c r="D4439" t="s">
        <v>3462</v>
      </c>
      <c r="E4439" t="str">
        <f>IF(LEFT(D4439,6)="CLIENT",IFERROR(VLOOKUP(C4439,Config_Carteiras!$A:$B,2,FALSE),1),"")</f>
        <v/>
      </c>
      <c r="F4439" s="25">
        <v>0</v>
      </c>
      <c r="G4439" s="28" t="str">
        <f>IF(LEFT(D4439,6)="CLIENT",IF(E4439=0,WORKDAY(A4439-1,1,Dias_Sem_Compensacao!$A$2:$A$500),WORKDAY(A4439,E4439,Dias_Sem_Compensacao!$A$2:$A$500)),"")</f>
        <v/>
      </c>
      <c r="H4439" s="25">
        <v>627.67999999999995</v>
      </c>
      <c r="I4439" s="28">
        <v>46329</v>
      </c>
      <c r="J4439" t="s">
        <v>3650</v>
      </c>
      <c r="K4439" t="s">
        <v>3652</v>
      </c>
    </row>
    <row r="4440" spans="1:11" hidden="1">
      <c r="A4440" s="28">
        <v>46329</v>
      </c>
      <c r="B4440" t="s">
        <v>3523</v>
      </c>
      <c r="C4440" t="s">
        <v>151</v>
      </c>
      <c r="D4440" t="s">
        <v>3462</v>
      </c>
      <c r="E4440" t="str">
        <f>IF(LEFT(D4440,6)="CLIENT",IFERROR(VLOOKUP(C4440,Config_Carteiras!$A:$B,2,FALSE),1),"")</f>
        <v/>
      </c>
      <c r="F4440" s="25">
        <v>0</v>
      </c>
      <c r="G4440" s="28" t="str">
        <f>IF(LEFT(D4440,6)="CLIENT",IF(E4440=0,WORKDAY(A4440-1,1,Dias_Sem_Compensacao!$A$2:$A$500),WORKDAY(A4440,E4440,Dias_Sem_Compensacao!$A$2:$A$500)),"")</f>
        <v/>
      </c>
      <c r="H4440" s="25">
        <v>3717.42</v>
      </c>
      <c r="I4440" s="28">
        <v>46329</v>
      </c>
      <c r="J4440" t="s">
        <v>3545</v>
      </c>
      <c r="K4440" t="s">
        <v>3546</v>
      </c>
    </row>
    <row r="4441" spans="1:11" hidden="1">
      <c r="A4441" s="28">
        <v>46329</v>
      </c>
      <c r="B4441" t="s">
        <v>3523</v>
      </c>
      <c r="C4441" t="s">
        <v>151</v>
      </c>
      <c r="D4441" t="s">
        <v>3462</v>
      </c>
      <c r="E4441" t="str">
        <f>IF(LEFT(D4441,6)="CLIENT",IFERROR(VLOOKUP(C4441,Config_Carteiras!$A:$B,2,FALSE),1),"")</f>
        <v/>
      </c>
      <c r="F4441" s="25">
        <v>0</v>
      </c>
      <c r="G4441" s="28" t="str">
        <f>IF(LEFT(D4441,6)="CLIENT",IF(E4441=0,WORKDAY(A4441-1,1,Dias_Sem_Compensacao!$A$2:$A$500),WORKDAY(A4441,E4441,Dias_Sem_Compensacao!$A$2:$A$500)),"")</f>
        <v/>
      </c>
      <c r="H4441" s="25">
        <v>1850</v>
      </c>
      <c r="I4441" s="28">
        <v>46329</v>
      </c>
      <c r="J4441" t="s">
        <v>1162</v>
      </c>
      <c r="K4441" t="s">
        <v>3540</v>
      </c>
    </row>
    <row r="4442" spans="1:11" hidden="1">
      <c r="A4442" s="28">
        <v>46329</v>
      </c>
      <c r="B4442" t="s">
        <v>3523</v>
      </c>
      <c r="C4442" t="s">
        <v>151</v>
      </c>
      <c r="D4442" t="s">
        <v>3462</v>
      </c>
      <c r="E4442" t="str">
        <f>IF(LEFT(D4442,6)="CLIENT",IFERROR(VLOOKUP(C4442,Config_Carteiras!$A:$B,2,FALSE),1),"")</f>
        <v/>
      </c>
      <c r="F4442" s="25">
        <v>0</v>
      </c>
      <c r="G4442" s="28" t="str">
        <f>IF(LEFT(D4442,6)="CLIENT",IF(E4442=0,WORKDAY(A4442-1,1,Dias_Sem_Compensacao!$A$2:$A$500),WORKDAY(A4442,E4442,Dias_Sem_Compensacao!$A$2:$A$500)),"")</f>
        <v/>
      </c>
      <c r="H4442" s="25">
        <v>2061.31</v>
      </c>
      <c r="I4442" s="28">
        <v>46329</v>
      </c>
      <c r="J4442" t="s">
        <v>3661</v>
      </c>
      <c r="K4442" t="s">
        <v>3662</v>
      </c>
    </row>
    <row r="4443" spans="1:11" hidden="1">
      <c r="A4443" s="28">
        <v>46329</v>
      </c>
      <c r="B4443" t="s">
        <v>3523</v>
      </c>
      <c r="C4443" t="s">
        <v>151</v>
      </c>
      <c r="D4443" t="s">
        <v>3462</v>
      </c>
      <c r="E4443" t="str">
        <f>IF(LEFT(D4443,6)="CLIENT",IFERROR(VLOOKUP(C4443,Config_Carteiras!$A:$B,2,FALSE),1),"")</f>
        <v/>
      </c>
      <c r="F4443" s="25">
        <v>0</v>
      </c>
      <c r="G4443" s="28" t="str">
        <f>IF(LEFT(D4443,6)="CLIENT",IF(E4443=0,WORKDAY(A4443-1,1,Dias_Sem_Compensacao!$A$2:$A$500),WORKDAY(A4443,E4443,Dias_Sem_Compensacao!$A$2:$A$500)),"")</f>
        <v/>
      </c>
      <c r="H4443" s="25">
        <v>16000</v>
      </c>
      <c r="I4443" s="28">
        <v>46329</v>
      </c>
      <c r="J4443" t="s">
        <v>34</v>
      </c>
      <c r="K4443" t="s">
        <v>3419</v>
      </c>
    </row>
    <row r="4444" spans="1:11" hidden="1">
      <c r="A4444" s="28">
        <v>46329</v>
      </c>
      <c r="B4444" t="s">
        <v>3523</v>
      </c>
      <c r="C4444" t="s">
        <v>151</v>
      </c>
      <c r="D4444" t="s">
        <v>3462</v>
      </c>
      <c r="E4444" t="str">
        <f>IF(LEFT(D4444,6)="CLIENT",IFERROR(VLOOKUP(C4444,Config_Carteiras!$A:$B,2,FALSE),1),"")</f>
        <v/>
      </c>
      <c r="F4444" s="25">
        <v>0</v>
      </c>
      <c r="G4444" s="28" t="str">
        <f>IF(LEFT(D4444,6)="CLIENT",IF(E4444=0,WORKDAY(A4444-1,1,Dias_Sem_Compensacao!$A$2:$A$500),WORKDAY(A4444,E4444,Dias_Sem_Compensacao!$A$2:$A$500)),"")</f>
        <v/>
      </c>
      <c r="H4444" s="25">
        <v>2410.23</v>
      </c>
      <c r="I4444" s="28">
        <v>46329</v>
      </c>
      <c r="J4444" t="s">
        <v>162</v>
      </c>
      <c r="K4444" t="s">
        <v>144</v>
      </c>
    </row>
    <row r="4445" spans="1:11" hidden="1">
      <c r="A4445" s="28">
        <v>46329</v>
      </c>
      <c r="B4445" t="s">
        <v>3523</v>
      </c>
      <c r="C4445" t="s">
        <v>151</v>
      </c>
      <c r="D4445" t="s">
        <v>3462</v>
      </c>
      <c r="E4445" t="str">
        <f>IF(LEFT(D4445,6)="CLIENT",IFERROR(VLOOKUP(C4445,Config_Carteiras!$A:$B,2,FALSE),1),"")</f>
        <v/>
      </c>
      <c r="F4445" s="25">
        <v>0</v>
      </c>
      <c r="G4445" s="28" t="str">
        <f>IF(LEFT(D4445,6)="CLIENT",IF(E4445=0,WORKDAY(A4445-1,1,Dias_Sem_Compensacao!$A$2:$A$500),WORKDAY(A4445,E4445,Dias_Sem_Compensacao!$A$2:$A$500)),"")</f>
        <v/>
      </c>
      <c r="H4445" s="25">
        <v>1215.8800000000001</v>
      </c>
      <c r="I4445" s="28">
        <v>46329</v>
      </c>
      <c r="J4445" t="s">
        <v>3565</v>
      </c>
      <c r="K4445" t="s">
        <v>3566</v>
      </c>
    </row>
    <row r="4446" spans="1:11" hidden="1">
      <c r="A4446" s="28">
        <v>46330</v>
      </c>
      <c r="B4446" t="s">
        <v>3523</v>
      </c>
      <c r="C4446" t="s">
        <v>151</v>
      </c>
      <c r="D4446" t="s">
        <v>3462</v>
      </c>
      <c r="E4446" t="str">
        <f>IF(LEFT(D4446,6)="CLIENT",IFERROR(VLOOKUP(C4446,Config_Carteiras!$A:$B,2,FALSE),1),"")</f>
        <v/>
      </c>
      <c r="F4446" s="25">
        <v>0</v>
      </c>
      <c r="G4446" s="28" t="str">
        <f>IF(LEFT(D4446,6)="CLIENT",IF(E4446=0,WORKDAY(A4446-1,1,Dias_Sem_Compensacao!$A$2:$A$500),WORKDAY(A4446,E4446,Dias_Sem_Compensacao!$A$2:$A$500)),"")</f>
        <v/>
      </c>
      <c r="H4446" s="25">
        <v>339.69</v>
      </c>
      <c r="I4446" s="28">
        <v>46330</v>
      </c>
      <c r="J4446" t="s">
        <v>3571</v>
      </c>
      <c r="K4446" t="s">
        <v>3572</v>
      </c>
    </row>
    <row r="4447" spans="1:11" hidden="1">
      <c r="A4447" s="28">
        <v>46330</v>
      </c>
      <c r="B4447" t="s">
        <v>3523</v>
      </c>
      <c r="C4447" t="s">
        <v>151</v>
      </c>
      <c r="D4447" t="s">
        <v>3462</v>
      </c>
      <c r="E4447" t="str">
        <f>IF(LEFT(D4447,6)="CLIENT",IFERROR(VLOOKUP(C4447,Config_Carteiras!$A:$B,2,FALSE),1),"")</f>
        <v/>
      </c>
      <c r="F4447" s="25">
        <v>0</v>
      </c>
      <c r="G4447" s="28" t="str">
        <f>IF(LEFT(D4447,6)="CLIENT",IF(E4447=0,WORKDAY(A4447-1,1,Dias_Sem_Compensacao!$A$2:$A$500),WORKDAY(A4447,E4447,Dias_Sem_Compensacao!$A$2:$A$500)),"")</f>
        <v/>
      </c>
      <c r="H4447" s="25">
        <v>1312.93</v>
      </c>
      <c r="I4447" s="28">
        <v>46330</v>
      </c>
      <c r="K4447" t="s">
        <v>3573</v>
      </c>
    </row>
    <row r="4448" spans="1:11" hidden="1">
      <c r="A4448" s="28">
        <v>46331</v>
      </c>
      <c r="B4448" t="s">
        <v>3523</v>
      </c>
      <c r="C4448" t="s">
        <v>151</v>
      </c>
      <c r="D4448" t="s">
        <v>3462</v>
      </c>
      <c r="E4448" t="str">
        <f>IF(LEFT(D4448,6)="CLIENT",IFERROR(VLOOKUP(C4448,Config_Carteiras!$A:$B,2,FALSE),1),"")</f>
        <v/>
      </c>
      <c r="F4448" s="25">
        <v>0</v>
      </c>
      <c r="G4448" s="28" t="str">
        <f>IF(LEFT(D4448,6)="CLIENT",IF(E4448=0,WORKDAY(A4448-1,1,Dias_Sem_Compensacao!$A$2:$A$500),WORKDAY(A4448,E4448,Dias_Sem_Compensacao!$A$2:$A$500)),"")</f>
        <v/>
      </c>
      <c r="H4448" s="25">
        <v>1191.01</v>
      </c>
      <c r="I4448" s="28">
        <v>46331</v>
      </c>
      <c r="J4448" t="s">
        <v>3549</v>
      </c>
      <c r="K4448" t="s">
        <v>3550</v>
      </c>
    </row>
    <row r="4449" spans="1:11" hidden="1">
      <c r="A4449" s="28">
        <v>46331</v>
      </c>
      <c r="B4449" t="s">
        <v>3523</v>
      </c>
      <c r="C4449" t="s">
        <v>151</v>
      </c>
      <c r="D4449" t="s">
        <v>3462</v>
      </c>
      <c r="E4449" t="str">
        <f>IF(LEFT(D4449,6)="CLIENT",IFERROR(VLOOKUP(C4449,Config_Carteiras!$A:$B,2,FALSE),1),"")</f>
        <v/>
      </c>
      <c r="F4449" s="25">
        <v>0</v>
      </c>
      <c r="G4449" s="28" t="str">
        <f>IF(LEFT(D4449,6)="CLIENT",IF(E4449=0,WORKDAY(A4449-1,1,Dias_Sem_Compensacao!$A$2:$A$500),WORKDAY(A4449,E4449,Dias_Sem_Compensacao!$A$2:$A$500)),"")</f>
        <v/>
      </c>
      <c r="H4449" s="25">
        <v>330</v>
      </c>
      <c r="I4449" s="28">
        <v>46331</v>
      </c>
      <c r="J4449" t="s">
        <v>167</v>
      </c>
      <c r="K4449" t="s">
        <v>3567</v>
      </c>
    </row>
    <row r="4450" spans="1:11" hidden="1">
      <c r="A4450" s="28">
        <v>46332</v>
      </c>
      <c r="B4450" t="s">
        <v>3523</v>
      </c>
      <c r="C4450" t="s">
        <v>151</v>
      </c>
      <c r="D4450" t="s">
        <v>3462</v>
      </c>
      <c r="E4450" t="str">
        <f>IF(LEFT(D4450,6)="CLIENT",IFERROR(VLOOKUP(C4450,Config_Carteiras!$A:$B,2,FALSE),1),"")</f>
        <v/>
      </c>
      <c r="F4450" s="25">
        <v>0</v>
      </c>
      <c r="G4450" s="28" t="str">
        <f>IF(LEFT(D4450,6)="CLIENT",IF(E4450=0,WORKDAY(A4450-1,1,Dias_Sem_Compensacao!$A$2:$A$500),WORKDAY(A4450,E4450,Dias_Sem_Compensacao!$A$2:$A$500)),"")</f>
        <v/>
      </c>
      <c r="H4450" s="25">
        <v>1078.22</v>
      </c>
      <c r="I4450" s="28">
        <v>46332</v>
      </c>
      <c r="J4450" t="s">
        <v>3592</v>
      </c>
      <c r="K4450" t="s">
        <v>3593</v>
      </c>
    </row>
    <row r="4451" spans="1:11" hidden="1">
      <c r="A4451" s="28">
        <v>46335</v>
      </c>
      <c r="B4451" t="s">
        <v>3523</v>
      </c>
      <c r="C4451" t="s">
        <v>151</v>
      </c>
      <c r="D4451" t="s">
        <v>3462</v>
      </c>
      <c r="E4451" t="str">
        <f>IF(LEFT(D4451,6)="CLIENT",IFERROR(VLOOKUP(C4451,Config_Carteiras!$A:$B,2,FALSE),1),"")</f>
        <v/>
      </c>
      <c r="F4451" s="25">
        <v>0</v>
      </c>
      <c r="G4451" s="28" t="str">
        <f>IF(LEFT(D4451,6)="CLIENT",IF(E4451=0,WORKDAY(A4451-1,1,Dias_Sem_Compensacao!$A$2:$A$500),WORKDAY(A4451,E4451,Dias_Sem_Compensacao!$A$2:$A$500)),"")</f>
        <v/>
      </c>
      <c r="H4451" s="25">
        <v>3027.8</v>
      </c>
      <c r="I4451" s="28">
        <v>46335</v>
      </c>
      <c r="J4451" t="s">
        <v>3653</v>
      </c>
      <c r="K4451" t="s">
        <v>3654</v>
      </c>
    </row>
    <row r="4452" spans="1:11" hidden="1">
      <c r="A4452" s="28">
        <v>46335</v>
      </c>
      <c r="B4452" t="s">
        <v>3523</v>
      </c>
      <c r="C4452" t="s">
        <v>151</v>
      </c>
      <c r="D4452" t="s">
        <v>3462</v>
      </c>
      <c r="E4452" t="str">
        <f>IF(LEFT(D4452,6)="CLIENT",IFERROR(VLOOKUP(C4452,Config_Carteiras!$A:$B,2,FALSE),1),"")</f>
        <v/>
      </c>
      <c r="F4452" s="25">
        <v>0</v>
      </c>
      <c r="G4452" s="28" t="str">
        <f>IF(LEFT(D4452,6)="CLIENT",IF(E4452=0,WORKDAY(A4452-1,1,Dias_Sem_Compensacao!$A$2:$A$500),WORKDAY(A4452,E4452,Dias_Sem_Compensacao!$A$2:$A$500)),"")</f>
        <v/>
      </c>
      <c r="H4452" s="25">
        <v>1410</v>
      </c>
      <c r="I4452" s="28">
        <v>46335</v>
      </c>
      <c r="J4452" t="s">
        <v>3602</v>
      </c>
      <c r="K4452" t="s">
        <v>3603</v>
      </c>
    </row>
    <row r="4453" spans="1:11" hidden="1">
      <c r="A4453" s="28">
        <v>46336</v>
      </c>
      <c r="B4453" t="s">
        <v>3523</v>
      </c>
      <c r="C4453" t="s">
        <v>151</v>
      </c>
      <c r="D4453" t="s">
        <v>3462</v>
      </c>
      <c r="E4453" t="str">
        <f>IF(LEFT(D4453,6)="CLIENT",IFERROR(VLOOKUP(C4453,Config_Carteiras!$A:$B,2,FALSE),1),"")</f>
        <v/>
      </c>
      <c r="F4453" s="25">
        <v>0</v>
      </c>
      <c r="G4453" s="28" t="str">
        <f>IF(LEFT(D4453,6)="CLIENT",IF(E4453=0,WORKDAY(A4453-1,1,Dias_Sem_Compensacao!$A$2:$A$500),WORKDAY(A4453,E4453,Dias_Sem_Compensacao!$A$2:$A$500)),"")</f>
        <v/>
      </c>
      <c r="H4453" s="25">
        <v>9545.4500000000007</v>
      </c>
      <c r="I4453" s="28">
        <v>46336</v>
      </c>
      <c r="J4453" t="s">
        <v>3632</v>
      </c>
      <c r="K4453" t="s">
        <v>3633</v>
      </c>
    </row>
    <row r="4454" spans="1:11" hidden="1">
      <c r="A4454" s="28">
        <v>46336</v>
      </c>
      <c r="B4454" t="s">
        <v>3523</v>
      </c>
      <c r="C4454" t="s">
        <v>151</v>
      </c>
      <c r="D4454" t="s">
        <v>3462</v>
      </c>
      <c r="E4454" t="str">
        <f>IF(LEFT(D4454,6)="CLIENT",IFERROR(VLOOKUP(C4454,Config_Carteiras!$A:$B,2,FALSE),1),"")</f>
        <v/>
      </c>
      <c r="F4454" s="25">
        <v>0</v>
      </c>
      <c r="G4454" s="28" t="str">
        <f>IF(LEFT(D4454,6)="CLIENT",IF(E4454=0,WORKDAY(A4454-1,1,Dias_Sem_Compensacao!$A$2:$A$500),WORKDAY(A4454,E4454,Dias_Sem_Compensacao!$A$2:$A$500)),"")</f>
        <v/>
      </c>
      <c r="H4454" s="25">
        <v>222</v>
      </c>
      <c r="I4454" s="28">
        <v>46336</v>
      </c>
      <c r="J4454" t="s">
        <v>3626</v>
      </c>
      <c r="K4454" t="s">
        <v>3627</v>
      </c>
    </row>
    <row r="4455" spans="1:11" hidden="1">
      <c r="A4455" s="28">
        <v>46339</v>
      </c>
      <c r="B4455" t="s">
        <v>3523</v>
      </c>
      <c r="C4455" t="s">
        <v>151</v>
      </c>
      <c r="D4455" t="s">
        <v>3462</v>
      </c>
      <c r="E4455" t="str">
        <f>IF(LEFT(D4455,6)="CLIENT",IFERROR(VLOOKUP(C4455,Config_Carteiras!$A:$B,2,FALSE),1),"")</f>
        <v/>
      </c>
      <c r="F4455" s="25">
        <v>0</v>
      </c>
      <c r="G4455" s="28" t="str">
        <f>IF(LEFT(D4455,6)="CLIENT",IF(E4455=0,WORKDAY(A4455-1,1,Dias_Sem_Compensacao!$A$2:$A$500),WORKDAY(A4455,E4455,Dias_Sem_Compensacao!$A$2:$A$500)),"")</f>
        <v/>
      </c>
      <c r="H4455" s="25">
        <v>6072.93</v>
      </c>
      <c r="I4455" s="28">
        <v>46339</v>
      </c>
      <c r="J4455" t="s">
        <v>3561</v>
      </c>
      <c r="K4455" t="s">
        <v>3663</v>
      </c>
    </row>
    <row r="4456" spans="1:11" hidden="1">
      <c r="A4456" s="28">
        <v>46341</v>
      </c>
      <c r="B4456" t="s">
        <v>3523</v>
      </c>
      <c r="C4456" t="s">
        <v>151</v>
      </c>
      <c r="D4456" t="s">
        <v>3462</v>
      </c>
      <c r="E4456" t="str">
        <f>IF(LEFT(D4456,6)="CLIENT",IFERROR(VLOOKUP(C4456,Config_Carteiras!$A:$B,2,FALSE),1),"")</f>
        <v/>
      </c>
      <c r="F4456" s="25">
        <v>0</v>
      </c>
      <c r="G4456" s="28" t="str">
        <f>IF(LEFT(D4456,6)="CLIENT",IF(E4456=0,WORKDAY(A4456-1,1,Dias_Sem_Compensacao!$A$2:$A$500),WORKDAY(A4456,E4456,Dias_Sem_Compensacao!$A$2:$A$500)),"")</f>
        <v/>
      </c>
      <c r="H4456" s="25">
        <v>300.8</v>
      </c>
      <c r="I4456" s="28">
        <v>46341</v>
      </c>
      <c r="J4456" t="s">
        <v>3755</v>
      </c>
      <c r="K4456" t="s">
        <v>3756</v>
      </c>
    </row>
    <row r="4457" spans="1:11" hidden="1">
      <c r="A4457" s="28">
        <v>46341</v>
      </c>
      <c r="B4457" t="s">
        <v>3523</v>
      </c>
      <c r="C4457" t="s">
        <v>151</v>
      </c>
      <c r="D4457" t="s">
        <v>3462</v>
      </c>
      <c r="E4457" t="str">
        <f>IF(LEFT(D4457,6)="CLIENT",IFERROR(VLOOKUP(C4457,Config_Carteiras!$A:$B,2,FALSE),1),"")</f>
        <v/>
      </c>
      <c r="F4457" s="25">
        <v>0</v>
      </c>
      <c r="G4457" s="28" t="str">
        <f>IF(LEFT(D4457,6)="CLIENT",IF(E4457=0,WORKDAY(A4457-1,1,Dias_Sem_Compensacao!$A$2:$A$500),WORKDAY(A4457,E4457,Dias_Sem_Compensacao!$A$2:$A$500)),"")</f>
        <v/>
      </c>
      <c r="H4457" s="25">
        <v>300.8</v>
      </c>
      <c r="I4457" s="28">
        <v>46341</v>
      </c>
      <c r="K4457" t="s">
        <v>3522</v>
      </c>
    </row>
    <row r="4458" spans="1:11" hidden="1">
      <c r="A4458" s="28">
        <v>46341</v>
      </c>
      <c r="B4458" t="s">
        <v>3523</v>
      </c>
      <c r="C4458" t="s">
        <v>151</v>
      </c>
      <c r="D4458" t="s">
        <v>3462</v>
      </c>
      <c r="E4458" t="str">
        <f>IF(LEFT(D4458,6)="CLIENT",IFERROR(VLOOKUP(C4458,Config_Carteiras!$A:$B,2,FALSE),1),"")</f>
        <v/>
      </c>
      <c r="F4458" s="25">
        <v>0</v>
      </c>
      <c r="G4458" s="28" t="str">
        <f>IF(LEFT(D4458,6)="CLIENT",IF(E4458=0,WORKDAY(A4458-1,1,Dias_Sem_Compensacao!$A$2:$A$500),WORKDAY(A4458,E4458,Dias_Sem_Compensacao!$A$2:$A$500)),"")</f>
        <v/>
      </c>
      <c r="H4458" s="25">
        <v>2618</v>
      </c>
      <c r="I4458" s="28">
        <v>46341</v>
      </c>
      <c r="J4458" t="s">
        <v>3561</v>
      </c>
      <c r="K4458" t="s">
        <v>3757</v>
      </c>
    </row>
    <row r="4459" spans="1:11" hidden="1">
      <c r="A4459" s="28">
        <v>46343</v>
      </c>
      <c r="B4459" t="s">
        <v>3523</v>
      </c>
      <c r="C4459" t="s">
        <v>151</v>
      </c>
      <c r="D4459" t="s">
        <v>3462</v>
      </c>
      <c r="E4459" t="str">
        <f>IF(LEFT(D4459,6)="CLIENT",IFERROR(VLOOKUP(C4459,Config_Carteiras!$A:$B,2,FALSE),1),"")</f>
        <v/>
      </c>
      <c r="F4459" s="25">
        <v>0</v>
      </c>
      <c r="G4459" s="28" t="str">
        <f>IF(LEFT(D4459,6)="CLIENT",IF(E4459=0,WORKDAY(A4459-1,1,Dias_Sem_Compensacao!$A$2:$A$500),WORKDAY(A4459,E4459,Dias_Sem_Compensacao!$A$2:$A$500)),"")</f>
        <v/>
      </c>
      <c r="H4459" s="25">
        <v>1435.8</v>
      </c>
      <c r="I4459" s="28">
        <v>46343</v>
      </c>
      <c r="J4459" t="s">
        <v>3846</v>
      </c>
      <c r="K4459" t="s">
        <v>3847</v>
      </c>
    </row>
    <row r="4460" spans="1:11" hidden="1">
      <c r="A4460" s="28">
        <v>46343</v>
      </c>
      <c r="B4460" t="s">
        <v>3523</v>
      </c>
      <c r="C4460" t="s">
        <v>151</v>
      </c>
      <c r="D4460" t="s">
        <v>3462</v>
      </c>
      <c r="E4460" t="str">
        <f>IF(LEFT(D4460,6)="CLIENT",IFERROR(VLOOKUP(C4460,Config_Carteiras!$A:$B,2,FALSE),1),"")</f>
        <v/>
      </c>
      <c r="F4460" s="25">
        <v>0</v>
      </c>
      <c r="G4460" s="28" t="str">
        <f>IF(LEFT(D4460,6)="CLIENT",IF(E4460=0,WORKDAY(A4460-1,1,Dias_Sem_Compensacao!$A$2:$A$500),WORKDAY(A4460,E4460,Dias_Sem_Compensacao!$A$2:$A$500)),"")</f>
        <v/>
      </c>
      <c r="H4460" s="25">
        <v>919.26</v>
      </c>
      <c r="I4460" s="28">
        <v>46343</v>
      </c>
      <c r="J4460" t="s">
        <v>3565</v>
      </c>
      <c r="K4460" t="s">
        <v>3886</v>
      </c>
    </row>
    <row r="4461" spans="1:11" hidden="1">
      <c r="A4461" s="28">
        <v>46344</v>
      </c>
      <c r="B4461" t="s">
        <v>3523</v>
      </c>
      <c r="C4461" t="s">
        <v>151</v>
      </c>
      <c r="D4461" t="s">
        <v>3462</v>
      </c>
      <c r="E4461" t="str">
        <f>IF(LEFT(D4461,6)="CLIENT",IFERROR(VLOOKUP(C4461,Config_Carteiras!$A:$B,2,FALSE),1),"")</f>
        <v/>
      </c>
      <c r="F4461" s="25">
        <v>0</v>
      </c>
      <c r="G4461" s="28" t="str">
        <f>IF(LEFT(D4461,6)="CLIENT",IF(E4461=0,WORKDAY(A4461-1,1,Dias_Sem_Compensacao!$A$2:$A$500),WORKDAY(A4461,E4461,Dias_Sem_Compensacao!$A$2:$A$500)),"")</f>
        <v/>
      </c>
      <c r="H4461" s="25">
        <v>3200</v>
      </c>
      <c r="I4461" s="28">
        <v>46344</v>
      </c>
      <c r="J4461" t="s">
        <v>3879</v>
      </c>
      <c r="K4461" t="s">
        <v>3880</v>
      </c>
    </row>
    <row r="4462" spans="1:11" hidden="1">
      <c r="A4462" s="28">
        <v>46345</v>
      </c>
      <c r="B4462" t="s">
        <v>3523</v>
      </c>
      <c r="C4462" t="s">
        <v>151</v>
      </c>
      <c r="D4462" t="s">
        <v>3462</v>
      </c>
      <c r="E4462" t="str">
        <f>IF(LEFT(D4462,6)="CLIENT",IFERROR(VLOOKUP(C4462,Config_Carteiras!$A:$B,2,FALSE),1),"")</f>
        <v/>
      </c>
      <c r="F4462" s="25">
        <v>0</v>
      </c>
      <c r="G4462" s="28" t="str">
        <f>IF(LEFT(D4462,6)="CLIENT",IF(E4462=0,WORKDAY(A4462-1,1,Dias_Sem_Compensacao!$A$2:$A$500),WORKDAY(A4462,E4462,Dias_Sem_Compensacao!$A$2:$A$500)),"")</f>
        <v/>
      </c>
      <c r="H4462" s="25">
        <v>188.43</v>
      </c>
      <c r="I4462" s="28">
        <v>46345</v>
      </c>
      <c r="J4462" t="s">
        <v>4060</v>
      </c>
      <c r="K4462" t="s">
        <v>4061</v>
      </c>
    </row>
    <row r="4463" spans="1:11" hidden="1">
      <c r="A4463" s="28">
        <v>46347</v>
      </c>
      <c r="B4463" t="s">
        <v>3523</v>
      </c>
      <c r="C4463" t="s">
        <v>151</v>
      </c>
      <c r="D4463" t="s">
        <v>3462</v>
      </c>
      <c r="E4463" t="str">
        <f>IF(LEFT(D4463,6)="CLIENT",IFERROR(VLOOKUP(C4463,Config_Carteiras!$A:$B,2,FALSE),1),"")</f>
        <v/>
      </c>
      <c r="F4463" s="25">
        <v>0</v>
      </c>
      <c r="G4463" s="28" t="str">
        <f>IF(LEFT(D4463,6)="CLIENT",IF(E4463=0,WORKDAY(A4463-1,1,Dias_Sem_Compensacao!$A$2:$A$500),WORKDAY(A4463,E4463,Dias_Sem_Compensacao!$A$2:$A$500)),"")</f>
        <v/>
      </c>
      <c r="H4463" s="25">
        <v>369</v>
      </c>
      <c r="I4463" s="28">
        <v>46347</v>
      </c>
      <c r="J4463" t="s">
        <v>1162</v>
      </c>
      <c r="K4463" t="s">
        <v>3972</v>
      </c>
    </row>
    <row r="4464" spans="1:11" hidden="1">
      <c r="A4464" s="28">
        <v>46350</v>
      </c>
      <c r="B4464" t="s">
        <v>3523</v>
      </c>
      <c r="C4464" t="s">
        <v>151</v>
      </c>
      <c r="D4464" t="s">
        <v>3462</v>
      </c>
      <c r="E4464" t="str">
        <f>IF(LEFT(D4464,6)="CLIENT",IFERROR(VLOOKUP(C4464,Config_Carteiras!$A:$B,2,FALSE),1),"")</f>
        <v/>
      </c>
      <c r="F4464" s="25">
        <v>0</v>
      </c>
      <c r="G4464" s="28" t="str">
        <f>IF(LEFT(D4464,6)="CLIENT",IF(E4464=0,WORKDAY(A4464-1,1,Dias_Sem_Compensacao!$A$2:$A$500),WORKDAY(A4464,E4464,Dias_Sem_Compensacao!$A$2:$A$500)),"")</f>
        <v/>
      </c>
      <c r="H4464" s="25">
        <v>2882</v>
      </c>
      <c r="I4464" s="28">
        <v>46350</v>
      </c>
      <c r="J4464" t="s">
        <v>84</v>
      </c>
      <c r="K4464" t="s">
        <v>4107</v>
      </c>
    </row>
    <row r="4465" spans="1:11" hidden="1">
      <c r="A4465" s="28">
        <v>46357</v>
      </c>
      <c r="B4465" t="s">
        <v>3523</v>
      </c>
      <c r="C4465" t="s">
        <v>151</v>
      </c>
      <c r="D4465" t="s">
        <v>3462</v>
      </c>
      <c r="E4465" t="str">
        <f>IF(LEFT(D4465,6)="CLIENT",IFERROR(VLOOKUP(C4465,Config_Carteiras!$A:$B,2,FALSE),1),"")</f>
        <v/>
      </c>
      <c r="F4465" s="25">
        <v>0</v>
      </c>
      <c r="G4465" s="28" t="str">
        <f>IF(LEFT(D4465,6)="CLIENT",IF(E4465=0,WORKDAY(A4465-1,1,Dias_Sem_Compensacao!$A$2:$A$500),WORKDAY(A4465,E4465,Dias_Sem_Compensacao!$A$2:$A$500)),"")</f>
        <v/>
      </c>
      <c r="H4465" s="25">
        <v>1240</v>
      </c>
      <c r="I4465" s="28">
        <v>46357</v>
      </c>
      <c r="J4465" t="s">
        <v>162</v>
      </c>
      <c r="K4465" t="s">
        <v>161</v>
      </c>
    </row>
    <row r="4466" spans="1:11" hidden="1">
      <c r="A4466" s="28">
        <v>46357</v>
      </c>
      <c r="B4466" t="s">
        <v>3523</v>
      </c>
      <c r="C4466" t="s">
        <v>151</v>
      </c>
      <c r="D4466" t="s">
        <v>3462</v>
      </c>
      <c r="E4466" t="str">
        <f>IF(LEFT(D4466,6)="CLIENT",IFERROR(VLOOKUP(C4466,Config_Carteiras!$A:$B,2,FALSE),1),"")</f>
        <v/>
      </c>
      <c r="F4466" s="25">
        <v>0</v>
      </c>
      <c r="G4466" s="28" t="str">
        <f>IF(LEFT(D4466,6)="CLIENT",IF(E4466=0,WORKDAY(A4466-1,1,Dias_Sem_Compensacao!$A$2:$A$500),WORKDAY(A4466,E4466,Dias_Sem_Compensacao!$A$2:$A$500)),"")</f>
        <v/>
      </c>
      <c r="H4466" s="25">
        <v>2410.23</v>
      </c>
      <c r="I4466" s="28">
        <v>46357</v>
      </c>
      <c r="K4466" t="s">
        <v>144</v>
      </c>
    </row>
    <row r="4467" spans="1:11" hidden="1">
      <c r="A4467" s="28">
        <v>46359</v>
      </c>
      <c r="B4467" t="s">
        <v>3523</v>
      </c>
      <c r="C4467" t="s">
        <v>151</v>
      </c>
      <c r="D4467" t="s">
        <v>3462</v>
      </c>
      <c r="E4467" t="str">
        <f>IF(LEFT(D4467,6)="CLIENT",IFERROR(VLOOKUP(C4467,Config_Carteiras!$A:$B,2,FALSE),1),"")</f>
        <v/>
      </c>
      <c r="F4467" s="25">
        <v>0</v>
      </c>
      <c r="G4467" s="28" t="str">
        <f>IF(LEFT(D4467,6)="CLIENT",IF(E4467=0,WORKDAY(A4467-1,1,Dias_Sem_Compensacao!$A$2:$A$500),WORKDAY(A4467,E4467,Dias_Sem_Compensacao!$A$2:$A$500)),"")</f>
        <v/>
      </c>
      <c r="H4467" s="25">
        <v>3717.42</v>
      </c>
      <c r="I4467" s="28">
        <v>46359</v>
      </c>
      <c r="J4467" t="s">
        <v>3545</v>
      </c>
      <c r="K4467" t="s">
        <v>4109</v>
      </c>
    </row>
    <row r="4468" spans="1:11" hidden="1">
      <c r="A4468" s="28">
        <v>46359</v>
      </c>
      <c r="B4468" t="s">
        <v>3523</v>
      </c>
      <c r="C4468" t="s">
        <v>151</v>
      </c>
      <c r="D4468" t="s">
        <v>3462</v>
      </c>
      <c r="E4468" t="str">
        <f>IF(LEFT(D4468,6)="CLIENT",IFERROR(VLOOKUP(C4468,Config_Carteiras!$A:$B,2,FALSE),1),"")</f>
        <v/>
      </c>
      <c r="F4468" s="25">
        <v>0</v>
      </c>
      <c r="G4468" s="28" t="str">
        <f>IF(LEFT(D4468,6)="CLIENT",IF(E4468=0,WORKDAY(A4468-1,1,Dias_Sem_Compensacao!$A$2:$A$500),WORKDAY(A4468,E4468,Dias_Sem_Compensacao!$A$2:$A$500)),"")</f>
        <v/>
      </c>
      <c r="H4468" s="25">
        <v>1850</v>
      </c>
      <c r="I4468" s="28">
        <v>46359</v>
      </c>
      <c r="J4468" t="s">
        <v>1162</v>
      </c>
      <c r="K4468" t="s">
        <v>3540</v>
      </c>
    </row>
    <row r="4469" spans="1:11" hidden="1">
      <c r="A4469" s="28">
        <v>46360</v>
      </c>
      <c r="B4469" t="s">
        <v>3523</v>
      </c>
      <c r="C4469" t="s">
        <v>151</v>
      </c>
      <c r="D4469" t="s">
        <v>3462</v>
      </c>
      <c r="E4469" t="str">
        <f>IF(LEFT(D4469,6)="CLIENT",IFERROR(VLOOKUP(C4469,Config_Carteiras!$A:$B,2,FALSE),1),"")</f>
        <v/>
      </c>
      <c r="F4469" s="25">
        <v>0</v>
      </c>
      <c r="G4469" s="28" t="str">
        <f>IF(LEFT(D4469,6)="CLIENT",IF(E4469=0,WORKDAY(A4469-1,1,Dias_Sem_Compensacao!$A$2:$A$500),WORKDAY(A4469,E4469,Dias_Sem_Compensacao!$A$2:$A$500)),"")</f>
        <v/>
      </c>
      <c r="H4469" s="25">
        <v>339.69</v>
      </c>
      <c r="I4469" s="28">
        <v>46360</v>
      </c>
      <c r="J4469" t="s">
        <v>3571</v>
      </c>
      <c r="K4469" t="s">
        <v>3572</v>
      </c>
    </row>
    <row r="4470" spans="1:11" hidden="1">
      <c r="A4470" s="28">
        <v>46360</v>
      </c>
      <c r="B4470" t="s">
        <v>3523</v>
      </c>
      <c r="C4470" t="s">
        <v>151</v>
      </c>
      <c r="D4470" t="s">
        <v>3462</v>
      </c>
      <c r="E4470" t="str">
        <f>IF(LEFT(D4470,6)="CLIENT",IFERROR(VLOOKUP(C4470,Config_Carteiras!$A:$B,2,FALSE),1),"")</f>
        <v/>
      </c>
      <c r="F4470" s="25">
        <v>0</v>
      </c>
      <c r="G4470" s="28" t="str">
        <f>IF(LEFT(D4470,6)="CLIENT",IF(E4470=0,WORKDAY(A4470-1,1,Dias_Sem_Compensacao!$A$2:$A$500),WORKDAY(A4470,E4470,Dias_Sem_Compensacao!$A$2:$A$500)),"")</f>
        <v/>
      </c>
      <c r="H4470" s="25">
        <v>1312.93</v>
      </c>
      <c r="I4470" s="28">
        <v>46360</v>
      </c>
      <c r="K4470" t="s">
        <v>3573</v>
      </c>
    </row>
    <row r="4471" spans="1:11" hidden="1">
      <c r="A4471" s="28">
        <v>46363</v>
      </c>
      <c r="B4471" t="s">
        <v>3523</v>
      </c>
      <c r="C4471" t="s">
        <v>151</v>
      </c>
      <c r="D4471" t="s">
        <v>3462</v>
      </c>
      <c r="E4471" t="str">
        <f>IF(LEFT(D4471,6)="CLIENT",IFERROR(VLOOKUP(C4471,Config_Carteiras!$A:$B,2,FALSE),1),"")</f>
        <v/>
      </c>
      <c r="F4471" s="25">
        <v>0</v>
      </c>
      <c r="G4471" s="28" t="str">
        <f>IF(LEFT(D4471,6)="CLIENT",IF(E4471=0,WORKDAY(A4471-1,1,Dias_Sem_Compensacao!$A$2:$A$500),WORKDAY(A4471,E4471,Dias_Sem_Compensacao!$A$2:$A$500)),"")</f>
        <v/>
      </c>
      <c r="H4471" s="25">
        <v>1191.04</v>
      </c>
      <c r="I4471" s="28">
        <v>46363</v>
      </c>
      <c r="J4471" t="s">
        <v>3549</v>
      </c>
      <c r="K4471" t="s">
        <v>3550</v>
      </c>
    </row>
    <row r="4472" spans="1:11" hidden="1">
      <c r="A4472" s="28">
        <v>46363</v>
      </c>
      <c r="B4472" t="s">
        <v>3523</v>
      </c>
      <c r="C4472" t="s">
        <v>151</v>
      </c>
      <c r="D4472" t="s">
        <v>3462</v>
      </c>
      <c r="E4472" t="str">
        <f>IF(LEFT(D4472,6)="CLIENT",IFERROR(VLOOKUP(C4472,Config_Carteiras!$A:$B,2,FALSE),1),"")</f>
        <v/>
      </c>
      <c r="F4472" s="25">
        <v>0</v>
      </c>
      <c r="G4472" s="28" t="str">
        <f>IF(LEFT(D4472,6)="CLIENT",IF(E4472=0,WORKDAY(A4472-1,1,Dias_Sem_Compensacao!$A$2:$A$500),WORKDAY(A4472,E4472,Dias_Sem_Compensacao!$A$2:$A$500)),"")</f>
        <v/>
      </c>
      <c r="H4472" s="25">
        <v>1410</v>
      </c>
      <c r="I4472" s="28">
        <v>46363</v>
      </c>
      <c r="J4472" t="s">
        <v>3602</v>
      </c>
      <c r="K4472" t="s">
        <v>3603</v>
      </c>
    </row>
    <row r="4473" spans="1:11" hidden="1">
      <c r="A4473" s="28">
        <v>46366</v>
      </c>
      <c r="B4473" t="s">
        <v>3523</v>
      </c>
      <c r="C4473" t="s">
        <v>151</v>
      </c>
      <c r="D4473" t="s">
        <v>3462</v>
      </c>
      <c r="E4473" t="str">
        <f>IF(LEFT(D4473,6)="CLIENT",IFERROR(VLOOKUP(C4473,Config_Carteiras!$A:$B,2,FALSE),1),"")</f>
        <v/>
      </c>
      <c r="F4473" s="25">
        <v>0</v>
      </c>
      <c r="G4473" s="28" t="str">
        <f>IF(LEFT(D4473,6)="CLIENT",IF(E4473=0,WORKDAY(A4473-1,1,Dias_Sem_Compensacao!$A$2:$A$500),WORKDAY(A4473,E4473,Dias_Sem_Compensacao!$A$2:$A$500)),"")</f>
        <v/>
      </c>
      <c r="H4473" s="25">
        <v>9545.4500000000007</v>
      </c>
      <c r="I4473" s="28">
        <v>46366</v>
      </c>
      <c r="J4473" t="s">
        <v>3632</v>
      </c>
      <c r="K4473" t="s">
        <v>3633</v>
      </c>
    </row>
    <row r="4474" spans="1:11" hidden="1">
      <c r="A4474" s="28">
        <v>46370</v>
      </c>
      <c r="B4474" t="s">
        <v>3523</v>
      </c>
      <c r="C4474" t="s">
        <v>151</v>
      </c>
      <c r="D4474" t="s">
        <v>3462</v>
      </c>
      <c r="E4474" t="str">
        <f>IF(LEFT(D4474,6)="CLIENT",IFERROR(VLOOKUP(C4474,Config_Carteiras!$A:$B,2,FALSE),1),"")</f>
        <v/>
      </c>
      <c r="F4474" s="25">
        <v>0</v>
      </c>
      <c r="G4474" s="28" t="str">
        <f>IF(LEFT(D4474,6)="CLIENT",IF(E4474=0,WORKDAY(A4474-1,1,Dias_Sem_Compensacao!$A$2:$A$500),WORKDAY(A4474,E4474,Dias_Sem_Compensacao!$A$2:$A$500)),"")</f>
        <v/>
      </c>
      <c r="H4474" s="25">
        <v>6072.95</v>
      </c>
      <c r="I4474" s="28">
        <v>46370</v>
      </c>
      <c r="J4474" t="s">
        <v>3561</v>
      </c>
      <c r="K4474" t="s">
        <v>3663</v>
      </c>
    </row>
    <row r="4475" spans="1:11" hidden="1">
      <c r="A4475" s="28">
        <v>46371</v>
      </c>
      <c r="B4475" t="s">
        <v>3523</v>
      </c>
      <c r="C4475" t="s">
        <v>151</v>
      </c>
      <c r="D4475" t="s">
        <v>3462</v>
      </c>
      <c r="E4475" t="str">
        <f>IF(LEFT(D4475,6)="CLIENT",IFERROR(VLOOKUP(C4475,Config_Carteiras!$A:$B,2,FALSE),1),"")</f>
        <v/>
      </c>
      <c r="F4475" s="25">
        <v>0</v>
      </c>
      <c r="G4475" s="28" t="str">
        <f>IF(LEFT(D4475,6)="CLIENT",IF(E4475=0,WORKDAY(A4475-1,1,Dias_Sem_Compensacao!$A$2:$A$500),WORKDAY(A4475,E4475,Dias_Sem_Compensacao!$A$2:$A$500)),"")</f>
        <v/>
      </c>
      <c r="H4475" s="25">
        <v>300.8</v>
      </c>
      <c r="I4475" s="28">
        <v>46371</v>
      </c>
      <c r="J4475" t="s">
        <v>3755</v>
      </c>
      <c r="K4475" t="s">
        <v>3756</v>
      </c>
    </row>
    <row r="4476" spans="1:11" hidden="1">
      <c r="A4476" s="28">
        <v>46371</v>
      </c>
      <c r="B4476" t="s">
        <v>3523</v>
      </c>
      <c r="C4476" t="s">
        <v>151</v>
      </c>
      <c r="D4476" t="s">
        <v>3462</v>
      </c>
      <c r="E4476" t="str">
        <f>IF(LEFT(D4476,6)="CLIENT",IFERROR(VLOOKUP(C4476,Config_Carteiras!$A:$B,2,FALSE),1),"")</f>
        <v/>
      </c>
      <c r="F4476" s="25">
        <v>0</v>
      </c>
      <c r="G4476" s="28" t="str">
        <f>IF(LEFT(D4476,6)="CLIENT",IF(E4476=0,WORKDAY(A4476-1,1,Dias_Sem_Compensacao!$A$2:$A$500),WORKDAY(A4476,E4476,Dias_Sem_Compensacao!$A$2:$A$500)),"")</f>
        <v/>
      </c>
      <c r="H4476" s="25">
        <v>300.8</v>
      </c>
      <c r="I4476" s="28">
        <v>46371</v>
      </c>
      <c r="K4476" t="s">
        <v>3522</v>
      </c>
    </row>
    <row r="4477" spans="1:11" hidden="1">
      <c r="A4477" s="28">
        <v>46374</v>
      </c>
      <c r="B4477" t="s">
        <v>3523</v>
      </c>
      <c r="C4477" t="s">
        <v>151</v>
      </c>
      <c r="D4477" t="s">
        <v>3462</v>
      </c>
      <c r="E4477" t="str">
        <f>IF(LEFT(D4477,6)="CLIENT",IFERROR(VLOOKUP(C4477,Config_Carteiras!$A:$B,2,FALSE),1),"")</f>
        <v/>
      </c>
      <c r="F4477" s="25">
        <v>0</v>
      </c>
      <c r="G4477" s="28" t="str">
        <f>IF(LEFT(D4477,6)="CLIENT",IF(E4477=0,WORKDAY(A4477-1,1,Dias_Sem_Compensacao!$A$2:$A$500),WORKDAY(A4477,E4477,Dias_Sem_Compensacao!$A$2:$A$500)),"")</f>
        <v/>
      </c>
      <c r="H4477" s="25">
        <v>3200</v>
      </c>
      <c r="I4477" s="28">
        <v>46374</v>
      </c>
      <c r="J4477" t="s">
        <v>3879</v>
      </c>
      <c r="K4477" t="s">
        <v>3880</v>
      </c>
    </row>
    <row r="4478" spans="1:11" hidden="1">
      <c r="A4478" s="28">
        <v>46380</v>
      </c>
      <c r="B4478" t="s">
        <v>3523</v>
      </c>
      <c r="C4478" t="s">
        <v>151</v>
      </c>
      <c r="D4478" t="s">
        <v>3462</v>
      </c>
      <c r="E4478" t="str">
        <f>IF(LEFT(D4478,6)="CLIENT",IFERROR(VLOOKUP(C4478,Config_Carteiras!$A:$B,2,FALSE),1),"")</f>
        <v/>
      </c>
      <c r="F4478" s="25">
        <v>0</v>
      </c>
      <c r="G4478" s="28" t="str">
        <f>IF(LEFT(D4478,6)="CLIENT",IF(E4478=0,WORKDAY(A4478-1,1,Dias_Sem_Compensacao!$A$2:$A$500),WORKDAY(A4478,E4478,Dias_Sem_Compensacao!$A$2:$A$500)),"")</f>
        <v/>
      </c>
      <c r="H4478" s="25">
        <v>2882</v>
      </c>
      <c r="I4478" s="28">
        <v>46380</v>
      </c>
      <c r="J4478" t="s">
        <v>84</v>
      </c>
      <c r="K4478" t="s">
        <v>4107</v>
      </c>
    </row>
    <row r="4479" spans="1:11" hidden="1">
      <c r="A4479" s="28">
        <v>2302063</v>
      </c>
      <c r="B4479" t="s">
        <v>3523</v>
      </c>
      <c r="C4479" t="s">
        <v>151</v>
      </c>
      <c r="D4479" t="s">
        <v>3462</v>
      </c>
      <c r="E4479" t="str">
        <f>IF(LEFT(D4479,6)="CLIENT",IFERROR(VLOOKUP(C4479,Config_Carteiras!$A:$B,2,FALSE),1),"")</f>
        <v/>
      </c>
      <c r="F4479" s="25">
        <v>0</v>
      </c>
      <c r="G4479" s="28" t="str">
        <f>IF(LEFT(D4479,6)="CLIENT",IF(E4479=0,WORKDAY(A4479-1,1,Dias_Sem_Compensacao!$A$2:$A$500),WORKDAY(A4479,E4479,Dias_Sem_Compensacao!$A$2:$A$500)),"")</f>
        <v/>
      </c>
      <c r="H4479" s="25">
        <v>929.11</v>
      </c>
      <c r="I4479" s="28">
        <v>2302063</v>
      </c>
      <c r="J4479" t="s">
        <v>90</v>
      </c>
      <c r="K4479" t="s">
        <v>4110</v>
      </c>
    </row>
    <row r="4480" spans="1:11" hidden="1">
      <c r="A4480" s="28">
        <v>46281</v>
      </c>
      <c r="B4480" t="s">
        <v>188</v>
      </c>
      <c r="C4480" t="s">
        <v>49</v>
      </c>
      <c r="D4480" t="s">
        <v>217</v>
      </c>
      <c r="E4480">
        <f>IF(LEFT(D4480,6)="CLIENT",IFERROR(VLOOKUP(C4480,Config_Carteiras!$A:$B,2,FALSE),1),"")</f>
        <v>1</v>
      </c>
      <c r="F4480" s="25">
        <v>230199</v>
      </c>
      <c r="G4480" s="28">
        <f>IF(LEFT(D4480,6)="CLIENT",IF(E4480=0,WORKDAY(A4480-1,1,Dias_Sem_Compensacao!$A$2:$A$500),WORKDAY(A4480,E4480,Dias_Sem_Compensacao!$A$2:$A$500)),"")</f>
        <v>46282</v>
      </c>
      <c r="H4480" s="25">
        <v>0</v>
      </c>
      <c r="I4480" s="28">
        <v>46281</v>
      </c>
      <c r="J4480" t="s">
        <v>4111</v>
      </c>
      <c r="K4480" t="s">
        <v>4112</v>
      </c>
    </row>
    <row r="4481" spans="1:11" hidden="1">
      <c r="A4481" s="28">
        <v>46287</v>
      </c>
      <c r="B4481" t="s">
        <v>188</v>
      </c>
      <c r="C4481" t="s">
        <v>49</v>
      </c>
      <c r="D4481" t="s">
        <v>217</v>
      </c>
      <c r="E4481">
        <f>IF(LEFT(D4481,6)="CLIENT",IFERROR(VLOOKUP(C4481,Config_Carteiras!$A:$B,2,FALSE),1),"")</f>
        <v>1</v>
      </c>
      <c r="F4481" s="25">
        <v>60.4</v>
      </c>
      <c r="G4481" s="28">
        <f>IF(LEFT(D4481,6)="CLIENT",IF(E4481=0,WORKDAY(A4481-1,1,Dias_Sem_Compensacao!$A$2:$A$500),WORKDAY(A4481,E4481,Dias_Sem_Compensacao!$A$2:$A$500)),"")</f>
        <v>46288</v>
      </c>
      <c r="H4481" s="25">
        <v>0</v>
      </c>
      <c r="I4481" s="28">
        <v>46287</v>
      </c>
      <c r="J4481" t="s">
        <v>4113</v>
      </c>
      <c r="K4481" t="s">
        <v>4114</v>
      </c>
    </row>
    <row r="4482" spans="1:11" hidden="1">
      <c r="A4482" s="28">
        <v>46289</v>
      </c>
      <c r="B4482" t="s">
        <v>188</v>
      </c>
      <c r="C4482" t="s">
        <v>49</v>
      </c>
      <c r="D4482" t="s">
        <v>217</v>
      </c>
      <c r="E4482">
        <f>IF(LEFT(D4482,6)="CLIENT",IFERROR(VLOOKUP(C4482,Config_Carteiras!$A:$B,2,FALSE),1),"")</f>
        <v>1</v>
      </c>
      <c r="F4482" s="25">
        <v>1410.06</v>
      </c>
      <c r="G4482" s="28">
        <f>IF(LEFT(D4482,6)="CLIENT",IF(E4482=0,WORKDAY(A4482-1,1,Dias_Sem_Compensacao!$A$2:$A$500),WORKDAY(A4482,E4482,Dias_Sem_Compensacao!$A$2:$A$500)),"")</f>
        <v>46290</v>
      </c>
      <c r="H4482" s="25">
        <v>0</v>
      </c>
      <c r="I4482" s="28">
        <v>46289</v>
      </c>
      <c r="J4482" t="s">
        <v>4115</v>
      </c>
      <c r="K4482" t="s">
        <v>4116</v>
      </c>
    </row>
    <row r="4483" spans="1:11" hidden="1">
      <c r="A4483" s="28">
        <v>46289</v>
      </c>
      <c r="B4483" t="s">
        <v>188</v>
      </c>
      <c r="C4483" t="s">
        <v>49</v>
      </c>
      <c r="D4483" t="s">
        <v>217</v>
      </c>
      <c r="E4483">
        <f>IF(LEFT(D4483,6)="CLIENT",IFERROR(VLOOKUP(C4483,Config_Carteiras!$A:$B,2,FALSE),1),"")</f>
        <v>1</v>
      </c>
      <c r="F4483" s="25">
        <v>1483.74</v>
      </c>
      <c r="G4483" s="28">
        <f>IF(LEFT(D4483,6)="CLIENT",IF(E4483=0,WORKDAY(A4483-1,1,Dias_Sem_Compensacao!$A$2:$A$500),WORKDAY(A4483,E4483,Dias_Sem_Compensacao!$A$2:$A$500)),"")</f>
        <v>46290</v>
      </c>
      <c r="H4483" s="25">
        <v>0</v>
      </c>
      <c r="I4483" s="28">
        <v>46289</v>
      </c>
      <c r="K4483" t="s">
        <v>4117</v>
      </c>
    </row>
    <row r="4484" spans="1:11" hidden="1">
      <c r="A4484" s="28">
        <v>46293</v>
      </c>
      <c r="B4484" t="s">
        <v>188</v>
      </c>
      <c r="C4484" t="s">
        <v>49</v>
      </c>
      <c r="D4484" t="s">
        <v>217</v>
      </c>
      <c r="E4484">
        <f>IF(LEFT(D4484,6)="CLIENT",IFERROR(VLOOKUP(C4484,Config_Carteiras!$A:$B,2,FALSE),1),"")</f>
        <v>1</v>
      </c>
      <c r="F4484" s="25">
        <v>73</v>
      </c>
      <c r="G4484" s="28">
        <f>IF(LEFT(D4484,6)="CLIENT",IF(E4484=0,WORKDAY(A4484-1,1,Dias_Sem_Compensacao!$A$2:$A$500),WORKDAY(A4484,E4484,Dias_Sem_Compensacao!$A$2:$A$500)),"")</f>
        <v>46294</v>
      </c>
      <c r="H4484" s="25">
        <v>0</v>
      </c>
      <c r="I4484" s="28">
        <v>46293</v>
      </c>
      <c r="J4484" t="s">
        <v>4118</v>
      </c>
      <c r="K4484" t="s">
        <v>4119</v>
      </c>
    </row>
    <row r="4485" spans="1:11" hidden="1">
      <c r="A4485" s="28">
        <v>46294</v>
      </c>
      <c r="B4485" t="s">
        <v>188</v>
      </c>
      <c r="C4485" t="s">
        <v>49</v>
      </c>
      <c r="D4485" t="s">
        <v>217</v>
      </c>
      <c r="E4485">
        <f>IF(LEFT(D4485,6)="CLIENT",IFERROR(VLOOKUP(C4485,Config_Carteiras!$A:$B,2,FALSE),1),"")</f>
        <v>1</v>
      </c>
      <c r="F4485" s="25">
        <v>104.7</v>
      </c>
      <c r="G4485" s="28">
        <f>IF(LEFT(D4485,6)="CLIENT",IF(E4485=0,WORKDAY(A4485-1,1,Dias_Sem_Compensacao!$A$2:$A$500),WORKDAY(A4485,E4485,Dias_Sem_Compensacao!$A$2:$A$500)),"")</f>
        <v>46295</v>
      </c>
      <c r="H4485" s="25">
        <v>0</v>
      </c>
      <c r="I4485" s="28">
        <v>46294</v>
      </c>
      <c r="J4485" t="s">
        <v>4120</v>
      </c>
      <c r="K4485" t="s">
        <v>4121</v>
      </c>
    </row>
    <row r="4486" spans="1:11" hidden="1">
      <c r="A4486" s="28">
        <v>46294</v>
      </c>
      <c r="B4486" t="s">
        <v>188</v>
      </c>
      <c r="C4486" t="s">
        <v>49</v>
      </c>
      <c r="D4486" t="s">
        <v>217</v>
      </c>
      <c r="E4486">
        <f>IF(LEFT(D4486,6)="CLIENT",IFERROR(VLOOKUP(C4486,Config_Carteiras!$A:$B,2,FALSE),1),"")</f>
        <v>1</v>
      </c>
      <c r="F4486" s="25">
        <v>94.6</v>
      </c>
      <c r="G4486" s="28">
        <f>IF(LEFT(D4486,6)="CLIENT",IF(E4486=0,WORKDAY(A4486-1,1,Dias_Sem_Compensacao!$A$2:$A$500),WORKDAY(A4486,E4486,Dias_Sem_Compensacao!$A$2:$A$500)),"")</f>
        <v>46295</v>
      </c>
      <c r="H4486" s="25">
        <v>0</v>
      </c>
      <c r="I4486" s="28">
        <v>46294</v>
      </c>
      <c r="J4486" t="s">
        <v>4122</v>
      </c>
      <c r="K4486" t="s">
        <v>4123</v>
      </c>
    </row>
    <row r="4487" spans="1:11" hidden="1">
      <c r="A4487" s="28">
        <v>46294</v>
      </c>
      <c r="B4487" t="s">
        <v>188</v>
      </c>
      <c r="C4487" t="s">
        <v>49</v>
      </c>
      <c r="D4487" t="s">
        <v>217</v>
      </c>
      <c r="E4487">
        <f>IF(LEFT(D4487,6)="CLIENT",IFERROR(VLOOKUP(C4487,Config_Carteiras!$A:$B,2,FALSE),1),"")</f>
        <v>1</v>
      </c>
      <c r="F4487" s="25">
        <v>64.400000000000006</v>
      </c>
      <c r="G4487" s="28">
        <f>IF(LEFT(D4487,6)="CLIENT",IF(E4487=0,WORKDAY(A4487-1,1,Dias_Sem_Compensacao!$A$2:$A$500),WORKDAY(A4487,E4487,Dias_Sem_Compensacao!$A$2:$A$500)),"")</f>
        <v>46295</v>
      </c>
      <c r="H4487" s="25">
        <v>0</v>
      </c>
      <c r="I4487" s="28">
        <v>46294</v>
      </c>
      <c r="J4487" t="s">
        <v>4124</v>
      </c>
      <c r="K4487" t="s">
        <v>4125</v>
      </c>
    </row>
    <row r="4488" spans="1:11" hidden="1">
      <c r="A4488" s="28">
        <v>46294</v>
      </c>
      <c r="B4488" t="s">
        <v>188</v>
      </c>
      <c r="C4488" t="s">
        <v>49</v>
      </c>
      <c r="D4488" t="s">
        <v>217</v>
      </c>
      <c r="E4488">
        <f>IF(LEFT(D4488,6)="CLIENT",IFERROR(VLOOKUP(C4488,Config_Carteiras!$A:$B,2,FALSE),1),"")</f>
        <v>1</v>
      </c>
      <c r="F4488" s="25">
        <v>124.8</v>
      </c>
      <c r="G4488" s="28">
        <f>IF(LEFT(D4488,6)="CLIENT",IF(E4488=0,WORKDAY(A4488-1,1,Dias_Sem_Compensacao!$A$2:$A$500),WORKDAY(A4488,E4488,Dias_Sem_Compensacao!$A$2:$A$500)),"")</f>
        <v>46295</v>
      </c>
      <c r="H4488" s="25">
        <v>0</v>
      </c>
      <c r="I4488" s="28">
        <v>46294</v>
      </c>
      <c r="J4488" t="s">
        <v>4126</v>
      </c>
      <c r="K4488" t="s">
        <v>4127</v>
      </c>
    </row>
    <row r="4489" spans="1:11" hidden="1">
      <c r="A4489" s="28">
        <v>46294</v>
      </c>
      <c r="B4489" t="s">
        <v>188</v>
      </c>
      <c r="C4489" t="s">
        <v>49</v>
      </c>
      <c r="D4489" t="s">
        <v>217</v>
      </c>
      <c r="E4489">
        <f>IF(LEFT(D4489,6)="CLIENT",IFERROR(VLOOKUP(C4489,Config_Carteiras!$A:$B,2,FALSE),1),"")</f>
        <v>1</v>
      </c>
      <c r="F4489" s="25">
        <v>102.6</v>
      </c>
      <c r="G4489" s="28">
        <f>IF(LEFT(D4489,6)="CLIENT",IF(E4489=0,WORKDAY(A4489-1,1,Dias_Sem_Compensacao!$A$2:$A$500),WORKDAY(A4489,E4489,Dias_Sem_Compensacao!$A$2:$A$500)),"")</f>
        <v>46295</v>
      </c>
      <c r="H4489" s="25">
        <v>0</v>
      </c>
      <c r="I4489" s="28">
        <v>46294</v>
      </c>
      <c r="J4489" t="s">
        <v>4128</v>
      </c>
      <c r="K4489" t="s">
        <v>4129</v>
      </c>
    </row>
    <row r="4490" spans="1:11" hidden="1">
      <c r="A4490" s="28">
        <v>46295</v>
      </c>
      <c r="B4490" t="s">
        <v>188</v>
      </c>
      <c r="C4490" t="s">
        <v>49</v>
      </c>
      <c r="D4490" t="s">
        <v>217</v>
      </c>
      <c r="E4490">
        <f>IF(LEFT(D4490,6)="CLIENT",IFERROR(VLOOKUP(C4490,Config_Carteiras!$A:$B,2,FALSE),1),"")</f>
        <v>1</v>
      </c>
      <c r="F4490" s="25">
        <v>1096.67</v>
      </c>
      <c r="G4490" s="28">
        <f>IF(LEFT(D4490,6)="CLIENT",IF(E4490=0,WORKDAY(A4490-1,1,Dias_Sem_Compensacao!$A$2:$A$500),WORKDAY(A4490,E4490,Dias_Sem_Compensacao!$A$2:$A$500)),"")</f>
        <v>46296</v>
      </c>
      <c r="H4490" s="25">
        <v>0</v>
      </c>
      <c r="I4490" s="28">
        <v>46295</v>
      </c>
      <c r="J4490" t="s">
        <v>4130</v>
      </c>
      <c r="K4490" t="s">
        <v>4131</v>
      </c>
    </row>
    <row r="4491" spans="1:11" hidden="1">
      <c r="A4491" s="28">
        <v>46295</v>
      </c>
      <c r="B4491" t="s">
        <v>188</v>
      </c>
      <c r="C4491" t="s">
        <v>49</v>
      </c>
      <c r="D4491" t="s">
        <v>217</v>
      </c>
      <c r="E4491">
        <f>IF(LEFT(D4491,6)="CLIENT",IFERROR(VLOOKUP(C4491,Config_Carteiras!$A:$B,2,FALSE),1),"")</f>
        <v>1</v>
      </c>
      <c r="F4491" s="25">
        <v>30.2</v>
      </c>
      <c r="G4491" s="28">
        <f>IF(LEFT(D4491,6)="CLIENT",IF(E4491=0,WORKDAY(A4491-1,1,Dias_Sem_Compensacao!$A$2:$A$500),WORKDAY(A4491,E4491,Dias_Sem_Compensacao!$A$2:$A$500)),"")</f>
        <v>46296</v>
      </c>
      <c r="H4491" s="25">
        <v>0</v>
      </c>
      <c r="I4491" s="28">
        <v>46295</v>
      </c>
      <c r="J4491" t="s">
        <v>4132</v>
      </c>
      <c r="K4491" t="s">
        <v>4133</v>
      </c>
    </row>
    <row r="4492" spans="1:11" hidden="1">
      <c r="A4492" s="28">
        <v>46302</v>
      </c>
      <c r="B4492" t="s">
        <v>188</v>
      </c>
      <c r="C4492" t="s">
        <v>49</v>
      </c>
      <c r="D4492" t="s">
        <v>217</v>
      </c>
      <c r="E4492">
        <f>IF(LEFT(D4492,6)="CLIENT",IFERROR(VLOOKUP(C4492,Config_Carteiras!$A:$B,2,FALSE),1),"")</f>
        <v>1</v>
      </c>
      <c r="F4492" s="25">
        <v>354.21</v>
      </c>
      <c r="G4492" s="28">
        <f>IF(LEFT(D4492,6)="CLIENT",IF(E4492=0,WORKDAY(A4492-1,1,Dias_Sem_Compensacao!$A$2:$A$500),WORKDAY(A4492,E4492,Dias_Sem_Compensacao!$A$2:$A$500)),"")</f>
        <v>46303</v>
      </c>
      <c r="H4492" s="25">
        <v>0</v>
      </c>
      <c r="I4492" s="28">
        <v>46302</v>
      </c>
      <c r="J4492" t="s">
        <v>4134</v>
      </c>
      <c r="K4492" t="s">
        <v>4135</v>
      </c>
    </row>
    <row r="4493" spans="1:11" hidden="1">
      <c r="A4493" s="28">
        <v>46304</v>
      </c>
      <c r="B4493" t="s">
        <v>188</v>
      </c>
      <c r="C4493" t="s">
        <v>49</v>
      </c>
      <c r="D4493" t="s">
        <v>217</v>
      </c>
      <c r="E4493">
        <f>IF(LEFT(D4493,6)="CLIENT",IFERROR(VLOOKUP(C4493,Config_Carteiras!$A:$B,2,FALSE),1),"")</f>
        <v>1</v>
      </c>
      <c r="F4493" s="25">
        <v>1317</v>
      </c>
      <c r="G4493" s="28">
        <f>IF(LEFT(D4493,6)="CLIENT",IF(E4493=0,WORKDAY(A4493-1,1,Dias_Sem_Compensacao!$A$2:$A$500),WORKDAY(A4493,E4493,Dias_Sem_Compensacao!$A$2:$A$500)),"")</f>
        <v>46307</v>
      </c>
      <c r="H4493" s="25">
        <v>0</v>
      </c>
      <c r="I4493" s="28">
        <v>46304</v>
      </c>
      <c r="J4493" t="s">
        <v>4136</v>
      </c>
      <c r="K4493" t="s">
        <v>4137</v>
      </c>
    </row>
    <row r="4494" spans="1:11" hidden="1">
      <c r="A4494" s="28">
        <v>46321</v>
      </c>
      <c r="B4494" t="s">
        <v>188</v>
      </c>
      <c r="C4494" t="s">
        <v>49</v>
      </c>
      <c r="D4494" t="s">
        <v>217</v>
      </c>
      <c r="E4494">
        <f>IF(LEFT(D4494,6)="CLIENT",IFERROR(VLOOKUP(C4494,Config_Carteiras!$A:$B,2,FALSE),1),"")</f>
        <v>1</v>
      </c>
      <c r="F4494" s="25">
        <v>1210.55</v>
      </c>
      <c r="G4494" s="28">
        <f>IF(LEFT(D4494,6)="CLIENT",IF(E4494=0,WORKDAY(A4494-1,1,Dias_Sem_Compensacao!$A$2:$A$500),WORKDAY(A4494,E4494,Dias_Sem_Compensacao!$A$2:$A$500)),"")</f>
        <v>46322</v>
      </c>
      <c r="H4494" s="25">
        <v>0</v>
      </c>
      <c r="I4494" s="28">
        <v>46321</v>
      </c>
      <c r="J4494" t="s">
        <v>4130</v>
      </c>
      <c r="K4494" t="s">
        <v>4138</v>
      </c>
    </row>
    <row r="4495" spans="1:11" hidden="1">
      <c r="A4495" s="28">
        <v>46262</v>
      </c>
      <c r="B4495" t="s">
        <v>4139</v>
      </c>
      <c r="C4495" t="s">
        <v>4140</v>
      </c>
      <c r="D4495" t="s">
        <v>217</v>
      </c>
      <c r="E4495">
        <f>IF(LEFT(D4495,6)="CLIENT",IFERROR(VLOOKUP(C4495,Config_Carteiras!$A:$B,2,FALSE),1),"")</f>
        <v>1</v>
      </c>
      <c r="F4495" s="25">
        <v>1000</v>
      </c>
      <c r="G4495" s="28">
        <f>IF(LEFT(D4495,6)="CLIENT",IF(E4495=0,WORKDAY(A4495-1,1,Dias_Sem_Compensacao!$A$2:$A$500),WORKDAY(A4495,E4495,Dias_Sem_Compensacao!$A$2:$A$500)),"")</f>
        <v>46265</v>
      </c>
      <c r="H4495" s="25">
        <v>0</v>
      </c>
      <c r="I4495" s="28">
        <v>46262</v>
      </c>
      <c r="J4495" t="s">
        <v>4141</v>
      </c>
      <c r="K4495" t="s">
        <v>4142</v>
      </c>
    </row>
    <row r="4496" spans="1:11" hidden="1">
      <c r="A4496" s="28">
        <v>46262</v>
      </c>
      <c r="B4496" t="s">
        <v>4139</v>
      </c>
      <c r="C4496" t="s">
        <v>4140</v>
      </c>
      <c r="D4496" t="s">
        <v>217</v>
      </c>
      <c r="E4496">
        <f>IF(LEFT(D4496,6)="CLIENT",IFERROR(VLOOKUP(C4496,Config_Carteiras!$A:$B,2,FALSE),1),"")</f>
        <v>1</v>
      </c>
      <c r="F4496" s="25">
        <v>1750</v>
      </c>
      <c r="G4496" s="28">
        <f>IF(LEFT(D4496,6)="CLIENT",IF(E4496=0,WORKDAY(A4496-1,1,Dias_Sem_Compensacao!$A$2:$A$500),WORKDAY(A4496,E4496,Dias_Sem_Compensacao!$A$2:$A$500)),"")</f>
        <v>46265</v>
      </c>
      <c r="H4496" s="25">
        <v>0</v>
      </c>
      <c r="I4496" s="28">
        <v>46262</v>
      </c>
      <c r="J4496" t="s">
        <v>4143</v>
      </c>
      <c r="K4496" t="s">
        <v>4144</v>
      </c>
    </row>
    <row r="4497" spans="1:11" hidden="1">
      <c r="A4497" s="28">
        <v>46267</v>
      </c>
      <c r="B4497" t="s">
        <v>4139</v>
      </c>
      <c r="C4497" t="s">
        <v>4140</v>
      </c>
      <c r="D4497" t="s">
        <v>217</v>
      </c>
      <c r="E4497">
        <f>IF(LEFT(D4497,6)="CLIENT",IFERROR(VLOOKUP(C4497,Config_Carteiras!$A:$B,2,FALSE),1),"")</f>
        <v>1</v>
      </c>
      <c r="F4497" s="25">
        <v>1354.5</v>
      </c>
      <c r="G4497" s="28">
        <f>IF(LEFT(D4497,6)="CLIENT",IF(E4497=0,WORKDAY(A4497-1,1,Dias_Sem_Compensacao!$A$2:$A$500),WORKDAY(A4497,E4497,Dias_Sem_Compensacao!$A$2:$A$500)),"")</f>
        <v>46268</v>
      </c>
      <c r="H4497" s="25">
        <v>0</v>
      </c>
      <c r="I4497" s="28">
        <v>46267</v>
      </c>
      <c r="J4497" t="s">
        <v>4145</v>
      </c>
      <c r="K4497" t="s">
        <v>4146</v>
      </c>
    </row>
    <row r="4498" spans="1:11" hidden="1">
      <c r="A4498" s="28">
        <v>46286</v>
      </c>
      <c r="B4498" t="s">
        <v>4139</v>
      </c>
      <c r="C4498" t="s">
        <v>4140</v>
      </c>
      <c r="D4498" t="s">
        <v>217</v>
      </c>
      <c r="E4498">
        <f>IF(LEFT(D4498,6)="CLIENT",IFERROR(VLOOKUP(C4498,Config_Carteiras!$A:$B,2,FALSE),1),"")</f>
        <v>1</v>
      </c>
      <c r="F4498" s="25">
        <v>357.5</v>
      </c>
      <c r="G4498" s="28">
        <f>IF(LEFT(D4498,6)="CLIENT",IF(E4498=0,WORKDAY(A4498-1,1,Dias_Sem_Compensacao!$A$2:$A$500),WORKDAY(A4498,E4498,Dias_Sem_Compensacao!$A$2:$A$500)),"")</f>
        <v>46287</v>
      </c>
      <c r="H4498" s="25">
        <v>0</v>
      </c>
      <c r="I4498" s="28">
        <v>46286</v>
      </c>
      <c r="J4498" t="s">
        <v>4147</v>
      </c>
      <c r="K4498" t="s">
        <v>4148</v>
      </c>
    </row>
    <row r="4499" spans="1:11" hidden="1">
      <c r="A4499" s="28">
        <v>46294</v>
      </c>
      <c r="B4499" t="s">
        <v>4139</v>
      </c>
      <c r="C4499" t="s">
        <v>4140</v>
      </c>
      <c r="D4499" t="s">
        <v>217</v>
      </c>
      <c r="E4499">
        <f>IF(LEFT(D4499,6)="CLIENT",IFERROR(VLOOKUP(C4499,Config_Carteiras!$A:$B,2,FALSE),1),"")</f>
        <v>1</v>
      </c>
      <c r="F4499" s="25">
        <v>6600</v>
      </c>
      <c r="G4499" s="28">
        <f>IF(LEFT(D4499,6)="CLIENT",IF(E4499=0,WORKDAY(A4499-1,1,Dias_Sem_Compensacao!$A$2:$A$500),WORKDAY(A4499,E4499,Dias_Sem_Compensacao!$A$2:$A$500)),"")</f>
        <v>46295</v>
      </c>
      <c r="H4499" s="25">
        <v>0</v>
      </c>
      <c r="I4499" s="28">
        <v>46294</v>
      </c>
      <c r="J4499" t="s">
        <v>4149</v>
      </c>
      <c r="K4499" t="s">
        <v>4150</v>
      </c>
    </row>
    <row r="4500" spans="1:11" hidden="1">
      <c r="A4500" s="28">
        <v>46295</v>
      </c>
      <c r="B4500" t="s">
        <v>4139</v>
      </c>
      <c r="C4500" t="s">
        <v>4140</v>
      </c>
      <c r="D4500" t="s">
        <v>217</v>
      </c>
      <c r="E4500">
        <f>IF(LEFT(D4500,6)="CLIENT",IFERROR(VLOOKUP(C4500,Config_Carteiras!$A:$B,2,FALSE),1),"")</f>
        <v>1</v>
      </c>
      <c r="F4500" s="25">
        <v>918</v>
      </c>
      <c r="G4500" s="28">
        <f>IF(LEFT(D4500,6)="CLIENT",IF(E4500=0,WORKDAY(A4500-1,1,Dias_Sem_Compensacao!$A$2:$A$500),WORKDAY(A4500,E4500,Dias_Sem_Compensacao!$A$2:$A$500)),"")</f>
        <v>46296</v>
      </c>
      <c r="H4500" s="25">
        <v>0</v>
      </c>
      <c r="I4500" s="28">
        <v>46295</v>
      </c>
      <c r="J4500" t="s">
        <v>4151</v>
      </c>
      <c r="K4500" t="s">
        <v>4152</v>
      </c>
    </row>
    <row r="4501" spans="1:11" hidden="1">
      <c r="A4501" s="28">
        <v>46295</v>
      </c>
      <c r="B4501" t="s">
        <v>4139</v>
      </c>
      <c r="C4501" t="s">
        <v>4140</v>
      </c>
      <c r="D4501" t="s">
        <v>217</v>
      </c>
      <c r="E4501">
        <f>IF(LEFT(D4501,6)="CLIENT",IFERROR(VLOOKUP(C4501,Config_Carteiras!$A:$B,2,FALSE),1),"")</f>
        <v>1</v>
      </c>
      <c r="F4501" s="25">
        <v>308.8</v>
      </c>
      <c r="G4501" s="28">
        <f>IF(LEFT(D4501,6)="CLIENT",IF(E4501=0,WORKDAY(A4501-1,1,Dias_Sem_Compensacao!$A$2:$A$500),WORKDAY(A4501,E4501,Dias_Sem_Compensacao!$A$2:$A$500)),"")</f>
        <v>46296</v>
      </c>
      <c r="H4501" s="25">
        <v>0</v>
      </c>
      <c r="I4501" s="28">
        <v>46295</v>
      </c>
      <c r="J4501" t="s">
        <v>4153</v>
      </c>
      <c r="K4501" t="s">
        <v>4154</v>
      </c>
    </row>
    <row r="4502" spans="1:11" hidden="1">
      <c r="A4502" s="28">
        <v>46295</v>
      </c>
      <c r="B4502" t="s">
        <v>4139</v>
      </c>
      <c r="C4502" t="s">
        <v>4140</v>
      </c>
      <c r="D4502" t="s">
        <v>217</v>
      </c>
      <c r="E4502">
        <f>IF(LEFT(D4502,6)="CLIENT",IFERROR(VLOOKUP(C4502,Config_Carteiras!$A:$B,2,FALSE),1),"")</f>
        <v>1</v>
      </c>
      <c r="F4502" s="25">
        <v>280.5</v>
      </c>
      <c r="G4502" s="28">
        <f>IF(LEFT(D4502,6)="CLIENT",IF(E4502=0,WORKDAY(A4502-1,1,Dias_Sem_Compensacao!$A$2:$A$500),WORKDAY(A4502,E4502,Dias_Sem_Compensacao!$A$2:$A$500)),"")</f>
        <v>46296</v>
      </c>
      <c r="H4502" s="25">
        <v>0</v>
      </c>
      <c r="I4502" s="28">
        <v>46295</v>
      </c>
      <c r="J4502" t="s">
        <v>4155</v>
      </c>
      <c r="K4502" t="s">
        <v>4156</v>
      </c>
    </row>
    <row r="4503" spans="1:11" hidden="1">
      <c r="A4503" s="28">
        <v>46295</v>
      </c>
      <c r="B4503" t="s">
        <v>4139</v>
      </c>
      <c r="C4503" t="s">
        <v>4140</v>
      </c>
      <c r="D4503" t="s">
        <v>217</v>
      </c>
      <c r="E4503">
        <f>IF(LEFT(D4503,6)="CLIENT",IFERROR(VLOOKUP(C4503,Config_Carteiras!$A:$B,2,FALSE),1),"")</f>
        <v>1</v>
      </c>
      <c r="F4503" s="25">
        <v>1178.5</v>
      </c>
      <c r="G4503" s="28">
        <f>IF(LEFT(D4503,6)="CLIENT",IF(E4503=0,WORKDAY(A4503-1,1,Dias_Sem_Compensacao!$A$2:$A$500),WORKDAY(A4503,E4503,Dias_Sem_Compensacao!$A$2:$A$500)),"")</f>
        <v>46296</v>
      </c>
      <c r="H4503" s="25">
        <v>0</v>
      </c>
      <c r="I4503" s="28">
        <v>46295</v>
      </c>
      <c r="J4503" t="s">
        <v>4157</v>
      </c>
      <c r="K4503" t="s">
        <v>4158</v>
      </c>
    </row>
    <row r="4504" spans="1:11" hidden="1">
      <c r="A4504" s="28">
        <v>46295</v>
      </c>
      <c r="B4504" t="s">
        <v>4139</v>
      </c>
      <c r="C4504" t="s">
        <v>4140</v>
      </c>
      <c r="D4504" t="s">
        <v>217</v>
      </c>
      <c r="E4504">
        <f>IF(LEFT(D4504,6)="CLIENT",IFERROR(VLOOKUP(C4504,Config_Carteiras!$A:$B,2,FALSE),1),"")</f>
        <v>1</v>
      </c>
      <c r="F4504" s="25">
        <v>500</v>
      </c>
      <c r="G4504" s="28">
        <f>IF(LEFT(D4504,6)="CLIENT",IF(E4504=0,WORKDAY(A4504-1,1,Dias_Sem_Compensacao!$A$2:$A$500),WORKDAY(A4504,E4504,Dias_Sem_Compensacao!$A$2:$A$500)),"")</f>
        <v>46296</v>
      </c>
      <c r="H4504" s="25">
        <v>0</v>
      </c>
      <c r="I4504" s="28">
        <v>46295</v>
      </c>
      <c r="J4504" t="s">
        <v>4159</v>
      </c>
      <c r="K4504" t="s">
        <v>4160</v>
      </c>
    </row>
    <row r="4505" spans="1:11" hidden="1">
      <c r="A4505" s="28">
        <v>46295</v>
      </c>
      <c r="B4505" t="s">
        <v>4139</v>
      </c>
      <c r="C4505" t="s">
        <v>4140</v>
      </c>
      <c r="D4505" t="s">
        <v>217</v>
      </c>
      <c r="E4505">
        <f>IF(LEFT(D4505,6)="CLIENT",IFERROR(VLOOKUP(C4505,Config_Carteiras!$A:$B,2,FALSE),1),"")</f>
        <v>1</v>
      </c>
      <c r="F4505" s="25">
        <v>816</v>
      </c>
      <c r="G4505" s="28">
        <f>IF(LEFT(D4505,6)="CLIENT",IF(E4505=0,WORKDAY(A4505-1,1,Dias_Sem_Compensacao!$A$2:$A$500),WORKDAY(A4505,E4505,Dias_Sem_Compensacao!$A$2:$A$500)),"")</f>
        <v>46296</v>
      </c>
      <c r="H4505" s="25">
        <v>0</v>
      </c>
      <c r="I4505" s="28">
        <v>46295</v>
      </c>
      <c r="J4505" t="s">
        <v>4145</v>
      </c>
      <c r="K4505" t="s">
        <v>4161</v>
      </c>
    </row>
    <row r="4506" spans="1:11" hidden="1">
      <c r="A4506" s="28">
        <v>46295</v>
      </c>
      <c r="B4506" t="s">
        <v>4139</v>
      </c>
      <c r="C4506" t="s">
        <v>4140</v>
      </c>
      <c r="D4506" t="s">
        <v>217</v>
      </c>
      <c r="E4506">
        <f>IF(LEFT(D4506,6)="CLIENT",IFERROR(VLOOKUP(C4506,Config_Carteiras!$A:$B,2,FALSE),1),"")</f>
        <v>1</v>
      </c>
      <c r="F4506" s="25">
        <v>2500</v>
      </c>
      <c r="G4506" s="28">
        <f>IF(LEFT(D4506,6)="CLIENT",IF(E4506=0,WORKDAY(A4506-1,1,Dias_Sem_Compensacao!$A$2:$A$500),WORKDAY(A4506,E4506,Dias_Sem_Compensacao!$A$2:$A$500)),"")</f>
        <v>46296</v>
      </c>
      <c r="H4506" s="25">
        <v>0</v>
      </c>
      <c r="I4506" s="28">
        <v>46295</v>
      </c>
      <c r="J4506" t="s">
        <v>4143</v>
      </c>
      <c r="K4506" t="s">
        <v>4162</v>
      </c>
    </row>
    <row r="4507" spans="1:11" hidden="1">
      <c r="A4507" s="28">
        <v>46295</v>
      </c>
      <c r="B4507" t="s">
        <v>4139</v>
      </c>
      <c r="C4507" t="s">
        <v>4140</v>
      </c>
      <c r="D4507" t="s">
        <v>217</v>
      </c>
      <c r="E4507">
        <f>IF(LEFT(D4507,6)="CLIENT",IFERROR(VLOOKUP(C4507,Config_Carteiras!$A:$B,2,FALSE),1),"")</f>
        <v>1</v>
      </c>
      <c r="F4507" s="25">
        <v>2617.6</v>
      </c>
      <c r="G4507" s="28">
        <f>IF(LEFT(D4507,6)="CLIENT",IF(E4507=0,WORKDAY(A4507-1,1,Dias_Sem_Compensacao!$A$2:$A$500),WORKDAY(A4507,E4507,Dias_Sem_Compensacao!$A$2:$A$500)),"")</f>
        <v>46296</v>
      </c>
      <c r="H4507" s="25">
        <v>0</v>
      </c>
      <c r="I4507" s="28">
        <v>46295</v>
      </c>
      <c r="J4507" t="s">
        <v>4163</v>
      </c>
      <c r="K4507" t="s">
        <v>4164</v>
      </c>
    </row>
    <row r="4508" spans="1:11" hidden="1">
      <c r="A4508" s="28">
        <v>46295</v>
      </c>
      <c r="B4508" t="s">
        <v>4139</v>
      </c>
      <c r="C4508" t="s">
        <v>4140</v>
      </c>
      <c r="D4508" t="s">
        <v>217</v>
      </c>
      <c r="E4508">
        <f>IF(LEFT(D4508,6)="CLIENT",IFERROR(VLOOKUP(C4508,Config_Carteiras!$A:$B,2,FALSE),1),"")</f>
        <v>1</v>
      </c>
      <c r="F4508" s="25">
        <v>1122</v>
      </c>
      <c r="G4508" s="28">
        <f>IF(LEFT(D4508,6)="CLIENT",IF(E4508=0,WORKDAY(A4508-1,1,Dias_Sem_Compensacao!$A$2:$A$500),WORKDAY(A4508,E4508,Dias_Sem_Compensacao!$A$2:$A$500)),"")</f>
        <v>46296</v>
      </c>
      <c r="H4508" s="25">
        <v>0</v>
      </c>
      <c r="I4508" s="28">
        <v>46295</v>
      </c>
      <c r="J4508" t="s">
        <v>4165</v>
      </c>
      <c r="K4508" t="s">
        <v>4166</v>
      </c>
    </row>
    <row r="4509" spans="1:11" hidden="1">
      <c r="A4509" s="28">
        <v>46296</v>
      </c>
      <c r="B4509" t="s">
        <v>4139</v>
      </c>
      <c r="C4509" t="s">
        <v>4140</v>
      </c>
      <c r="D4509" t="s">
        <v>217</v>
      </c>
      <c r="E4509">
        <f>IF(LEFT(D4509,6)="CLIENT",IFERROR(VLOOKUP(C4509,Config_Carteiras!$A:$B,2,FALSE),1),"")</f>
        <v>1</v>
      </c>
      <c r="F4509" s="25">
        <v>36348</v>
      </c>
      <c r="G4509" s="28">
        <f>IF(LEFT(D4509,6)="CLIENT",IF(E4509=0,WORKDAY(A4509-1,1,Dias_Sem_Compensacao!$A$2:$A$500),WORKDAY(A4509,E4509,Dias_Sem_Compensacao!$A$2:$A$500)),"")</f>
        <v>46297</v>
      </c>
      <c r="H4509" s="25">
        <v>0</v>
      </c>
      <c r="I4509" s="28">
        <v>46296</v>
      </c>
      <c r="J4509" t="s">
        <v>4167</v>
      </c>
      <c r="K4509" t="s">
        <v>4168</v>
      </c>
    </row>
    <row r="4510" spans="1:11" hidden="1">
      <c r="A4510" s="28">
        <v>46296</v>
      </c>
      <c r="B4510" t="s">
        <v>4139</v>
      </c>
      <c r="C4510" t="s">
        <v>4140</v>
      </c>
      <c r="D4510" t="s">
        <v>217</v>
      </c>
      <c r="E4510">
        <f>IF(LEFT(D4510,6)="CLIENT",IFERROR(VLOOKUP(C4510,Config_Carteiras!$A:$B,2,FALSE),1),"")</f>
        <v>1</v>
      </c>
      <c r="F4510" s="25">
        <v>1864</v>
      </c>
      <c r="G4510" s="28">
        <f>IF(LEFT(D4510,6)="CLIENT",IF(E4510=0,WORKDAY(A4510-1,1,Dias_Sem_Compensacao!$A$2:$A$500),WORKDAY(A4510,E4510,Dias_Sem_Compensacao!$A$2:$A$500)),"")</f>
        <v>46297</v>
      </c>
      <c r="H4510" s="25">
        <v>0</v>
      </c>
      <c r="I4510" s="28">
        <v>46296</v>
      </c>
      <c r="K4510" t="s">
        <v>4169</v>
      </c>
    </row>
    <row r="4511" spans="1:11" hidden="1">
      <c r="A4511" s="28">
        <v>46297</v>
      </c>
      <c r="B4511" t="s">
        <v>4139</v>
      </c>
      <c r="C4511" t="s">
        <v>4140</v>
      </c>
      <c r="D4511" t="s">
        <v>217</v>
      </c>
      <c r="E4511">
        <f>IF(LEFT(D4511,6)="CLIENT",IFERROR(VLOOKUP(C4511,Config_Carteiras!$A:$B,2,FALSE),1),"")</f>
        <v>1</v>
      </c>
      <c r="F4511" s="25">
        <v>4142</v>
      </c>
      <c r="G4511" s="28">
        <f>IF(LEFT(D4511,6)="CLIENT",IF(E4511=0,WORKDAY(A4511-1,1,Dias_Sem_Compensacao!$A$2:$A$500),WORKDAY(A4511,E4511,Dias_Sem_Compensacao!$A$2:$A$500)),"")</f>
        <v>46300</v>
      </c>
      <c r="H4511" s="25">
        <v>0</v>
      </c>
      <c r="I4511" s="28">
        <v>46297</v>
      </c>
      <c r="J4511" t="s">
        <v>4170</v>
      </c>
      <c r="K4511" t="s">
        <v>4171</v>
      </c>
    </row>
    <row r="4512" spans="1:11" hidden="1">
      <c r="A4512" s="28">
        <v>46297</v>
      </c>
      <c r="B4512" t="s">
        <v>4139</v>
      </c>
      <c r="C4512" t="s">
        <v>4140</v>
      </c>
      <c r="D4512" t="s">
        <v>217</v>
      </c>
      <c r="E4512">
        <f>IF(LEFT(D4512,6)="CLIENT",IFERROR(VLOOKUP(C4512,Config_Carteiras!$A:$B,2,FALSE),1),"")</f>
        <v>1</v>
      </c>
      <c r="F4512" s="25">
        <v>68947.199999999997</v>
      </c>
      <c r="G4512" s="28">
        <f>IF(LEFT(D4512,6)="CLIENT",IF(E4512=0,WORKDAY(A4512-1,1,Dias_Sem_Compensacao!$A$2:$A$500),WORKDAY(A4512,E4512,Dias_Sem_Compensacao!$A$2:$A$500)),"")</f>
        <v>46300</v>
      </c>
      <c r="H4512" s="25">
        <v>0</v>
      </c>
      <c r="I4512" s="28">
        <v>46297</v>
      </c>
      <c r="J4512" t="s">
        <v>4172</v>
      </c>
      <c r="K4512" t="s">
        <v>4173</v>
      </c>
    </row>
    <row r="4513" spans="1:11" hidden="1">
      <c r="A4513" s="28">
        <v>46300</v>
      </c>
      <c r="B4513" t="s">
        <v>4139</v>
      </c>
      <c r="C4513" t="s">
        <v>4140</v>
      </c>
      <c r="D4513" t="s">
        <v>217</v>
      </c>
      <c r="E4513">
        <f>IF(LEFT(D4513,6)="CLIENT",IFERROR(VLOOKUP(C4513,Config_Carteiras!$A:$B,2,FALSE),1),"")</f>
        <v>1</v>
      </c>
      <c r="F4513" s="25">
        <v>3041.2</v>
      </c>
      <c r="G4513" s="28">
        <f>IF(LEFT(D4513,6)="CLIENT",IF(E4513=0,WORKDAY(A4513-1,1,Dias_Sem_Compensacao!$A$2:$A$500),WORKDAY(A4513,E4513,Dias_Sem_Compensacao!$A$2:$A$500)),"")</f>
        <v>46301</v>
      </c>
      <c r="H4513" s="25">
        <v>0</v>
      </c>
      <c r="I4513" s="28">
        <v>46300</v>
      </c>
      <c r="J4513" t="s">
        <v>4174</v>
      </c>
      <c r="K4513" t="s">
        <v>4175</v>
      </c>
    </row>
    <row r="4514" spans="1:11" hidden="1">
      <c r="A4514" s="28">
        <v>46300</v>
      </c>
      <c r="B4514" t="s">
        <v>4139</v>
      </c>
      <c r="C4514" t="s">
        <v>4140</v>
      </c>
      <c r="D4514" t="s">
        <v>217</v>
      </c>
      <c r="E4514">
        <f>IF(LEFT(D4514,6)="CLIENT",IFERROR(VLOOKUP(C4514,Config_Carteiras!$A:$B,2,FALSE),1),"")</f>
        <v>1</v>
      </c>
      <c r="F4514" s="25">
        <v>5561</v>
      </c>
      <c r="G4514" s="28">
        <f>IF(LEFT(D4514,6)="CLIENT",IF(E4514=0,WORKDAY(A4514-1,1,Dias_Sem_Compensacao!$A$2:$A$500),WORKDAY(A4514,E4514,Dias_Sem_Compensacao!$A$2:$A$500)),"")</f>
        <v>46301</v>
      </c>
      <c r="H4514" s="25">
        <v>0</v>
      </c>
      <c r="I4514" s="28">
        <v>46300</v>
      </c>
      <c r="J4514" t="s">
        <v>4176</v>
      </c>
      <c r="K4514" t="s">
        <v>4177</v>
      </c>
    </row>
    <row r="4515" spans="1:11" hidden="1">
      <c r="A4515" s="28">
        <v>46300</v>
      </c>
      <c r="B4515" t="s">
        <v>4139</v>
      </c>
      <c r="C4515" t="s">
        <v>4140</v>
      </c>
      <c r="D4515" t="s">
        <v>217</v>
      </c>
      <c r="E4515">
        <f>IF(LEFT(D4515,6)="CLIENT",IFERROR(VLOOKUP(C4515,Config_Carteiras!$A:$B,2,FALSE),1),"")</f>
        <v>1</v>
      </c>
      <c r="F4515" s="25">
        <v>500</v>
      </c>
      <c r="G4515" s="28">
        <f>IF(LEFT(D4515,6)="CLIENT",IF(E4515=0,WORKDAY(A4515-1,1,Dias_Sem_Compensacao!$A$2:$A$500),WORKDAY(A4515,E4515,Dias_Sem_Compensacao!$A$2:$A$500)),"")</f>
        <v>46301</v>
      </c>
      <c r="H4515" s="25">
        <v>0</v>
      </c>
      <c r="I4515" s="28">
        <v>46300</v>
      </c>
      <c r="J4515" t="s">
        <v>4178</v>
      </c>
      <c r="K4515" t="s">
        <v>4179</v>
      </c>
    </row>
    <row r="4516" spans="1:11" hidden="1">
      <c r="A4516" s="28">
        <v>46300</v>
      </c>
      <c r="B4516" t="s">
        <v>4139</v>
      </c>
      <c r="C4516" t="s">
        <v>4140</v>
      </c>
      <c r="D4516" t="s">
        <v>217</v>
      </c>
      <c r="E4516">
        <f>IF(LEFT(D4516,6)="CLIENT",IFERROR(VLOOKUP(C4516,Config_Carteiras!$A:$B,2,FALSE),1),"")</f>
        <v>1</v>
      </c>
      <c r="F4516" s="25">
        <v>2557</v>
      </c>
      <c r="G4516" s="28">
        <f>IF(LEFT(D4516,6)="CLIENT",IF(E4516=0,WORKDAY(A4516-1,1,Dias_Sem_Compensacao!$A$2:$A$500),WORKDAY(A4516,E4516,Dias_Sem_Compensacao!$A$2:$A$500)),"")</f>
        <v>46301</v>
      </c>
      <c r="H4516" s="25">
        <v>0</v>
      </c>
      <c r="I4516" s="28">
        <v>46300</v>
      </c>
      <c r="J4516" t="s">
        <v>4180</v>
      </c>
      <c r="K4516" t="s">
        <v>4181</v>
      </c>
    </row>
    <row r="4517" spans="1:11" hidden="1">
      <c r="A4517" s="28">
        <v>46300</v>
      </c>
      <c r="B4517" t="s">
        <v>4139</v>
      </c>
      <c r="C4517" t="s">
        <v>4140</v>
      </c>
      <c r="D4517" t="s">
        <v>217</v>
      </c>
      <c r="E4517">
        <f>IF(LEFT(D4517,6)="CLIENT",IFERROR(VLOOKUP(C4517,Config_Carteiras!$A:$B,2,FALSE),1),"")</f>
        <v>1</v>
      </c>
      <c r="F4517" s="25">
        <v>1363.5</v>
      </c>
      <c r="G4517" s="28">
        <f>IF(LEFT(D4517,6)="CLIENT",IF(E4517=0,WORKDAY(A4517-1,1,Dias_Sem_Compensacao!$A$2:$A$500),WORKDAY(A4517,E4517,Dias_Sem_Compensacao!$A$2:$A$500)),"")</f>
        <v>46301</v>
      </c>
      <c r="H4517" s="25">
        <v>0</v>
      </c>
      <c r="I4517" s="28">
        <v>46300</v>
      </c>
      <c r="J4517" t="s">
        <v>4182</v>
      </c>
      <c r="K4517" t="s">
        <v>4183</v>
      </c>
    </row>
    <row r="4518" spans="1:11" hidden="1">
      <c r="A4518" s="28">
        <v>46301</v>
      </c>
      <c r="B4518" t="s">
        <v>4139</v>
      </c>
      <c r="C4518" t="s">
        <v>4140</v>
      </c>
      <c r="D4518" t="s">
        <v>217</v>
      </c>
      <c r="E4518">
        <f>IF(LEFT(D4518,6)="CLIENT",IFERROR(VLOOKUP(C4518,Config_Carteiras!$A:$B,2,FALSE),1),"")</f>
        <v>1</v>
      </c>
      <c r="F4518" s="25">
        <v>2600</v>
      </c>
      <c r="G4518" s="28">
        <f>IF(LEFT(D4518,6)="CLIENT",IF(E4518=0,WORKDAY(A4518-1,1,Dias_Sem_Compensacao!$A$2:$A$500),WORKDAY(A4518,E4518,Dias_Sem_Compensacao!$A$2:$A$500)),"")</f>
        <v>46302</v>
      </c>
      <c r="H4518" s="25">
        <v>0</v>
      </c>
      <c r="I4518" s="28">
        <v>46301</v>
      </c>
      <c r="J4518" t="s">
        <v>4184</v>
      </c>
      <c r="K4518" t="s">
        <v>4185</v>
      </c>
    </row>
    <row r="4519" spans="1:11" hidden="1">
      <c r="A4519" s="28">
        <v>46301</v>
      </c>
      <c r="B4519" t="s">
        <v>4139</v>
      </c>
      <c r="C4519" t="s">
        <v>4140</v>
      </c>
      <c r="D4519" t="s">
        <v>217</v>
      </c>
      <c r="E4519">
        <f>IF(LEFT(D4519,6)="CLIENT",IFERROR(VLOOKUP(C4519,Config_Carteiras!$A:$B,2,FALSE),1),"")</f>
        <v>1</v>
      </c>
      <c r="F4519" s="25">
        <v>3824</v>
      </c>
      <c r="G4519" s="28">
        <f>IF(LEFT(D4519,6)="CLIENT",IF(E4519=0,WORKDAY(A4519-1,1,Dias_Sem_Compensacao!$A$2:$A$500),WORKDAY(A4519,E4519,Dias_Sem_Compensacao!$A$2:$A$500)),"")</f>
        <v>46302</v>
      </c>
      <c r="H4519" s="25">
        <v>0</v>
      </c>
      <c r="I4519" s="28">
        <v>46301</v>
      </c>
      <c r="J4519" t="s">
        <v>4186</v>
      </c>
      <c r="K4519" t="s">
        <v>4187</v>
      </c>
    </row>
    <row r="4520" spans="1:11" hidden="1">
      <c r="A4520" s="28">
        <v>46301</v>
      </c>
      <c r="B4520" t="s">
        <v>4139</v>
      </c>
      <c r="C4520" t="s">
        <v>4140</v>
      </c>
      <c r="D4520" t="s">
        <v>217</v>
      </c>
      <c r="E4520">
        <f>IF(LEFT(D4520,6)="CLIENT",IFERROR(VLOOKUP(C4520,Config_Carteiras!$A:$B,2,FALSE),1),"")</f>
        <v>1</v>
      </c>
      <c r="F4520" s="25">
        <v>1404</v>
      </c>
      <c r="G4520" s="28">
        <f>IF(LEFT(D4520,6)="CLIENT",IF(E4520=0,WORKDAY(A4520-1,1,Dias_Sem_Compensacao!$A$2:$A$500),WORKDAY(A4520,E4520,Dias_Sem_Compensacao!$A$2:$A$500)),"")</f>
        <v>46302</v>
      </c>
      <c r="H4520" s="25">
        <v>0</v>
      </c>
      <c r="I4520" s="28">
        <v>46301</v>
      </c>
      <c r="J4520" t="s">
        <v>4188</v>
      </c>
      <c r="K4520" t="s">
        <v>4189</v>
      </c>
    </row>
    <row r="4521" spans="1:11" hidden="1">
      <c r="A4521" s="28">
        <v>46301</v>
      </c>
      <c r="B4521" t="s">
        <v>4139</v>
      </c>
      <c r="C4521" t="s">
        <v>4140</v>
      </c>
      <c r="D4521" t="s">
        <v>217</v>
      </c>
      <c r="E4521">
        <f>IF(LEFT(D4521,6)="CLIENT",IFERROR(VLOOKUP(C4521,Config_Carteiras!$A:$B,2,FALSE),1),"")</f>
        <v>1</v>
      </c>
      <c r="F4521" s="25">
        <v>817.5</v>
      </c>
      <c r="G4521" s="28">
        <f>IF(LEFT(D4521,6)="CLIENT",IF(E4521=0,WORKDAY(A4521-1,1,Dias_Sem_Compensacao!$A$2:$A$500),WORKDAY(A4521,E4521,Dias_Sem_Compensacao!$A$2:$A$500)),"")</f>
        <v>46302</v>
      </c>
      <c r="H4521" s="25">
        <v>0</v>
      </c>
      <c r="I4521" s="28">
        <v>46301</v>
      </c>
      <c r="J4521" t="s">
        <v>4190</v>
      </c>
      <c r="K4521" t="s">
        <v>4191</v>
      </c>
    </row>
    <row r="4522" spans="1:11" hidden="1">
      <c r="A4522" s="28">
        <v>46301</v>
      </c>
      <c r="B4522" t="s">
        <v>4139</v>
      </c>
      <c r="C4522" t="s">
        <v>4140</v>
      </c>
      <c r="D4522" t="s">
        <v>217</v>
      </c>
      <c r="E4522">
        <f>IF(LEFT(D4522,6)="CLIENT",IFERROR(VLOOKUP(C4522,Config_Carteiras!$A:$B,2,FALSE),1),"")</f>
        <v>1</v>
      </c>
      <c r="F4522" s="25">
        <v>1606.5</v>
      </c>
      <c r="G4522" s="28">
        <f>IF(LEFT(D4522,6)="CLIENT",IF(E4522=0,WORKDAY(A4522-1,1,Dias_Sem_Compensacao!$A$2:$A$500),WORKDAY(A4522,E4522,Dias_Sem_Compensacao!$A$2:$A$500)),"")</f>
        <v>46302</v>
      </c>
      <c r="H4522" s="25">
        <v>0</v>
      </c>
      <c r="I4522" s="28">
        <v>46301</v>
      </c>
      <c r="J4522" t="s">
        <v>4192</v>
      </c>
      <c r="K4522" t="s">
        <v>4193</v>
      </c>
    </row>
    <row r="4523" spans="1:11" hidden="1">
      <c r="A4523" s="28">
        <v>46301</v>
      </c>
      <c r="B4523" t="s">
        <v>4139</v>
      </c>
      <c r="C4523" t="s">
        <v>4140</v>
      </c>
      <c r="D4523" t="s">
        <v>217</v>
      </c>
      <c r="E4523">
        <f>IF(LEFT(D4523,6)="CLIENT",IFERROR(VLOOKUP(C4523,Config_Carteiras!$A:$B,2,FALSE),1),"")</f>
        <v>1</v>
      </c>
      <c r="F4523" s="25">
        <v>688.5</v>
      </c>
      <c r="G4523" s="28">
        <f>IF(LEFT(D4523,6)="CLIENT",IF(E4523=0,WORKDAY(A4523-1,1,Dias_Sem_Compensacao!$A$2:$A$500),WORKDAY(A4523,E4523,Dias_Sem_Compensacao!$A$2:$A$500)),"")</f>
        <v>46302</v>
      </c>
      <c r="H4523" s="25">
        <v>0</v>
      </c>
      <c r="I4523" s="28">
        <v>46301</v>
      </c>
      <c r="J4523" t="s">
        <v>4194</v>
      </c>
      <c r="K4523" t="s">
        <v>4195</v>
      </c>
    </row>
    <row r="4524" spans="1:11" hidden="1">
      <c r="A4524" s="28">
        <v>46303</v>
      </c>
      <c r="B4524" t="s">
        <v>4139</v>
      </c>
      <c r="C4524" t="s">
        <v>4140</v>
      </c>
      <c r="D4524" t="s">
        <v>217</v>
      </c>
      <c r="E4524">
        <f>IF(LEFT(D4524,6)="CLIENT",IFERROR(VLOOKUP(C4524,Config_Carteiras!$A:$B,2,FALSE),1),"")</f>
        <v>1</v>
      </c>
      <c r="F4524" s="25">
        <v>765</v>
      </c>
      <c r="G4524" s="28">
        <f>IF(LEFT(D4524,6)="CLIENT",IF(E4524=0,WORKDAY(A4524-1,1,Dias_Sem_Compensacao!$A$2:$A$500),WORKDAY(A4524,E4524,Dias_Sem_Compensacao!$A$2:$A$500)),"")</f>
        <v>46304</v>
      </c>
      <c r="H4524" s="25">
        <v>0</v>
      </c>
      <c r="I4524" s="28">
        <v>46303</v>
      </c>
      <c r="J4524" t="s">
        <v>4196</v>
      </c>
      <c r="K4524" t="s">
        <v>4197</v>
      </c>
    </row>
    <row r="4525" spans="1:11" hidden="1">
      <c r="A4525" s="28">
        <v>46311</v>
      </c>
      <c r="B4525" t="s">
        <v>4139</v>
      </c>
      <c r="C4525" t="s">
        <v>4140</v>
      </c>
      <c r="D4525" t="s">
        <v>217</v>
      </c>
      <c r="E4525">
        <f>IF(LEFT(D4525,6)="CLIENT",IFERROR(VLOOKUP(C4525,Config_Carteiras!$A:$B,2,FALSE),1),"")</f>
        <v>1</v>
      </c>
      <c r="F4525" s="25">
        <v>16760</v>
      </c>
      <c r="G4525" s="28">
        <f>IF(LEFT(D4525,6)="CLIENT",IF(E4525=0,WORKDAY(A4525-1,1,Dias_Sem_Compensacao!$A$2:$A$500),WORKDAY(A4525,E4525,Dias_Sem_Compensacao!$A$2:$A$500)),"")</f>
        <v>46314</v>
      </c>
      <c r="H4525" s="25">
        <v>0</v>
      </c>
      <c r="I4525" s="28">
        <v>46311</v>
      </c>
      <c r="J4525" t="s">
        <v>4186</v>
      </c>
      <c r="K4525" t="s">
        <v>4198</v>
      </c>
    </row>
    <row r="4526" spans="1:11" hidden="1">
      <c r="A4526" s="28">
        <v>46314</v>
      </c>
      <c r="B4526" t="s">
        <v>4139</v>
      </c>
      <c r="C4526" t="s">
        <v>4140</v>
      </c>
      <c r="D4526" t="s">
        <v>217</v>
      </c>
      <c r="E4526">
        <f>IF(LEFT(D4526,6)="CLIENT",IFERROR(VLOOKUP(C4526,Config_Carteiras!$A:$B,2,FALSE),1),"")</f>
        <v>1</v>
      </c>
      <c r="F4526" s="25">
        <v>19057</v>
      </c>
      <c r="G4526" s="28">
        <f>IF(LEFT(D4526,6)="CLIENT",IF(E4526=0,WORKDAY(A4526-1,1,Dias_Sem_Compensacao!$A$2:$A$500),WORKDAY(A4526,E4526,Dias_Sem_Compensacao!$A$2:$A$500)),"")</f>
        <v>46315</v>
      </c>
      <c r="H4526" s="25">
        <v>0</v>
      </c>
      <c r="I4526" s="28">
        <v>46314</v>
      </c>
      <c r="J4526" t="s">
        <v>4174</v>
      </c>
      <c r="K4526" t="s">
        <v>4199</v>
      </c>
    </row>
    <row r="4527" spans="1:11" hidden="1">
      <c r="A4527" s="28">
        <v>46314</v>
      </c>
      <c r="B4527" t="s">
        <v>4139</v>
      </c>
      <c r="C4527" t="s">
        <v>4140</v>
      </c>
      <c r="D4527" t="s">
        <v>217</v>
      </c>
      <c r="E4527">
        <f>IF(LEFT(D4527,6)="CLIENT",IFERROR(VLOOKUP(C4527,Config_Carteiras!$A:$B,2,FALSE),1),"")</f>
        <v>1</v>
      </c>
      <c r="F4527" s="25">
        <v>16442</v>
      </c>
      <c r="G4527" s="28">
        <f>IF(LEFT(D4527,6)="CLIENT",IF(E4527=0,WORKDAY(A4527-1,1,Dias_Sem_Compensacao!$A$2:$A$500),WORKDAY(A4527,E4527,Dias_Sem_Compensacao!$A$2:$A$500)),"")</f>
        <v>46315</v>
      </c>
      <c r="H4527" s="25">
        <v>0</v>
      </c>
      <c r="I4527" s="28">
        <v>46314</v>
      </c>
      <c r="J4527" t="s">
        <v>4180</v>
      </c>
      <c r="K4527" t="s">
        <v>4200</v>
      </c>
    </row>
    <row r="4528" spans="1:11" hidden="1">
      <c r="A4528" s="28">
        <v>46314</v>
      </c>
      <c r="B4528" t="s">
        <v>4139</v>
      </c>
      <c r="C4528" t="s">
        <v>4140</v>
      </c>
      <c r="D4528" t="s">
        <v>217</v>
      </c>
      <c r="E4528">
        <f>IF(LEFT(D4528,6)="CLIENT",IFERROR(VLOOKUP(C4528,Config_Carteiras!$A:$B,2,FALSE),1),"")</f>
        <v>1</v>
      </c>
      <c r="F4528" s="25">
        <v>2550</v>
      </c>
      <c r="G4528" s="28">
        <f>IF(LEFT(D4528,6)="CLIENT",IF(E4528=0,WORKDAY(A4528-1,1,Dias_Sem_Compensacao!$A$2:$A$500),WORKDAY(A4528,E4528,Dias_Sem_Compensacao!$A$2:$A$500)),"")</f>
        <v>46315</v>
      </c>
      <c r="H4528" s="25">
        <v>0</v>
      </c>
      <c r="I4528" s="28">
        <v>46314</v>
      </c>
      <c r="J4528" t="s">
        <v>4201</v>
      </c>
      <c r="K4528" t="s">
        <v>4202</v>
      </c>
    </row>
    <row r="4529" spans="1:11" hidden="1">
      <c r="A4529" s="28">
        <v>46314</v>
      </c>
      <c r="B4529" t="s">
        <v>4139</v>
      </c>
      <c r="C4529" t="s">
        <v>4140</v>
      </c>
      <c r="D4529" t="s">
        <v>217</v>
      </c>
      <c r="E4529">
        <f>IF(LEFT(D4529,6)="CLIENT",IFERROR(VLOOKUP(C4529,Config_Carteiras!$A:$B,2,FALSE),1),"")</f>
        <v>1</v>
      </c>
      <c r="F4529" s="25">
        <v>765</v>
      </c>
      <c r="G4529" s="28">
        <f>IF(LEFT(D4529,6)="CLIENT",IF(E4529=0,WORKDAY(A4529-1,1,Dias_Sem_Compensacao!$A$2:$A$500),WORKDAY(A4529,E4529,Dias_Sem_Compensacao!$A$2:$A$500)),"")</f>
        <v>46315</v>
      </c>
      <c r="H4529" s="25">
        <v>0</v>
      </c>
      <c r="I4529" s="28">
        <v>46314</v>
      </c>
      <c r="J4529" t="s">
        <v>4203</v>
      </c>
      <c r="K4529" t="s">
        <v>4204</v>
      </c>
    </row>
    <row r="4530" spans="1:11" hidden="1">
      <c r="A4530" s="28">
        <v>46314</v>
      </c>
      <c r="B4530" t="s">
        <v>4139</v>
      </c>
      <c r="C4530" t="s">
        <v>4140</v>
      </c>
      <c r="D4530" t="s">
        <v>217</v>
      </c>
      <c r="E4530">
        <f>IF(LEFT(D4530,6)="CLIENT",IFERROR(VLOOKUP(C4530,Config_Carteiras!$A:$B,2,FALSE),1),"")</f>
        <v>1</v>
      </c>
      <c r="F4530" s="25">
        <v>6864</v>
      </c>
      <c r="G4530" s="28">
        <f>IF(LEFT(D4530,6)="CLIENT",IF(E4530=0,WORKDAY(A4530-1,1,Dias_Sem_Compensacao!$A$2:$A$500),WORKDAY(A4530,E4530,Dias_Sem_Compensacao!$A$2:$A$500)),"")</f>
        <v>46315</v>
      </c>
      <c r="H4530" s="25">
        <v>0</v>
      </c>
      <c r="I4530" s="28">
        <v>46314</v>
      </c>
      <c r="J4530" t="s">
        <v>4188</v>
      </c>
      <c r="K4530" t="s">
        <v>4205</v>
      </c>
    </row>
    <row r="4531" spans="1:11" hidden="1">
      <c r="A4531" s="28">
        <v>46314</v>
      </c>
      <c r="B4531" t="s">
        <v>4139</v>
      </c>
      <c r="C4531" t="s">
        <v>4140</v>
      </c>
      <c r="D4531" t="s">
        <v>217</v>
      </c>
      <c r="E4531">
        <f>IF(LEFT(D4531,6)="CLIENT",IFERROR(VLOOKUP(C4531,Config_Carteiras!$A:$B,2,FALSE),1),"")</f>
        <v>1</v>
      </c>
      <c r="F4531" s="25">
        <v>5844</v>
      </c>
      <c r="G4531" s="28">
        <f>IF(LEFT(D4531,6)="CLIENT",IF(E4531=0,WORKDAY(A4531-1,1,Dias_Sem_Compensacao!$A$2:$A$500),WORKDAY(A4531,E4531,Dias_Sem_Compensacao!$A$2:$A$500)),"")</f>
        <v>46315</v>
      </c>
      <c r="H4531" s="25">
        <v>0</v>
      </c>
      <c r="I4531" s="28">
        <v>46314</v>
      </c>
      <c r="J4531" t="s">
        <v>4190</v>
      </c>
      <c r="K4531" t="s">
        <v>4206</v>
      </c>
    </row>
    <row r="4532" spans="1:11" hidden="1">
      <c r="A4532" s="28">
        <v>46314</v>
      </c>
      <c r="B4532" t="s">
        <v>4139</v>
      </c>
      <c r="C4532" t="s">
        <v>4140</v>
      </c>
      <c r="D4532" t="s">
        <v>217</v>
      </c>
      <c r="E4532">
        <f>IF(LEFT(D4532,6)="CLIENT",IFERROR(VLOOKUP(C4532,Config_Carteiras!$A:$B,2,FALSE),1),"")</f>
        <v>1</v>
      </c>
      <c r="F4532" s="25">
        <v>3667.8</v>
      </c>
      <c r="G4532" s="28">
        <f>IF(LEFT(D4532,6)="CLIENT",IF(E4532=0,WORKDAY(A4532-1,1,Dias_Sem_Compensacao!$A$2:$A$500),WORKDAY(A4532,E4532,Dias_Sem_Compensacao!$A$2:$A$500)),"")</f>
        <v>46315</v>
      </c>
      <c r="H4532" s="25">
        <v>0</v>
      </c>
      <c r="I4532" s="28">
        <v>46314</v>
      </c>
      <c r="J4532" t="s">
        <v>4192</v>
      </c>
      <c r="K4532" t="s">
        <v>4207</v>
      </c>
    </row>
    <row r="4533" spans="1:11" hidden="1">
      <c r="A4533" s="28">
        <v>46314</v>
      </c>
      <c r="B4533" t="s">
        <v>4139</v>
      </c>
      <c r="C4533" t="s">
        <v>4140</v>
      </c>
      <c r="D4533" t="s">
        <v>217</v>
      </c>
      <c r="E4533">
        <f>IF(LEFT(D4533,6)="CLIENT",IFERROR(VLOOKUP(C4533,Config_Carteiras!$A:$B,2,FALSE),1),"")</f>
        <v>1</v>
      </c>
      <c r="F4533" s="25">
        <v>6375</v>
      </c>
      <c r="G4533" s="28">
        <f>IF(LEFT(D4533,6)="CLIENT",IF(E4533=0,WORKDAY(A4533-1,1,Dias_Sem_Compensacao!$A$2:$A$500),WORKDAY(A4533,E4533,Dias_Sem_Compensacao!$A$2:$A$500)),"")</f>
        <v>46315</v>
      </c>
      <c r="H4533" s="25">
        <v>0</v>
      </c>
      <c r="I4533" s="28">
        <v>46314</v>
      </c>
      <c r="J4533" t="s">
        <v>4194</v>
      </c>
      <c r="K4533" t="s">
        <v>4208</v>
      </c>
    </row>
    <row r="4534" spans="1:11" hidden="1">
      <c r="A4534" s="28">
        <v>46315</v>
      </c>
      <c r="B4534" t="s">
        <v>4139</v>
      </c>
      <c r="C4534" t="s">
        <v>4140</v>
      </c>
      <c r="D4534" t="s">
        <v>217</v>
      </c>
      <c r="E4534">
        <f>IF(LEFT(D4534,6)="CLIENT",IFERROR(VLOOKUP(C4534,Config_Carteiras!$A:$B,2,FALSE),1),"")</f>
        <v>1</v>
      </c>
      <c r="F4534" s="25">
        <v>2500</v>
      </c>
      <c r="G4534" s="28">
        <f>IF(LEFT(D4534,6)="CLIENT",IF(E4534=0,WORKDAY(A4534-1,1,Dias_Sem_Compensacao!$A$2:$A$500),WORKDAY(A4534,E4534,Dias_Sem_Compensacao!$A$2:$A$500)),"")</f>
        <v>46316</v>
      </c>
      <c r="H4534" s="25">
        <v>0</v>
      </c>
      <c r="I4534" s="28">
        <v>46315</v>
      </c>
      <c r="J4534" t="s">
        <v>4209</v>
      </c>
      <c r="K4534" t="s">
        <v>4210</v>
      </c>
    </row>
    <row r="4535" spans="1:11" hidden="1">
      <c r="A4535" s="28">
        <v>46315</v>
      </c>
      <c r="B4535" t="s">
        <v>4139</v>
      </c>
      <c r="C4535" t="s">
        <v>4140</v>
      </c>
      <c r="D4535" t="s">
        <v>217</v>
      </c>
      <c r="E4535">
        <f>IF(LEFT(D4535,6)="CLIENT",IFERROR(VLOOKUP(C4535,Config_Carteiras!$A:$B,2,FALSE),1),"")</f>
        <v>1</v>
      </c>
      <c r="F4535" s="25">
        <v>26833</v>
      </c>
      <c r="G4535" s="28">
        <f>IF(LEFT(D4535,6)="CLIENT",IF(E4535=0,WORKDAY(A4535-1,1,Dias_Sem_Compensacao!$A$2:$A$500),WORKDAY(A4535,E4535,Dias_Sem_Compensacao!$A$2:$A$500)),"")</f>
        <v>46316</v>
      </c>
      <c r="H4535" s="25">
        <v>0</v>
      </c>
      <c r="I4535" s="28">
        <v>46315</v>
      </c>
      <c r="J4535" t="s">
        <v>4170</v>
      </c>
      <c r="K4535" t="s">
        <v>4211</v>
      </c>
    </row>
    <row r="4536" spans="1:11" hidden="1">
      <c r="A4536" s="28">
        <v>46315</v>
      </c>
      <c r="B4536" t="s">
        <v>4139</v>
      </c>
      <c r="C4536" t="s">
        <v>4140</v>
      </c>
      <c r="D4536" t="s">
        <v>217</v>
      </c>
      <c r="E4536">
        <f>IF(LEFT(D4536,6)="CLIENT",IFERROR(VLOOKUP(C4536,Config_Carteiras!$A:$B,2,FALSE),1),"")</f>
        <v>1</v>
      </c>
      <c r="F4536" s="25">
        <v>3347.5</v>
      </c>
      <c r="G4536" s="28">
        <f>IF(LEFT(D4536,6)="CLIENT",IF(E4536=0,WORKDAY(A4536-1,1,Dias_Sem_Compensacao!$A$2:$A$500),WORKDAY(A4536,E4536,Dias_Sem_Compensacao!$A$2:$A$500)),"")</f>
        <v>46316</v>
      </c>
      <c r="H4536" s="25">
        <v>0</v>
      </c>
      <c r="I4536" s="28">
        <v>46315</v>
      </c>
      <c r="J4536" t="s">
        <v>4212</v>
      </c>
      <c r="K4536" t="s">
        <v>4213</v>
      </c>
    </row>
    <row r="4537" spans="1:11" hidden="1">
      <c r="A4537" s="28">
        <v>46315</v>
      </c>
      <c r="B4537" t="s">
        <v>4139</v>
      </c>
      <c r="C4537" t="s">
        <v>4140</v>
      </c>
      <c r="D4537" t="s">
        <v>217</v>
      </c>
      <c r="E4537">
        <f>IF(LEFT(D4537,6)="CLIENT",IFERROR(VLOOKUP(C4537,Config_Carteiras!$A:$B,2,FALSE),1),"")</f>
        <v>1</v>
      </c>
      <c r="F4537" s="25">
        <v>18590</v>
      </c>
      <c r="G4537" s="28">
        <f>IF(LEFT(D4537,6)="CLIENT",IF(E4537=0,WORKDAY(A4537-1,1,Dias_Sem_Compensacao!$A$2:$A$500),WORKDAY(A4537,E4537,Dias_Sem_Compensacao!$A$2:$A$500)),"")</f>
        <v>46316</v>
      </c>
      <c r="H4537" s="25">
        <v>0</v>
      </c>
      <c r="I4537" s="28">
        <v>46315</v>
      </c>
      <c r="J4537" t="s">
        <v>4184</v>
      </c>
      <c r="K4537" t="s">
        <v>4214</v>
      </c>
    </row>
    <row r="4538" spans="1:11" hidden="1">
      <c r="A4538" s="28">
        <v>46315</v>
      </c>
      <c r="B4538" t="s">
        <v>4139</v>
      </c>
      <c r="C4538" t="s">
        <v>4140</v>
      </c>
      <c r="D4538" t="s">
        <v>217</v>
      </c>
      <c r="E4538">
        <f>IF(LEFT(D4538,6)="CLIENT",IFERROR(VLOOKUP(C4538,Config_Carteiras!$A:$B,2,FALSE),1),"")</f>
        <v>1</v>
      </c>
      <c r="F4538" s="25">
        <v>2295</v>
      </c>
      <c r="G4538" s="28">
        <f>IF(LEFT(D4538,6)="CLIENT",IF(E4538=0,WORKDAY(A4538-1,1,Dias_Sem_Compensacao!$A$2:$A$500),WORKDAY(A4538,E4538,Dias_Sem_Compensacao!$A$2:$A$500)),"")</f>
        <v>46316</v>
      </c>
      <c r="H4538" s="25">
        <v>0</v>
      </c>
      <c r="I4538" s="28">
        <v>46315</v>
      </c>
      <c r="J4538" t="s">
        <v>4196</v>
      </c>
      <c r="K4538" t="s">
        <v>4215</v>
      </c>
    </row>
    <row r="4539" spans="1:11" hidden="1">
      <c r="A4539" s="28">
        <v>46315</v>
      </c>
      <c r="B4539" t="s">
        <v>4139</v>
      </c>
      <c r="C4539" t="s">
        <v>4140</v>
      </c>
      <c r="D4539" t="s">
        <v>217</v>
      </c>
      <c r="E4539">
        <f>IF(LEFT(D4539,6)="CLIENT",IFERROR(VLOOKUP(C4539,Config_Carteiras!$A:$B,2,FALSE),1),"")</f>
        <v>1</v>
      </c>
      <c r="F4539" s="25">
        <v>3088</v>
      </c>
      <c r="G4539" s="28">
        <f>IF(LEFT(D4539,6)="CLIENT",IF(E4539=0,WORKDAY(A4539-1,1,Dias_Sem_Compensacao!$A$2:$A$500),WORKDAY(A4539,E4539,Dias_Sem_Compensacao!$A$2:$A$500)),"")</f>
        <v>46316</v>
      </c>
      <c r="H4539" s="25">
        <v>0</v>
      </c>
      <c r="I4539" s="28">
        <v>46315</v>
      </c>
      <c r="J4539" t="s">
        <v>4163</v>
      </c>
      <c r="K4539" t="s">
        <v>4216</v>
      </c>
    </row>
    <row r="4540" spans="1:11" hidden="1">
      <c r="A4540" s="28">
        <v>46315</v>
      </c>
      <c r="B4540" t="s">
        <v>4139</v>
      </c>
      <c r="C4540" t="s">
        <v>4140</v>
      </c>
      <c r="D4540" t="s">
        <v>217</v>
      </c>
      <c r="E4540">
        <f>IF(LEFT(D4540,6)="CLIENT",IFERROR(VLOOKUP(C4540,Config_Carteiras!$A:$B,2,FALSE),1),"")</f>
        <v>1</v>
      </c>
      <c r="F4540" s="25">
        <v>6375</v>
      </c>
      <c r="G4540" s="28">
        <f>IF(LEFT(D4540,6)="CLIENT",IF(E4540=0,WORKDAY(A4540-1,1,Dias_Sem_Compensacao!$A$2:$A$500),WORKDAY(A4540,E4540,Dias_Sem_Compensacao!$A$2:$A$500)),"")</f>
        <v>46316</v>
      </c>
      <c r="H4540" s="25">
        <v>0</v>
      </c>
      <c r="I4540" s="28">
        <v>46315</v>
      </c>
      <c r="J4540" t="s">
        <v>4165</v>
      </c>
      <c r="K4540" t="s">
        <v>4217</v>
      </c>
    </row>
    <row r="4541" spans="1:11" hidden="1">
      <c r="A4541" s="28">
        <v>46316</v>
      </c>
      <c r="B4541" t="s">
        <v>4139</v>
      </c>
      <c r="C4541" t="s">
        <v>4140</v>
      </c>
      <c r="D4541" t="s">
        <v>217</v>
      </c>
      <c r="E4541">
        <f>IF(LEFT(D4541,6)="CLIENT",IFERROR(VLOOKUP(C4541,Config_Carteiras!$A:$B,2,FALSE),1),"")</f>
        <v>1</v>
      </c>
      <c r="F4541" s="25">
        <v>3825</v>
      </c>
      <c r="G4541" s="28">
        <f>IF(LEFT(D4541,6)="CLIENT",IF(E4541=0,WORKDAY(A4541-1,1,Dias_Sem_Compensacao!$A$2:$A$500),WORKDAY(A4541,E4541,Dias_Sem_Compensacao!$A$2:$A$500)),"")</f>
        <v>46317</v>
      </c>
      <c r="H4541" s="25">
        <v>0</v>
      </c>
      <c r="I4541" s="28">
        <v>46316</v>
      </c>
      <c r="J4541" t="s">
        <v>4151</v>
      </c>
      <c r="K4541" t="s">
        <v>4218</v>
      </c>
    </row>
    <row r="4542" spans="1:11" hidden="1">
      <c r="A4542" s="28">
        <v>46316</v>
      </c>
      <c r="B4542" t="s">
        <v>4139</v>
      </c>
      <c r="C4542" t="s">
        <v>4140</v>
      </c>
      <c r="D4542" t="s">
        <v>217</v>
      </c>
      <c r="E4542">
        <f>IF(LEFT(D4542,6)="CLIENT",IFERROR(VLOOKUP(C4542,Config_Carteiras!$A:$B,2,FALSE),1),"")</f>
        <v>1</v>
      </c>
      <c r="F4542" s="25">
        <v>1308.8</v>
      </c>
      <c r="G4542" s="28">
        <f>IF(LEFT(D4542,6)="CLIENT",IF(E4542=0,WORKDAY(A4542-1,1,Dias_Sem_Compensacao!$A$2:$A$500),WORKDAY(A4542,E4542,Dias_Sem_Compensacao!$A$2:$A$500)),"")</f>
        <v>46317</v>
      </c>
      <c r="H4542" s="25">
        <v>0</v>
      </c>
      <c r="I4542" s="28">
        <v>46316</v>
      </c>
      <c r="J4542" t="s">
        <v>4153</v>
      </c>
      <c r="K4542" t="s">
        <v>4219</v>
      </c>
    </row>
    <row r="4543" spans="1:11" hidden="1">
      <c r="A4543" s="28">
        <v>46316</v>
      </c>
      <c r="B4543" t="s">
        <v>4139</v>
      </c>
      <c r="C4543" t="s">
        <v>4140</v>
      </c>
      <c r="D4543" t="s">
        <v>217</v>
      </c>
      <c r="E4543">
        <f>IF(LEFT(D4543,6)="CLIENT",IFERROR(VLOOKUP(C4543,Config_Carteiras!$A:$B,2,FALSE),1),"")</f>
        <v>1</v>
      </c>
      <c r="F4543" s="25">
        <v>34565</v>
      </c>
      <c r="G4543" s="28">
        <f>IF(LEFT(D4543,6)="CLIENT",IF(E4543=0,WORKDAY(A4543-1,1,Dias_Sem_Compensacao!$A$2:$A$500),WORKDAY(A4543,E4543,Dias_Sem_Compensacao!$A$2:$A$500)),"")</f>
        <v>46317</v>
      </c>
      <c r="H4543" s="25">
        <v>0</v>
      </c>
      <c r="I4543" s="28">
        <v>46316</v>
      </c>
      <c r="J4543" t="s">
        <v>4176</v>
      </c>
      <c r="K4543" t="s">
        <v>4220</v>
      </c>
    </row>
    <row r="4544" spans="1:11" hidden="1">
      <c r="A4544" s="28">
        <v>46316</v>
      </c>
      <c r="B4544" t="s">
        <v>4139</v>
      </c>
      <c r="C4544" t="s">
        <v>4140</v>
      </c>
      <c r="D4544" t="s">
        <v>217</v>
      </c>
      <c r="E4544">
        <f>IF(LEFT(D4544,6)="CLIENT",IFERROR(VLOOKUP(C4544,Config_Carteiras!$A:$B,2,FALSE),1),"")</f>
        <v>1</v>
      </c>
      <c r="F4544" s="25">
        <v>887.5</v>
      </c>
      <c r="G4544" s="28">
        <f>IF(LEFT(D4544,6)="CLIENT",IF(E4544=0,WORKDAY(A4544-1,1,Dias_Sem_Compensacao!$A$2:$A$500),WORKDAY(A4544,E4544,Dias_Sem_Compensacao!$A$2:$A$500)),"")</f>
        <v>46317</v>
      </c>
      <c r="H4544" s="25">
        <v>0</v>
      </c>
      <c r="I4544" s="28">
        <v>46316</v>
      </c>
      <c r="J4544" t="s">
        <v>4147</v>
      </c>
      <c r="K4544" t="s">
        <v>4221</v>
      </c>
    </row>
    <row r="4545" spans="1:11" hidden="1">
      <c r="A4545" s="28">
        <v>46316</v>
      </c>
      <c r="B4545" t="s">
        <v>4139</v>
      </c>
      <c r="C4545" t="s">
        <v>4140</v>
      </c>
      <c r="D4545" t="s">
        <v>217</v>
      </c>
      <c r="E4545">
        <f>IF(LEFT(D4545,6)="CLIENT",IFERROR(VLOOKUP(C4545,Config_Carteiras!$A:$B,2,FALSE),1),"")</f>
        <v>1</v>
      </c>
      <c r="F4545" s="25">
        <v>1020</v>
      </c>
      <c r="G4545" s="28">
        <f>IF(LEFT(D4545,6)="CLIENT",IF(E4545=0,WORKDAY(A4545-1,1,Dias_Sem_Compensacao!$A$2:$A$500),WORKDAY(A4545,E4545,Dias_Sem_Compensacao!$A$2:$A$500)),"")</f>
        <v>46317</v>
      </c>
      <c r="H4545" s="25">
        <v>0</v>
      </c>
      <c r="I4545" s="28">
        <v>46316</v>
      </c>
      <c r="J4545" t="s">
        <v>4222</v>
      </c>
      <c r="K4545" t="s">
        <v>4223</v>
      </c>
    </row>
    <row r="4546" spans="1:11" hidden="1">
      <c r="A4546" s="28">
        <v>46316</v>
      </c>
      <c r="B4546" t="s">
        <v>4139</v>
      </c>
      <c r="C4546" t="s">
        <v>4140</v>
      </c>
      <c r="D4546" t="s">
        <v>217</v>
      </c>
      <c r="E4546">
        <f>IF(LEFT(D4546,6)="CLIENT",IFERROR(VLOOKUP(C4546,Config_Carteiras!$A:$B,2,FALSE),1),"")</f>
        <v>1</v>
      </c>
      <c r="F4546" s="25">
        <v>1275</v>
      </c>
      <c r="G4546" s="28">
        <f>IF(LEFT(D4546,6)="CLIENT",IF(E4546=0,WORKDAY(A4546-1,1,Dias_Sem_Compensacao!$A$2:$A$500),WORKDAY(A4546,E4546,Dias_Sem_Compensacao!$A$2:$A$500)),"")</f>
        <v>46317</v>
      </c>
      <c r="H4546" s="25">
        <v>0</v>
      </c>
      <c r="I4546" s="28">
        <v>46316</v>
      </c>
      <c r="J4546" t="s">
        <v>4155</v>
      </c>
      <c r="K4546" t="s">
        <v>4224</v>
      </c>
    </row>
    <row r="4547" spans="1:11" hidden="1">
      <c r="A4547" s="28">
        <v>46316</v>
      </c>
      <c r="B4547" t="s">
        <v>4139</v>
      </c>
      <c r="C4547" t="s">
        <v>4140</v>
      </c>
      <c r="D4547" t="s">
        <v>217</v>
      </c>
      <c r="E4547">
        <f>IF(LEFT(D4547,6)="CLIENT",IFERROR(VLOOKUP(C4547,Config_Carteiras!$A:$B,2,FALSE),1),"")</f>
        <v>1</v>
      </c>
      <c r="F4547" s="25">
        <v>7780</v>
      </c>
      <c r="G4547" s="28">
        <f>IF(LEFT(D4547,6)="CLIENT",IF(E4547=0,WORKDAY(A4547-1,1,Dias_Sem_Compensacao!$A$2:$A$500),WORKDAY(A4547,E4547,Dias_Sem_Compensacao!$A$2:$A$500)),"")</f>
        <v>46317</v>
      </c>
      <c r="H4547" s="25">
        <v>0</v>
      </c>
      <c r="I4547" s="28">
        <v>46316</v>
      </c>
      <c r="J4547" t="s">
        <v>4157</v>
      </c>
      <c r="K4547" t="s">
        <v>4225</v>
      </c>
    </row>
    <row r="4548" spans="1:11" hidden="1">
      <c r="A4548" s="28">
        <v>46316</v>
      </c>
      <c r="B4548" t="s">
        <v>4139</v>
      </c>
      <c r="C4548" t="s">
        <v>4140</v>
      </c>
      <c r="D4548" t="s">
        <v>217</v>
      </c>
      <c r="E4548">
        <f>IF(LEFT(D4548,6)="CLIENT",IFERROR(VLOOKUP(C4548,Config_Carteiras!$A:$B,2,FALSE),1),"")</f>
        <v>1</v>
      </c>
      <c r="F4548" s="25">
        <v>6534</v>
      </c>
      <c r="G4548" s="28">
        <f>IF(LEFT(D4548,6)="CLIENT",IF(E4548=0,WORKDAY(A4548-1,1,Dias_Sem_Compensacao!$A$2:$A$500),WORKDAY(A4548,E4548,Dias_Sem_Compensacao!$A$2:$A$500)),"")</f>
        <v>46317</v>
      </c>
      <c r="H4548" s="25">
        <v>0</v>
      </c>
      <c r="I4548" s="28">
        <v>46316</v>
      </c>
      <c r="J4548" t="s">
        <v>4182</v>
      </c>
      <c r="K4548" t="s">
        <v>4226</v>
      </c>
    </row>
    <row r="4549" spans="1:11" hidden="1">
      <c r="A4549" s="28">
        <v>46316</v>
      </c>
      <c r="B4549" t="s">
        <v>4139</v>
      </c>
      <c r="C4549" t="s">
        <v>4140</v>
      </c>
      <c r="D4549" t="s">
        <v>217</v>
      </c>
      <c r="E4549">
        <f>IF(LEFT(D4549,6)="CLIENT",IFERROR(VLOOKUP(C4549,Config_Carteiras!$A:$B,2,FALSE),1),"")</f>
        <v>1</v>
      </c>
      <c r="F4549" s="25">
        <v>1020</v>
      </c>
      <c r="G4549" s="28">
        <f>IF(LEFT(D4549,6)="CLIENT",IF(E4549=0,WORKDAY(A4549-1,1,Dias_Sem_Compensacao!$A$2:$A$500),WORKDAY(A4549,E4549,Dias_Sem_Compensacao!$A$2:$A$500)),"")</f>
        <v>46317</v>
      </c>
      <c r="H4549" s="25">
        <v>0</v>
      </c>
      <c r="I4549" s="28">
        <v>46316</v>
      </c>
      <c r="J4549" t="s">
        <v>4227</v>
      </c>
      <c r="K4549" t="s">
        <v>4228</v>
      </c>
    </row>
    <row r="4550" spans="1:11" hidden="1">
      <c r="A4550" s="28">
        <v>46316</v>
      </c>
      <c r="B4550" t="s">
        <v>4139</v>
      </c>
      <c r="C4550" t="s">
        <v>4140</v>
      </c>
      <c r="D4550" t="s">
        <v>217</v>
      </c>
      <c r="E4550">
        <f>IF(LEFT(D4550,6)="CLIENT",IFERROR(VLOOKUP(C4550,Config_Carteiras!$A:$B,2,FALSE),1),"")</f>
        <v>1</v>
      </c>
      <c r="F4550" s="25">
        <v>5000</v>
      </c>
      <c r="G4550" s="28">
        <f>IF(LEFT(D4550,6)="CLIENT",IF(E4550=0,WORKDAY(A4550-1,1,Dias_Sem_Compensacao!$A$2:$A$500),WORKDAY(A4550,E4550,Dias_Sem_Compensacao!$A$2:$A$500)),"")</f>
        <v>46317</v>
      </c>
      <c r="H4550" s="25">
        <v>0</v>
      </c>
      <c r="I4550" s="28">
        <v>46316</v>
      </c>
      <c r="J4550" t="s">
        <v>4159</v>
      </c>
      <c r="K4550" t="s">
        <v>4229</v>
      </c>
    </row>
    <row r="4551" spans="1:11" hidden="1">
      <c r="A4551" s="28">
        <v>46316</v>
      </c>
      <c r="B4551" t="s">
        <v>4139</v>
      </c>
      <c r="C4551" t="s">
        <v>4140</v>
      </c>
      <c r="D4551" t="s">
        <v>217</v>
      </c>
      <c r="E4551">
        <f>IF(LEFT(D4551,6)="CLIENT",IFERROR(VLOOKUP(C4551,Config_Carteiras!$A:$B,2,FALSE),1),"")</f>
        <v>1</v>
      </c>
      <c r="F4551" s="25">
        <v>2040</v>
      </c>
      <c r="G4551" s="28">
        <f>IF(LEFT(D4551,6)="CLIENT",IF(E4551=0,WORKDAY(A4551-1,1,Dias_Sem_Compensacao!$A$2:$A$500),WORKDAY(A4551,E4551,Dias_Sem_Compensacao!$A$2:$A$500)),"")</f>
        <v>46317</v>
      </c>
      <c r="H4551" s="25">
        <v>0</v>
      </c>
      <c r="I4551" s="28">
        <v>46316</v>
      </c>
      <c r="J4551" t="s">
        <v>4145</v>
      </c>
      <c r="K4551" t="s">
        <v>4230</v>
      </c>
    </row>
    <row r="4552" spans="1:11" hidden="1">
      <c r="A4552" s="28">
        <v>46316</v>
      </c>
      <c r="B4552" t="s">
        <v>4139</v>
      </c>
      <c r="C4552" t="s">
        <v>4140</v>
      </c>
      <c r="D4552" t="s">
        <v>217</v>
      </c>
      <c r="E4552">
        <f>IF(LEFT(D4552,6)="CLIENT",IFERROR(VLOOKUP(C4552,Config_Carteiras!$A:$B,2,FALSE),1),"")</f>
        <v>1</v>
      </c>
      <c r="F4552" s="25">
        <v>10000</v>
      </c>
      <c r="G4552" s="28">
        <f>IF(LEFT(D4552,6)="CLIENT",IF(E4552=0,WORKDAY(A4552-1,1,Dias_Sem_Compensacao!$A$2:$A$500),WORKDAY(A4552,E4552,Dias_Sem_Compensacao!$A$2:$A$500)),"")</f>
        <v>46317</v>
      </c>
      <c r="H4552" s="25">
        <v>0</v>
      </c>
      <c r="I4552" s="28">
        <v>46316</v>
      </c>
      <c r="J4552" t="s">
        <v>4143</v>
      </c>
      <c r="K4552" t="s">
        <v>4231</v>
      </c>
    </row>
    <row r="4553" spans="1:11" hidden="1">
      <c r="A4553" s="28">
        <v>46316</v>
      </c>
      <c r="B4553" t="s">
        <v>4139</v>
      </c>
      <c r="C4553" t="s">
        <v>4140</v>
      </c>
      <c r="D4553" t="s">
        <v>217</v>
      </c>
      <c r="E4553">
        <f>IF(LEFT(D4553,6)="CLIENT",IFERROR(VLOOKUP(C4553,Config_Carteiras!$A:$B,2,FALSE),1),"")</f>
        <v>1</v>
      </c>
      <c r="F4553" s="25">
        <v>625</v>
      </c>
      <c r="G4553" s="28">
        <f>IF(LEFT(D4553,6)="CLIENT",IF(E4553=0,WORKDAY(A4553-1,1,Dias_Sem_Compensacao!$A$2:$A$500),WORKDAY(A4553,E4553,Dias_Sem_Compensacao!$A$2:$A$500)),"")</f>
        <v>46317</v>
      </c>
      <c r="H4553" s="25">
        <v>0</v>
      </c>
      <c r="I4553" s="28">
        <v>46316</v>
      </c>
      <c r="J4553" t="s">
        <v>4232</v>
      </c>
      <c r="K4553" t="s">
        <v>4233</v>
      </c>
    </row>
    <row r="4554" spans="1:11" hidden="1">
      <c r="A4554" s="28">
        <v>46316</v>
      </c>
      <c r="B4554" t="s">
        <v>4139</v>
      </c>
      <c r="C4554" t="s">
        <v>4140</v>
      </c>
      <c r="D4554" t="s">
        <v>217</v>
      </c>
      <c r="E4554">
        <f>IF(LEFT(D4554,6)="CLIENT",IFERROR(VLOOKUP(C4554,Config_Carteiras!$A:$B,2,FALSE),1),"")</f>
        <v>1</v>
      </c>
      <c r="F4554" s="25">
        <v>510</v>
      </c>
      <c r="G4554" s="28">
        <f>IF(LEFT(D4554,6)="CLIENT",IF(E4554=0,WORKDAY(A4554-1,1,Dias_Sem_Compensacao!$A$2:$A$500),WORKDAY(A4554,E4554,Dias_Sem_Compensacao!$A$2:$A$500)),"")</f>
        <v>46317</v>
      </c>
      <c r="H4554" s="25">
        <v>0</v>
      </c>
      <c r="I4554" s="28">
        <v>46316</v>
      </c>
      <c r="J4554" t="s">
        <v>4234</v>
      </c>
      <c r="K4554" t="s">
        <v>4235</v>
      </c>
    </row>
    <row r="4555" spans="1:11" hidden="1">
      <c r="A4555" s="28">
        <v>46317</v>
      </c>
      <c r="B4555" t="s">
        <v>4139</v>
      </c>
      <c r="C4555" t="s">
        <v>4140</v>
      </c>
      <c r="D4555" t="s">
        <v>217</v>
      </c>
      <c r="E4555">
        <f>IF(LEFT(D4555,6)="CLIENT",IFERROR(VLOOKUP(C4555,Config_Carteiras!$A:$B,2,FALSE),1),"")</f>
        <v>1</v>
      </c>
      <c r="F4555" s="25">
        <v>43102</v>
      </c>
      <c r="G4555" s="28">
        <f>IF(LEFT(D4555,6)="CLIENT",IF(E4555=0,WORKDAY(A4555-1,1,Dias_Sem_Compensacao!$A$2:$A$500),WORKDAY(A4555,E4555,Dias_Sem_Compensacao!$A$2:$A$500)),"")</f>
        <v>46318</v>
      </c>
      <c r="H4555" s="25">
        <v>0</v>
      </c>
      <c r="I4555" s="28">
        <v>46317</v>
      </c>
      <c r="J4555" t="s">
        <v>4149</v>
      </c>
      <c r="K4555" t="s">
        <v>4236</v>
      </c>
    </row>
    <row r="4556" spans="1:11" hidden="1">
      <c r="A4556" s="28">
        <v>46254</v>
      </c>
      <c r="B4556" t="s">
        <v>4237</v>
      </c>
      <c r="C4556" t="s">
        <v>4238</v>
      </c>
      <c r="D4556" t="s">
        <v>217</v>
      </c>
      <c r="E4556">
        <f>IF(LEFT(D4556,6)="CLIENT",IFERROR(VLOOKUP(C4556,Config_Carteiras!$A:$B,2,FALSE),1),"")</f>
        <v>1</v>
      </c>
      <c r="F4556" s="25">
        <v>6600</v>
      </c>
      <c r="G4556" s="28">
        <f>IF(LEFT(D4556,6)="CLIENT",IF(E4556=0,WORKDAY(A4556-1,1,Dias_Sem_Compensacao!$A$2:$A$500),WORKDAY(A4556,E4556,Dias_Sem_Compensacao!$A$2:$A$500)),"")</f>
        <v>46255</v>
      </c>
      <c r="H4556" s="25">
        <v>0</v>
      </c>
      <c r="I4556" s="28">
        <v>46254</v>
      </c>
      <c r="J4556" t="s">
        <v>4239</v>
      </c>
      <c r="K4556" t="s">
        <v>4240</v>
      </c>
    </row>
    <row r="4557" spans="1:11" hidden="1">
      <c r="A4557" s="28">
        <v>46262</v>
      </c>
      <c r="B4557" t="s">
        <v>4237</v>
      </c>
      <c r="C4557" t="s">
        <v>4238</v>
      </c>
      <c r="D4557" t="s">
        <v>217</v>
      </c>
      <c r="E4557">
        <f>IF(LEFT(D4557,6)="CLIENT",IFERROR(VLOOKUP(C4557,Config_Carteiras!$A:$B,2,FALSE),1),"")</f>
        <v>1</v>
      </c>
      <c r="F4557" s="25">
        <v>500</v>
      </c>
      <c r="G4557" s="28">
        <f>IF(LEFT(D4557,6)="CLIENT",IF(E4557=0,WORKDAY(A4557-1,1,Dias_Sem_Compensacao!$A$2:$A$500),WORKDAY(A4557,E4557,Dias_Sem_Compensacao!$A$2:$A$500)),"")</f>
        <v>46265</v>
      </c>
      <c r="H4557" s="25">
        <v>0</v>
      </c>
      <c r="I4557" s="28">
        <v>46262</v>
      </c>
      <c r="J4557" t="s">
        <v>4239</v>
      </c>
      <c r="K4557" t="s">
        <v>4241</v>
      </c>
    </row>
    <row r="4558" spans="1:11" hidden="1">
      <c r="A4558" s="28">
        <v>46283</v>
      </c>
      <c r="B4558" t="s">
        <v>4237</v>
      </c>
      <c r="C4558" t="s">
        <v>4238</v>
      </c>
      <c r="D4558" t="s">
        <v>217</v>
      </c>
      <c r="E4558">
        <f>IF(LEFT(D4558,6)="CLIENT",IFERROR(VLOOKUP(C4558,Config_Carteiras!$A:$B,2,FALSE),1),"")</f>
        <v>1</v>
      </c>
      <c r="F4558" s="25">
        <v>6600</v>
      </c>
      <c r="G4558" s="28">
        <f>IF(LEFT(D4558,6)="CLIENT",IF(E4558=0,WORKDAY(A4558-1,1,Dias_Sem_Compensacao!$A$2:$A$500),WORKDAY(A4558,E4558,Dias_Sem_Compensacao!$A$2:$A$500)),"")</f>
        <v>46286</v>
      </c>
      <c r="H4558" s="25">
        <v>0</v>
      </c>
      <c r="I4558" s="28">
        <v>46283</v>
      </c>
      <c r="J4558" t="s">
        <v>4239</v>
      </c>
      <c r="K4558" t="s">
        <v>4242</v>
      </c>
    </row>
    <row r="4559" spans="1:11" hidden="1">
      <c r="A4559" s="28">
        <v>46310</v>
      </c>
      <c r="B4559" t="s">
        <v>4243</v>
      </c>
      <c r="C4559" t="s">
        <v>4244</v>
      </c>
      <c r="D4559" t="s">
        <v>3462</v>
      </c>
      <c r="E4559" t="str">
        <f>IF(LEFT(D4559,6)="CLIENT",IFERROR(VLOOKUP(C4559,Config_Carteiras!$A:$B,2,FALSE),1),"")</f>
        <v/>
      </c>
      <c r="F4559" s="25">
        <v>0</v>
      </c>
      <c r="G4559" s="28" t="str">
        <f>IF(LEFT(D4559,6)="CLIENT",IF(E4559=0,WORKDAY(A4559-1,1,Dias_Sem_Compensacao!$A$2:$A$500),WORKDAY(A4559,E4559,Dias_Sem_Compensacao!$A$2:$A$500)),"")</f>
        <v/>
      </c>
      <c r="H4559" s="25">
        <v>60701.21</v>
      </c>
      <c r="I4559" s="28">
        <v>46310</v>
      </c>
      <c r="J4559" t="s">
        <v>4245</v>
      </c>
      <c r="K4559" t="s">
        <v>4246</v>
      </c>
    </row>
    <row r="4560" spans="1:11" hidden="1">
      <c r="A4560" s="28">
        <v>46341</v>
      </c>
      <c r="B4560" t="s">
        <v>4243</v>
      </c>
      <c r="C4560" t="s">
        <v>4244</v>
      </c>
      <c r="D4560" t="s">
        <v>3462</v>
      </c>
      <c r="E4560" t="str">
        <f>IF(LEFT(D4560,6)="CLIENT",IFERROR(VLOOKUP(C4560,Config_Carteiras!$A:$B,2,FALSE),1),"")</f>
        <v/>
      </c>
      <c r="F4560" s="25">
        <v>0</v>
      </c>
      <c r="G4560" s="28" t="str">
        <f>IF(LEFT(D4560,6)="CLIENT",IF(E4560=0,WORKDAY(A4560-1,1,Dias_Sem_Compensacao!$A$2:$A$500),WORKDAY(A4560,E4560,Dias_Sem_Compensacao!$A$2:$A$500)),"")</f>
        <v/>
      </c>
      <c r="H4560" s="25">
        <v>60102.400000000001</v>
      </c>
      <c r="I4560" s="28">
        <v>46341</v>
      </c>
      <c r="J4560" t="s">
        <v>4245</v>
      </c>
      <c r="K4560" t="s">
        <v>4247</v>
      </c>
    </row>
    <row r="4561" spans="1:11" hidden="1">
      <c r="A4561" s="28">
        <v>46371</v>
      </c>
      <c r="B4561" t="s">
        <v>4243</v>
      </c>
      <c r="C4561" t="s">
        <v>4244</v>
      </c>
      <c r="D4561" t="s">
        <v>3462</v>
      </c>
      <c r="E4561" t="str">
        <f>IF(LEFT(D4561,6)="CLIENT",IFERROR(VLOOKUP(C4561,Config_Carteiras!$A:$B,2,FALSE),1),"")</f>
        <v/>
      </c>
      <c r="F4561" s="25">
        <v>0</v>
      </c>
      <c r="G4561" s="28" t="str">
        <f>IF(LEFT(D4561,6)="CLIENT",IF(E4561=0,WORKDAY(A4561-1,1,Dias_Sem_Compensacao!$A$2:$A$500),WORKDAY(A4561,E4561,Dias_Sem_Compensacao!$A$2:$A$500)),"")</f>
        <v/>
      </c>
      <c r="H4561" s="25">
        <v>59510.42</v>
      </c>
      <c r="I4561" s="28">
        <v>46371</v>
      </c>
      <c r="J4561" t="s">
        <v>4245</v>
      </c>
      <c r="K4561" t="s">
        <v>4248</v>
      </c>
    </row>
    <row r="4562" spans="1:11" hidden="1">
      <c r="A4562" s="28">
        <v>46288</v>
      </c>
      <c r="B4562" t="s">
        <v>4249</v>
      </c>
      <c r="C4562" t="s">
        <v>4250</v>
      </c>
      <c r="D4562" t="s">
        <v>217</v>
      </c>
      <c r="E4562">
        <f>IF(LEFT(D4562,6)="CLIENT",IFERROR(VLOOKUP(C4562,Config_Carteiras!$A:$B,2,FALSE),1),"")</f>
        <v>1</v>
      </c>
      <c r="F4562" s="25">
        <v>222525.75</v>
      </c>
      <c r="G4562" s="28">
        <f>IF(LEFT(D4562,6)="CLIENT",IF(E4562=0,WORKDAY(A4562-1,1,Dias_Sem_Compensacao!$A$2:$A$500),WORKDAY(A4562,E4562,Dias_Sem_Compensacao!$A$2:$A$500)),"")</f>
        <v>46289</v>
      </c>
      <c r="H4562" s="25">
        <v>0</v>
      </c>
      <c r="I4562" s="28">
        <v>46288</v>
      </c>
      <c r="J4562" t="s">
        <v>4251</v>
      </c>
      <c r="K4562" t="s">
        <v>4252</v>
      </c>
    </row>
    <row r="4563" spans="1:11" hidden="1">
      <c r="A4563" s="28">
        <v>46289</v>
      </c>
      <c r="B4563" t="s">
        <v>4249</v>
      </c>
      <c r="C4563" t="s">
        <v>4250</v>
      </c>
      <c r="D4563" t="s">
        <v>217</v>
      </c>
      <c r="E4563">
        <f>IF(LEFT(D4563,6)="CLIENT",IFERROR(VLOOKUP(C4563,Config_Carteiras!$A:$B,2,FALSE),1),"")</f>
        <v>1</v>
      </c>
      <c r="F4563" s="25">
        <v>71273</v>
      </c>
      <c r="G4563" s="28">
        <f>IF(LEFT(D4563,6)="CLIENT",IF(E4563=0,WORKDAY(A4563-1,1,Dias_Sem_Compensacao!$A$2:$A$500),WORKDAY(A4563,E4563,Dias_Sem_Compensacao!$A$2:$A$500)),"")</f>
        <v>46290</v>
      </c>
      <c r="H4563" s="25">
        <v>0</v>
      </c>
      <c r="I4563" s="28">
        <v>46289</v>
      </c>
      <c r="J4563" t="s">
        <v>4253</v>
      </c>
      <c r="K4563" t="s">
        <v>4254</v>
      </c>
    </row>
    <row r="4564" spans="1:11" hidden="1">
      <c r="A4564" s="28">
        <v>46304</v>
      </c>
      <c r="B4564" t="s">
        <v>4249</v>
      </c>
      <c r="C4564" t="s">
        <v>4250</v>
      </c>
      <c r="D4564" t="s">
        <v>217</v>
      </c>
      <c r="E4564">
        <f>IF(LEFT(D4564,6)="CLIENT",IFERROR(VLOOKUP(C4564,Config_Carteiras!$A:$B,2,FALSE),1),"")</f>
        <v>1</v>
      </c>
      <c r="F4564" s="25">
        <v>71293.3</v>
      </c>
      <c r="G4564" s="28">
        <f>IF(LEFT(D4564,6)="CLIENT",IF(E4564=0,WORKDAY(A4564-1,1,Dias_Sem_Compensacao!$A$2:$A$500),WORKDAY(A4564,E4564,Dias_Sem_Compensacao!$A$2:$A$500)),"")</f>
        <v>46307</v>
      </c>
      <c r="H4564" s="25">
        <v>0</v>
      </c>
      <c r="I4564" s="28">
        <v>46304</v>
      </c>
      <c r="J4564" t="s">
        <v>4253</v>
      </c>
      <c r="K4564" t="s">
        <v>4254</v>
      </c>
    </row>
    <row r="4565" spans="1:11" hidden="1">
      <c r="A4565" s="28">
        <v>46300</v>
      </c>
      <c r="B4565" t="s">
        <v>189</v>
      </c>
      <c r="C4565" t="s">
        <v>4255</v>
      </c>
      <c r="D4565" t="s">
        <v>217</v>
      </c>
      <c r="E4565">
        <f>IF(LEFT(D4565,6)="CLIENT",IFERROR(VLOOKUP(C4565,Config_Carteiras!$A:$B,2,FALSE),1),"")</f>
        <v>1</v>
      </c>
      <c r="F4565" s="25">
        <v>52.4</v>
      </c>
      <c r="G4565" s="28">
        <f>IF(LEFT(D4565,6)="CLIENT",IF(E4565=0,WORKDAY(A4565-1,1,Dias_Sem_Compensacao!$A$2:$A$500),WORKDAY(A4565,E4565,Dias_Sem_Compensacao!$A$2:$A$500)),"")</f>
        <v>46301</v>
      </c>
      <c r="H4565" s="25">
        <v>0</v>
      </c>
      <c r="I4565" s="28">
        <v>46300</v>
      </c>
      <c r="J4565" t="s">
        <v>4256</v>
      </c>
      <c r="K4565" t="s">
        <v>4257</v>
      </c>
    </row>
    <row r="4566" spans="1:11" hidden="1">
      <c r="A4566" s="28">
        <v>46300</v>
      </c>
      <c r="B4566" t="s">
        <v>189</v>
      </c>
      <c r="C4566" t="s">
        <v>4255</v>
      </c>
      <c r="D4566" t="s">
        <v>217</v>
      </c>
      <c r="E4566">
        <f>IF(LEFT(D4566,6)="CLIENT",IFERROR(VLOOKUP(C4566,Config_Carteiras!$A:$B,2,FALSE),1),"")</f>
        <v>1</v>
      </c>
      <c r="F4566" s="25">
        <v>4</v>
      </c>
      <c r="G4566" s="28">
        <f>IF(LEFT(D4566,6)="CLIENT",IF(E4566=0,WORKDAY(A4566-1,1,Dias_Sem_Compensacao!$A$2:$A$500),WORKDAY(A4566,E4566,Dias_Sem_Compensacao!$A$2:$A$500)),"")</f>
        <v>46301</v>
      </c>
      <c r="H4566" s="25">
        <v>0</v>
      </c>
      <c r="I4566" s="28">
        <v>46300</v>
      </c>
      <c r="K4566" t="s">
        <v>4258</v>
      </c>
    </row>
    <row r="4567" spans="1:11" hidden="1">
      <c r="A4567" s="28">
        <v>46300</v>
      </c>
      <c r="B4567" t="s">
        <v>189</v>
      </c>
      <c r="C4567" t="s">
        <v>4255</v>
      </c>
      <c r="D4567" t="s">
        <v>217</v>
      </c>
      <c r="E4567">
        <f>IF(LEFT(D4567,6)="CLIENT",IFERROR(VLOOKUP(C4567,Config_Carteiras!$A:$B,2,FALSE),1),"")</f>
        <v>1</v>
      </c>
      <c r="F4567" s="25">
        <v>3.5</v>
      </c>
      <c r="G4567" s="28">
        <f>IF(LEFT(D4567,6)="CLIENT",IF(E4567=0,WORKDAY(A4567-1,1,Dias_Sem_Compensacao!$A$2:$A$500),WORKDAY(A4567,E4567,Dias_Sem_Compensacao!$A$2:$A$500)),"")</f>
        <v>46301</v>
      </c>
      <c r="H4567" s="25">
        <v>0</v>
      </c>
      <c r="I4567" s="28">
        <v>46300</v>
      </c>
      <c r="K4567" t="s">
        <v>4259</v>
      </c>
    </row>
    <row r="4568" spans="1:11" hidden="1">
      <c r="A4568" s="28">
        <v>46300</v>
      </c>
      <c r="B4568" t="s">
        <v>189</v>
      </c>
      <c r="C4568" t="s">
        <v>4255</v>
      </c>
      <c r="D4568" t="s">
        <v>217</v>
      </c>
      <c r="E4568">
        <f>IF(LEFT(D4568,6)="CLIENT",IFERROR(VLOOKUP(C4568,Config_Carteiras!$A:$B,2,FALSE),1),"")</f>
        <v>1</v>
      </c>
      <c r="F4568" s="25">
        <v>7</v>
      </c>
      <c r="G4568" s="28">
        <f>IF(LEFT(D4568,6)="CLIENT",IF(E4568=0,WORKDAY(A4568-1,1,Dias_Sem_Compensacao!$A$2:$A$500),WORKDAY(A4568,E4568,Dias_Sem_Compensacao!$A$2:$A$500)),"")</f>
        <v>46301</v>
      </c>
      <c r="H4568" s="25">
        <v>0</v>
      </c>
      <c r="I4568" s="28">
        <v>46300</v>
      </c>
      <c r="K4568" t="s">
        <v>4260</v>
      </c>
    </row>
    <row r="4569" spans="1:11" hidden="1">
      <c r="A4569" s="28">
        <v>46300</v>
      </c>
      <c r="B4569" t="s">
        <v>189</v>
      </c>
      <c r="C4569" t="s">
        <v>4255</v>
      </c>
      <c r="D4569" t="s">
        <v>217</v>
      </c>
      <c r="E4569">
        <f>IF(LEFT(D4569,6)="CLIENT",IFERROR(VLOOKUP(C4569,Config_Carteiras!$A:$B,2,FALSE),1),"")</f>
        <v>1</v>
      </c>
      <c r="F4569" s="25">
        <v>12.5</v>
      </c>
      <c r="G4569" s="28">
        <f>IF(LEFT(D4569,6)="CLIENT",IF(E4569=0,WORKDAY(A4569-1,1,Dias_Sem_Compensacao!$A$2:$A$500),WORKDAY(A4569,E4569,Dias_Sem_Compensacao!$A$2:$A$500)),"")</f>
        <v>46301</v>
      </c>
      <c r="H4569" s="25">
        <v>0</v>
      </c>
      <c r="I4569" s="28">
        <v>46300</v>
      </c>
      <c r="K4569" t="s">
        <v>4261</v>
      </c>
    </row>
    <row r="4570" spans="1:11" hidden="1">
      <c r="A4570" s="28">
        <v>46300</v>
      </c>
      <c r="B4570" t="s">
        <v>189</v>
      </c>
      <c r="C4570" t="s">
        <v>4255</v>
      </c>
      <c r="D4570" t="s">
        <v>217</v>
      </c>
      <c r="E4570">
        <f>IF(LEFT(D4570,6)="CLIENT",IFERROR(VLOOKUP(C4570,Config_Carteiras!$A:$B,2,FALSE),1),"")</f>
        <v>1</v>
      </c>
      <c r="F4570" s="25">
        <v>31</v>
      </c>
      <c r="G4570" s="28">
        <f>IF(LEFT(D4570,6)="CLIENT",IF(E4570=0,WORKDAY(A4570-1,1,Dias_Sem_Compensacao!$A$2:$A$500),WORKDAY(A4570,E4570,Dias_Sem_Compensacao!$A$2:$A$500)),"")</f>
        <v>46301</v>
      </c>
      <c r="H4570" s="25">
        <v>0</v>
      </c>
      <c r="I4570" s="28">
        <v>46300</v>
      </c>
      <c r="K4570" t="s">
        <v>4262</v>
      </c>
    </row>
    <row r="4571" spans="1:11" hidden="1">
      <c r="A4571" s="28">
        <v>46300</v>
      </c>
      <c r="B4571" t="s">
        <v>189</v>
      </c>
      <c r="C4571" t="s">
        <v>4255</v>
      </c>
      <c r="D4571" t="s">
        <v>217</v>
      </c>
      <c r="E4571">
        <f>IF(LEFT(D4571,6)="CLIENT",IFERROR(VLOOKUP(C4571,Config_Carteiras!$A:$B,2,FALSE),1),"")</f>
        <v>1</v>
      </c>
      <c r="F4571" s="25">
        <v>6.2</v>
      </c>
      <c r="G4571" s="28">
        <f>IF(LEFT(D4571,6)="CLIENT",IF(E4571=0,WORKDAY(A4571-1,1,Dias_Sem_Compensacao!$A$2:$A$500),WORKDAY(A4571,E4571,Dias_Sem_Compensacao!$A$2:$A$500)),"")</f>
        <v>46301</v>
      </c>
      <c r="H4571" s="25">
        <v>0</v>
      </c>
      <c r="I4571" s="28">
        <v>46300</v>
      </c>
      <c r="K4571" t="s">
        <v>4263</v>
      </c>
    </row>
    <row r="4572" spans="1:11" hidden="1">
      <c r="A4572" s="28">
        <v>46300</v>
      </c>
      <c r="B4572" t="s">
        <v>189</v>
      </c>
      <c r="C4572" t="s">
        <v>4255</v>
      </c>
      <c r="D4572" t="s">
        <v>217</v>
      </c>
      <c r="E4572">
        <f>IF(LEFT(D4572,6)="CLIENT",IFERROR(VLOOKUP(C4572,Config_Carteiras!$A:$B,2,FALSE),1),"")</f>
        <v>1</v>
      </c>
      <c r="F4572" s="25">
        <v>26</v>
      </c>
      <c r="G4572" s="28">
        <f>IF(LEFT(D4572,6)="CLIENT",IF(E4572=0,WORKDAY(A4572-1,1,Dias_Sem_Compensacao!$A$2:$A$500),WORKDAY(A4572,E4572,Dias_Sem_Compensacao!$A$2:$A$500)),"")</f>
        <v>46301</v>
      </c>
      <c r="H4572" s="25">
        <v>0</v>
      </c>
      <c r="I4572" s="28">
        <v>46300</v>
      </c>
      <c r="J4572" t="s">
        <v>4264</v>
      </c>
      <c r="K4572" t="s">
        <v>4265</v>
      </c>
    </row>
    <row r="4573" spans="1:11" hidden="1">
      <c r="A4573" s="28">
        <v>46300</v>
      </c>
      <c r="B4573" t="s">
        <v>189</v>
      </c>
      <c r="C4573" t="s">
        <v>4255</v>
      </c>
      <c r="D4573" t="s">
        <v>217</v>
      </c>
      <c r="E4573">
        <f>IF(LEFT(D4573,6)="CLIENT",IFERROR(VLOOKUP(C4573,Config_Carteiras!$A:$B,2,FALSE),1),"")</f>
        <v>1</v>
      </c>
      <c r="F4573" s="25">
        <v>22</v>
      </c>
      <c r="G4573" s="28">
        <f>IF(LEFT(D4573,6)="CLIENT",IF(E4573=0,WORKDAY(A4573-1,1,Dias_Sem_Compensacao!$A$2:$A$500),WORKDAY(A4573,E4573,Dias_Sem_Compensacao!$A$2:$A$500)),"")</f>
        <v>46301</v>
      </c>
      <c r="H4573" s="25">
        <v>0</v>
      </c>
      <c r="I4573" s="28">
        <v>46300</v>
      </c>
      <c r="J4573" t="s">
        <v>4266</v>
      </c>
      <c r="K4573" t="s">
        <v>4267</v>
      </c>
    </row>
    <row r="4574" spans="1:11" hidden="1">
      <c r="A4574" s="28">
        <v>46300</v>
      </c>
      <c r="B4574" t="s">
        <v>189</v>
      </c>
      <c r="C4574" t="s">
        <v>4255</v>
      </c>
      <c r="D4574" t="s">
        <v>217</v>
      </c>
      <c r="E4574">
        <f>IF(LEFT(D4574,6)="CLIENT",IFERROR(VLOOKUP(C4574,Config_Carteiras!$A:$B,2,FALSE),1),"")</f>
        <v>1</v>
      </c>
      <c r="F4574" s="25">
        <v>17.5</v>
      </c>
      <c r="G4574" s="28">
        <f>IF(LEFT(D4574,6)="CLIENT",IF(E4574=0,WORKDAY(A4574-1,1,Dias_Sem_Compensacao!$A$2:$A$500),WORKDAY(A4574,E4574,Dias_Sem_Compensacao!$A$2:$A$500)),"")</f>
        <v>46301</v>
      </c>
      <c r="H4574" s="25">
        <v>0</v>
      </c>
      <c r="I4574" s="28">
        <v>46300</v>
      </c>
      <c r="J4574" t="s">
        <v>4268</v>
      </c>
      <c r="K4574" t="s">
        <v>4269</v>
      </c>
    </row>
    <row r="4575" spans="1:11" hidden="1">
      <c r="A4575" s="28">
        <v>46300</v>
      </c>
      <c r="B4575" t="s">
        <v>189</v>
      </c>
      <c r="C4575" t="s">
        <v>4255</v>
      </c>
      <c r="D4575" t="s">
        <v>217</v>
      </c>
      <c r="E4575">
        <f>IF(LEFT(D4575,6)="CLIENT",IFERROR(VLOOKUP(C4575,Config_Carteiras!$A:$B,2,FALSE),1),"")</f>
        <v>1</v>
      </c>
      <c r="F4575" s="25">
        <v>20.5</v>
      </c>
      <c r="G4575" s="28">
        <f>IF(LEFT(D4575,6)="CLIENT",IF(E4575=0,WORKDAY(A4575-1,1,Dias_Sem_Compensacao!$A$2:$A$500),WORKDAY(A4575,E4575,Dias_Sem_Compensacao!$A$2:$A$500)),"")</f>
        <v>46301</v>
      </c>
      <c r="H4575" s="25">
        <v>0</v>
      </c>
      <c r="I4575" s="28">
        <v>46300</v>
      </c>
      <c r="J4575" t="s">
        <v>4270</v>
      </c>
      <c r="K4575" t="s">
        <v>4271</v>
      </c>
    </row>
    <row r="4576" spans="1:11" hidden="1">
      <c r="A4576" s="28">
        <v>46300</v>
      </c>
      <c r="B4576" t="s">
        <v>189</v>
      </c>
      <c r="C4576" t="s">
        <v>4255</v>
      </c>
      <c r="D4576" t="s">
        <v>217</v>
      </c>
      <c r="E4576">
        <f>IF(LEFT(D4576,6)="CLIENT",IFERROR(VLOOKUP(C4576,Config_Carteiras!$A:$B,2,FALSE),1),"")</f>
        <v>1</v>
      </c>
      <c r="F4576" s="25">
        <v>26</v>
      </c>
      <c r="G4576" s="28">
        <f>IF(LEFT(D4576,6)="CLIENT",IF(E4576=0,WORKDAY(A4576-1,1,Dias_Sem_Compensacao!$A$2:$A$500),WORKDAY(A4576,E4576,Dias_Sem_Compensacao!$A$2:$A$500)),"")</f>
        <v>46301</v>
      </c>
      <c r="H4576" s="25">
        <v>0</v>
      </c>
      <c r="I4576" s="28">
        <v>46300</v>
      </c>
      <c r="K4576" t="s">
        <v>4272</v>
      </c>
    </row>
    <row r="4577" spans="1:11" hidden="1">
      <c r="A4577" s="28">
        <v>46300</v>
      </c>
      <c r="B4577" t="s">
        <v>189</v>
      </c>
      <c r="C4577" t="s">
        <v>4255</v>
      </c>
      <c r="D4577" t="s">
        <v>217</v>
      </c>
      <c r="E4577">
        <f>IF(LEFT(D4577,6)="CLIENT",IFERROR(VLOOKUP(C4577,Config_Carteiras!$A:$B,2,FALSE),1),"")</f>
        <v>1</v>
      </c>
      <c r="F4577" s="25">
        <v>5.5</v>
      </c>
      <c r="G4577" s="28">
        <f>IF(LEFT(D4577,6)="CLIENT",IF(E4577=0,WORKDAY(A4577-1,1,Dias_Sem_Compensacao!$A$2:$A$500),WORKDAY(A4577,E4577,Dias_Sem_Compensacao!$A$2:$A$500)),"")</f>
        <v>46301</v>
      </c>
      <c r="H4577" s="25">
        <v>0</v>
      </c>
      <c r="I4577" s="28">
        <v>46300</v>
      </c>
      <c r="K4577" t="s">
        <v>4273</v>
      </c>
    </row>
    <row r="4578" spans="1:11" hidden="1">
      <c r="A4578" s="28">
        <v>46300</v>
      </c>
      <c r="B4578" t="s">
        <v>189</v>
      </c>
      <c r="C4578" t="s">
        <v>4255</v>
      </c>
      <c r="D4578" t="s">
        <v>217</v>
      </c>
      <c r="E4578">
        <f>IF(LEFT(D4578,6)="CLIENT",IFERROR(VLOOKUP(C4578,Config_Carteiras!$A:$B,2,FALSE),1),"")</f>
        <v>1</v>
      </c>
      <c r="F4578" s="25">
        <v>4.5</v>
      </c>
      <c r="G4578" s="28">
        <f>IF(LEFT(D4578,6)="CLIENT",IF(E4578=0,WORKDAY(A4578-1,1,Dias_Sem_Compensacao!$A$2:$A$500),WORKDAY(A4578,E4578,Dias_Sem_Compensacao!$A$2:$A$500)),"")</f>
        <v>46301</v>
      </c>
      <c r="H4578" s="25">
        <v>0</v>
      </c>
      <c r="I4578" s="28">
        <v>46300</v>
      </c>
      <c r="K4578" t="s">
        <v>4274</v>
      </c>
    </row>
    <row r="4579" spans="1:11" hidden="1">
      <c r="A4579" s="28">
        <v>46300</v>
      </c>
      <c r="B4579" t="s">
        <v>189</v>
      </c>
      <c r="C4579" t="s">
        <v>4255</v>
      </c>
      <c r="D4579" t="s">
        <v>217</v>
      </c>
      <c r="E4579">
        <f>IF(LEFT(D4579,6)="CLIENT",IFERROR(VLOOKUP(C4579,Config_Carteiras!$A:$B,2,FALSE),1),"")</f>
        <v>1</v>
      </c>
      <c r="F4579" s="25">
        <v>2.5</v>
      </c>
      <c r="G4579" s="28">
        <f>IF(LEFT(D4579,6)="CLIENT",IF(E4579=0,WORKDAY(A4579-1,1,Dias_Sem_Compensacao!$A$2:$A$500),WORKDAY(A4579,E4579,Dias_Sem_Compensacao!$A$2:$A$500)),"")</f>
        <v>46301</v>
      </c>
      <c r="H4579" s="25">
        <v>0</v>
      </c>
      <c r="I4579" s="28">
        <v>46300</v>
      </c>
      <c r="J4579" t="s">
        <v>4275</v>
      </c>
      <c r="K4579" t="s">
        <v>4276</v>
      </c>
    </row>
    <row r="4580" spans="1:11" hidden="1">
      <c r="A4580" s="28">
        <v>46300</v>
      </c>
      <c r="B4580" t="s">
        <v>189</v>
      </c>
      <c r="C4580" t="s">
        <v>4255</v>
      </c>
      <c r="D4580" t="s">
        <v>217</v>
      </c>
      <c r="E4580">
        <f>IF(LEFT(D4580,6)="CLIENT",IFERROR(VLOOKUP(C4580,Config_Carteiras!$A:$B,2,FALSE),1),"")</f>
        <v>1</v>
      </c>
      <c r="F4580" s="25">
        <v>9.5</v>
      </c>
      <c r="G4580" s="28">
        <f>IF(LEFT(D4580,6)="CLIENT",IF(E4580=0,WORKDAY(A4580-1,1,Dias_Sem_Compensacao!$A$2:$A$500),WORKDAY(A4580,E4580,Dias_Sem_Compensacao!$A$2:$A$500)),"")</f>
        <v>46301</v>
      </c>
      <c r="H4580" s="25">
        <v>0</v>
      </c>
      <c r="I4580" s="28">
        <v>46300</v>
      </c>
      <c r="K4580" t="s">
        <v>4277</v>
      </c>
    </row>
    <row r="4581" spans="1:11" hidden="1">
      <c r="A4581" s="28">
        <v>46300</v>
      </c>
      <c r="B4581" t="s">
        <v>189</v>
      </c>
      <c r="C4581" t="s">
        <v>4255</v>
      </c>
      <c r="D4581" t="s">
        <v>217</v>
      </c>
      <c r="E4581">
        <f>IF(LEFT(D4581,6)="CLIENT",IFERROR(VLOOKUP(C4581,Config_Carteiras!$A:$B,2,FALSE),1),"")</f>
        <v>1</v>
      </c>
      <c r="F4581" s="25">
        <v>26</v>
      </c>
      <c r="G4581" s="28">
        <f>IF(LEFT(D4581,6)="CLIENT",IF(E4581=0,WORKDAY(A4581-1,1,Dias_Sem_Compensacao!$A$2:$A$500),WORKDAY(A4581,E4581,Dias_Sem_Compensacao!$A$2:$A$500)),"")</f>
        <v>46301</v>
      </c>
      <c r="H4581" s="25">
        <v>0</v>
      </c>
      <c r="I4581" s="28">
        <v>46300</v>
      </c>
      <c r="J4581" t="s">
        <v>4278</v>
      </c>
      <c r="K4581" t="s">
        <v>4279</v>
      </c>
    </row>
    <row r="4582" spans="1:11" hidden="1">
      <c r="A4582" s="28">
        <v>46300</v>
      </c>
      <c r="B4582" t="s">
        <v>189</v>
      </c>
      <c r="C4582" t="s">
        <v>4255</v>
      </c>
      <c r="D4582" t="s">
        <v>217</v>
      </c>
      <c r="E4582">
        <f>IF(LEFT(D4582,6)="CLIENT",IFERROR(VLOOKUP(C4582,Config_Carteiras!$A:$B,2,FALSE),1),"")</f>
        <v>1</v>
      </c>
      <c r="F4582" s="25">
        <v>13.5</v>
      </c>
      <c r="G4582" s="28">
        <f>IF(LEFT(D4582,6)="CLIENT",IF(E4582=0,WORKDAY(A4582-1,1,Dias_Sem_Compensacao!$A$2:$A$500),WORKDAY(A4582,E4582,Dias_Sem_Compensacao!$A$2:$A$500)),"")</f>
        <v>46301</v>
      </c>
      <c r="H4582" s="25">
        <v>0</v>
      </c>
      <c r="I4582" s="28">
        <v>46300</v>
      </c>
      <c r="J4582" t="s">
        <v>4280</v>
      </c>
      <c r="K4582" t="s">
        <v>4281</v>
      </c>
    </row>
    <row r="4583" spans="1:11" hidden="1">
      <c r="A4583" s="28">
        <v>46300</v>
      </c>
      <c r="B4583" t="s">
        <v>189</v>
      </c>
      <c r="C4583" t="s">
        <v>4255</v>
      </c>
      <c r="D4583" t="s">
        <v>217</v>
      </c>
      <c r="E4583">
        <f>IF(LEFT(D4583,6)="CLIENT",IFERROR(VLOOKUP(C4583,Config_Carteiras!$A:$B,2,FALSE),1),"")</f>
        <v>1</v>
      </c>
      <c r="F4583" s="25">
        <v>27.2</v>
      </c>
      <c r="G4583" s="28">
        <f>IF(LEFT(D4583,6)="CLIENT",IF(E4583=0,WORKDAY(A4583-1,1,Dias_Sem_Compensacao!$A$2:$A$500),WORKDAY(A4583,E4583,Dias_Sem_Compensacao!$A$2:$A$500)),"")</f>
        <v>46301</v>
      </c>
      <c r="H4583" s="25">
        <v>0</v>
      </c>
      <c r="I4583" s="28">
        <v>46300</v>
      </c>
      <c r="K4583" t="s">
        <v>4282</v>
      </c>
    </row>
    <row r="4584" spans="1:11" hidden="1">
      <c r="A4584" s="28">
        <v>46300</v>
      </c>
      <c r="B4584" t="s">
        <v>189</v>
      </c>
      <c r="C4584" t="s">
        <v>4255</v>
      </c>
      <c r="D4584" t="s">
        <v>217</v>
      </c>
      <c r="E4584">
        <f>IF(LEFT(D4584,6)="CLIENT",IFERROR(VLOOKUP(C4584,Config_Carteiras!$A:$B,2,FALSE),1),"")</f>
        <v>1</v>
      </c>
      <c r="F4584" s="25">
        <v>9.5</v>
      </c>
      <c r="G4584" s="28">
        <f>IF(LEFT(D4584,6)="CLIENT",IF(E4584=0,WORKDAY(A4584-1,1,Dias_Sem_Compensacao!$A$2:$A$500),WORKDAY(A4584,E4584,Dias_Sem_Compensacao!$A$2:$A$500)),"")</f>
        <v>46301</v>
      </c>
      <c r="H4584" s="25">
        <v>0</v>
      </c>
      <c r="I4584" s="28">
        <v>46300</v>
      </c>
      <c r="K4584" t="s">
        <v>4283</v>
      </c>
    </row>
    <row r="4585" spans="1:11" hidden="1">
      <c r="A4585" s="28">
        <v>46300</v>
      </c>
      <c r="B4585" t="s">
        <v>189</v>
      </c>
      <c r="C4585" t="s">
        <v>4255</v>
      </c>
      <c r="D4585" t="s">
        <v>217</v>
      </c>
      <c r="E4585">
        <f>IF(LEFT(D4585,6)="CLIENT",IFERROR(VLOOKUP(C4585,Config_Carteiras!$A:$B,2,FALSE),1),"")</f>
        <v>1</v>
      </c>
      <c r="F4585" s="25">
        <v>25.3</v>
      </c>
      <c r="G4585" s="28">
        <f>IF(LEFT(D4585,6)="CLIENT",IF(E4585=0,WORKDAY(A4585-1,1,Dias_Sem_Compensacao!$A$2:$A$500),WORKDAY(A4585,E4585,Dias_Sem_Compensacao!$A$2:$A$500)),"")</f>
        <v>46301</v>
      </c>
      <c r="H4585" s="25">
        <v>0</v>
      </c>
      <c r="I4585" s="28">
        <v>46300</v>
      </c>
      <c r="J4585" t="s">
        <v>4284</v>
      </c>
      <c r="K4585" t="s">
        <v>4285</v>
      </c>
    </row>
    <row r="4586" spans="1:11" hidden="1">
      <c r="A4586" s="28">
        <v>46300</v>
      </c>
      <c r="B4586" t="s">
        <v>189</v>
      </c>
      <c r="C4586" t="s">
        <v>4255</v>
      </c>
      <c r="D4586" t="s">
        <v>217</v>
      </c>
      <c r="E4586">
        <f>IF(LEFT(D4586,6)="CLIENT",IFERROR(VLOOKUP(C4586,Config_Carteiras!$A:$B,2,FALSE),1),"")</f>
        <v>1</v>
      </c>
      <c r="F4586" s="25">
        <v>9</v>
      </c>
      <c r="G4586" s="28">
        <f>IF(LEFT(D4586,6)="CLIENT",IF(E4586=0,WORKDAY(A4586-1,1,Dias_Sem_Compensacao!$A$2:$A$500),WORKDAY(A4586,E4586,Dias_Sem_Compensacao!$A$2:$A$500)),"")</f>
        <v>46301</v>
      </c>
      <c r="H4586" s="25">
        <v>0</v>
      </c>
      <c r="I4586" s="28">
        <v>46300</v>
      </c>
      <c r="J4586" t="s">
        <v>4286</v>
      </c>
      <c r="K4586" t="s">
        <v>4287</v>
      </c>
    </row>
    <row r="4587" spans="1:11" hidden="1">
      <c r="A4587" s="28">
        <v>46300</v>
      </c>
      <c r="B4587" t="s">
        <v>189</v>
      </c>
      <c r="C4587" t="s">
        <v>4255</v>
      </c>
      <c r="D4587" t="s">
        <v>217</v>
      </c>
      <c r="E4587">
        <f>IF(LEFT(D4587,6)="CLIENT",IFERROR(VLOOKUP(C4587,Config_Carteiras!$A:$B,2,FALSE),1),"")</f>
        <v>1</v>
      </c>
      <c r="F4587" s="25">
        <v>27</v>
      </c>
      <c r="G4587" s="28">
        <f>IF(LEFT(D4587,6)="CLIENT",IF(E4587=0,WORKDAY(A4587-1,1,Dias_Sem_Compensacao!$A$2:$A$500),WORKDAY(A4587,E4587,Dias_Sem_Compensacao!$A$2:$A$500)),"")</f>
        <v>46301</v>
      </c>
      <c r="H4587" s="25">
        <v>0</v>
      </c>
      <c r="I4587" s="28">
        <v>46300</v>
      </c>
      <c r="J4587" t="s">
        <v>4288</v>
      </c>
      <c r="K4587" t="s">
        <v>4289</v>
      </c>
    </row>
    <row r="4588" spans="1:11" hidden="1">
      <c r="A4588" s="28">
        <v>46300</v>
      </c>
      <c r="B4588" t="s">
        <v>189</v>
      </c>
      <c r="C4588" t="s">
        <v>4255</v>
      </c>
      <c r="D4588" t="s">
        <v>217</v>
      </c>
      <c r="E4588">
        <f>IF(LEFT(D4588,6)="CLIENT",IFERROR(VLOOKUP(C4588,Config_Carteiras!$A:$B,2,FALSE),1),"")</f>
        <v>1</v>
      </c>
      <c r="F4588" s="25">
        <v>1.5</v>
      </c>
      <c r="G4588" s="28">
        <f>IF(LEFT(D4588,6)="CLIENT",IF(E4588=0,WORKDAY(A4588-1,1,Dias_Sem_Compensacao!$A$2:$A$500),WORKDAY(A4588,E4588,Dias_Sem_Compensacao!$A$2:$A$500)),"")</f>
        <v>46301</v>
      </c>
      <c r="H4588" s="25">
        <v>0</v>
      </c>
      <c r="I4588" s="28">
        <v>46300</v>
      </c>
      <c r="J4588" t="s">
        <v>4290</v>
      </c>
      <c r="K4588" t="s">
        <v>4291</v>
      </c>
    </row>
    <row r="4589" spans="1:11" hidden="1">
      <c r="A4589" s="28">
        <v>46300</v>
      </c>
      <c r="B4589" t="s">
        <v>189</v>
      </c>
      <c r="C4589" t="s">
        <v>4255</v>
      </c>
      <c r="D4589" t="s">
        <v>217</v>
      </c>
      <c r="E4589">
        <f>IF(LEFT(D4589,6)="CLIENT",IFERROR(VLOOKUP(C4589,Config_Carteiras!$A:$B,2,FALSE),1),"")</f>
        <v>1</v>
      </c>
      <c r="F4589" s="25">
        <v>9.5</v>
      </c>
      <c r="G4589" s="28">
        <f>IF(LEFT(D4589,6)="CLIENT",IF(E4589=0,WORKDAY(A4589-1,1,Dias_Sem_Compensacao!$A$2:$A$500),WORKDAY(A4589,E4589,Dias_Sem_Compensacao!$A$2:$A$500)),"")</f>
        <v>46301</v>
      </c>
      <c r="H4589" s="25">
        <v>0</v>
      </c>
      <c r="I4589" s="28">
        <v>46300</v>
      </c>
      <c r="J4589" t="s">
        <v>4292</v>
      </c>
      <c r="K4589" t="s">
        <v>4293</v>
      </c>
    </row>
    <row r="4590" spans="1:11" hidden="1">
      <c r="A4590" s="28">
        <v>46300</v>
      </c>
      <c r="B4590" t="s">
        <v>189</v>
      </c>
      <c r="C4590" t="s">
        <v>4255</v>
      </c>
      <c r="D4590" t="s">
        <v>217</v>
      </c>
      <c r="E4590">
        <f>IF(LEFT(D4590,6)="CLIENT",IFERROR(VLOOKUP(C4590,Config_Carteiras!$A:$B,2,FALSE),1),"")</f>
        <v>1</v>
      </c>
      <c r="F4590" s="25">
        <v>17.3</v>
      </c>
      <c r="G4590" s="28">
        <f>IF(LEFT(D4590,6)="CLIENT",IF(E4590=0,WORKDAY(A4590-1,1,Dias_Sem_Compensacao!$A$2:$A$500),WORKDAY(A4590,E4590,Dias_Sem_Compensacao!$A$2:$A$500)),"")</f>
        <v>46301</v>
      </c>
      <c r="H4590" s="25">
        <v>0</v>
      </c>
      <c r="I4590" s="28">
        <v>46300</v>
      </c>
      <c r="K4590" t="s">
        <v>4294</v>
      </c>
    </row>
    <row r="4591" spans="1:11" hidden="1">
      <c r="A4591" s="28">
        <v>46300</v>
      </c>
      <c r="B4591" t="s">
        <v>189</v>
      </c>
      <c r="C4591" t="s">
        <v>4255</v>
      </c>
      <c r="D4591" t="s">
        <v>217</v>
      </c>
      <c r="E4591">
        <f>IF(LEFT(D4591,6)="CLIENT",IFERROR(VLOOKUP(C4591,Config_Carteiras!$A:$B,2,FALSE),1),"")</f>
        <v>1</v>
      </c>
      <c r="F4591" s="25">
        <v>8</v>
      </c>
      <c r="G4591" s="28">
        <f>IF(LEFT(D4591,6)="CLIENT",IF(E4591=0,WORKDAY(A4591-1,1,Dias_Sem_Compensacao!$A$2:$A$500),WORKDAY(A4591,E4591,Dias_Sem_Compensacao!$A$2:$A$500)),"")</f>
        <v>46301</v>
      </c>
      <c r="H4591" s="25">
        <v>0</v>
      </c>
      <c r="I4591" s="28">
        <v>46300</v>
      </c>
      <c r="J4591" t="s">
        <v>4295</v>
      </c>
      <c r="K4591" t="s">
        <v>4296</v>
      </c>
    </row>
    <row r="4592" spans="1:11" hidden="1">
      <c r="A4592" s="28">
        <v>46300</v>
      </c>
      <c r="B4592" t="s">
        <v>189</v>
      </c>
      <c r="C4592" t="s">
        <v>4255</v>
      </c>
      <c r="D4592" t="s">
        <v>217</v>
      </c>
      <c r="E4592">
        <f>IF(LEFT(D4592,6)="CLIENT",IFERROR(VLOOKUP(C4592,Config_Carteiras!$A:$B,2,FALSE),1),"")</f>
        <v>1</v>
      </c>
      <c r="F4592" s="25">
        <v>4.5</v>
      </c>
      <c r="G4592" s="28">
        <f>IF(LEFT(D4592,6)="CLIENT",IF(E4592=0,WORKDAY(A4592-1,1,Dias_Sem_Compensacao!$A$2:$A$500),WORKDAY(A4592,E4592,Dias_Sem_Compensacao!$A$2:$A$500)),"")</f>
        <v>46301</v>
      </c>
      <c r="H4592" s="25">
        <v>0</v>
      </c>
      <c r="I4592" s="28">
        <v>46300</v>
      </c>
      <c r="J4592" t="s">
        <v>4297</v>
      </c>
      <c r="K4592" t="s">
        <v>4298</v>
      </c>
    </row>
    <row r="4593" spans="1:11" hidden="1">
      <c r="A4593" s="28">
        <v>46300</v>
      </c>
      <c r="B4593" t="s">
        <v>189</v>
      </c>
      <c r="C4593" t="s">
        <v>4255</v>
      </c>
      <c r="D4593" t="s">
        <v>217</v>
      </c>
      <c r="E4593">
        <f>IF(LEFT(D4593,6)="CLIENT",IFERROR(VLOOKUP(C4593,Config_Carteiras!$A:$B,2,FALSE),1),"")</f>
        <v>1</v>
      </c>
      <c r="F4593" s="25">
        <v>1.5</v>
      </c>
      <c r="G4593" s="28">
        <f>IF(LEFT(D4593,6)="CLIENT",IF(E4593=0,WORKDAY(A4593-1,1,Dias_Sem_Compensacao!$A$2:$A$500),WORKDAY(A4593,E4593,Dias_Sem_Compensacao!$A$2:$A$500)),"")</f>
        <v>46301</v>
      </c>
      <c r="H4593" s="25">
        <v>0</v>
      </c>
      <c r="I4593" s="28">
        <v>46300</v>
      </c>
      <c r="K4593" t="s">
        <v>4299</v>
      </c>
    </row>
    <row r="4594" spans="1:11" hidden="1">
      <c r="A4594" s="28">
        <v>46300</v>
      </c>
      <c r="B4594" t="s">
        <v>189</v>
      </c>
      <c r="C4594" t="s">
        <v>4255</v>
      </c>
      <c r="D4594" t="s">
        <v>217</v>
      </c>
      <c r="E4594">
        <f>IF(LEFT(D4594,6)="CLIENT",IFERROR(VLOOKUP(C4594,Config_Carteiras!$A:$B,2,FALSE),1),"")</f>
        <v>1</v>
      </c>
      <c r="F4594" s="25">
        <v>7</v>
      </c>
      <c r="G4594" s="28">
        <f>IF(LEFT(D4594,6)="CLIENT",IF(E4594=0,WORKDAY(A4594-1,1,Dias_Sem_Compensacao!$A$2:$A$500),WORKDAY(A4594,E4594,Dias_Sem_Compensacao!$A$2:$A$500)),"")</f>
        <v>46301</v>
      </c>
      <c r="H4594" s="25">
        <v>0</v>
      </c>
      <c r="I4594" s="28">
        <v>46300</v>
      </c>
      <c r="J4594" t="s">
        <v>4300</v>
      </c>
      <c r="K4594" t="s">
        <v>4301</v>
      </c>
    </row>
    <row r="4595" spans="1:11" hidden="1">
      <c r="A4595" s="28">
        <v>46300</v>
      </c>
      <c r="B4595" t="s">
        <v>189</v>
      </c>
      <c r="C4595" t="s">
        <v>4255</v>
      </c>
      <c r="D4595" t="s">
        <v>217</v>
      </c>
      <c r="E4595">
        <f>IF(LEFT(D4595,6)="CLIENT",IFERROR(VLOOKUP(C4595,Config_Carteiras!$A:$B,2,FALSE),1),"")</f>
        <v>1</v>
      </c>
      <c r="F4595" s="25">
        <v>1.1000000000000001</v>
      </c>
      <c r="G4595" s="28">
        <f>IF(LEFT(D4595,6)="CLIENT",IF(E4595=0,WORKDAY(A4595-1,1,Dias_Sem_Compensacao!$A$2:$A$500),WORKDAY(A4595,E4595,Dias_Sem_Compensacao!$A$2:$A$500)),"")</f>
        <v>46301</v>
      </c>
      <c r="H4595" s="25">
        <v>0</v>
      </c>
      <c r="I4595" s="28">
        <v>46300</v>
      </c>
      <c r="K4595" t="s">
        <v>4302</v>
      </c>
    </row>
    <row r="4596" spans="1:11" hidden="1">
      <c r="A4596" s="28">
        <v>46300</v>
      </c>
      <c r="B4596" t="s">
        <v>189</v>
      </c>
      <c r="C4596" t="s">
        <v>4255</v>
      </c>
      <c r="D4596" t="s">
        <v>217</v>
      </c>
      <c r="E4596">
        <f>IF(LEFT(D4596,6)="CLIENT",IFERROR(VLOOKUP(C4596,Config_Carteiras!$A:$B,2,FALSE),1),"")</f>
        <v>1</v>
      </c>
      <c r="F4596" s="25">
        <v>9.1</v>
      </c>
      <c r="G4596" s="28">
        <f>IF(LEFT(D4596,6)="CLIENT",IF(E4596=0,WORKDAY(A4596-1,1,Dias_Sem_Compensacao!$A$2:$A$500),WORKDAY(A4596,E4596,Dias_Sem_Compensacao!$A$2:$A$500)),"")</f>
        <v>46301</v>
      </c>
      <c r="H4596" s="25">
        <v>0</v>
      </c>
      <c r="I4596" s="28">
        <v>46300</v>
      </c>
      <c r="J4596" t="s">
        <v>4303</v>
      </c>
      <c r="K4596" t="s">
        <v>4304</v>
      </c>
    </row>
    <row r="4597" spans="1:11" hidden="1">
      <c r="A4597" s="28">
        <v>46300</v>
      </c>
      <c r="B4597" t="s">
        <v>189</v>
      </c>
      <c r="C4597" t="s">
        <v>4255</v>
      </c>
      <c r="D4597" t="s">
        <v>217</v>
      </c>
      <c r="E4597">
        <f>IF(LEFT(D4597,6)="CLIENT",IFERROR(VLOOKUP(C4597,Config_Carteiras!$A:$B,2,FALSE),1),"")</f>
        <v>1</v>
      </c>
      <c r="F4597" s="25">
        <v>5.5</v>
      </c>
      <c r="G4597" s="28">
        <f>IF(LEFT(D4597,6)="CLIENT",IF(E4597=0,WORKDAY(A4597-1,1,Dias_Sem_Compensacao!$A$2:$A$500),WORKDAY(A4597,E4597,Dias_Sem_Compensacao!$A$2:$A$500)),"")</f>
        <v>46301</v>
      </c>
      <c r="H4597" s="25">
        <v>0</v>
      </c>
      <c r="I4597" s="28">
        <v>46300</v>
      </c>
      <c r="K4597" t="s">
        <v>4305</v>
      </c>
    </row>
    <row r="4598" spans="1:11" hidden="1">
      <c r="A4598" s="28">
        <v>46300</v>
      </c>
      <c r="B4598" t="s">
        <v>189</v>
      </c>
      <c r="C4598" t="s">
        <v>4255</v>
      </c>
      <c r="D4598" t="s">
        <v>217</v>
      </c>
      <c r="E4598">
        <f>IF(LEFT(D4598,6)="CLIENT",IFERROR(VLOOKUP(C4598,Config_Carteiras!$A:$B,2,FALSE),1),"")</f>
        <v>1</v>
      </c>
      <c r="F4598" s="25">
        <v>8</v>
      </c>
      <c r="G4598" s="28">
        <f>IF(LEFT(D4598,6)="CLIENT",IF(E4598=0,WORKDAY(A4598-1,1,Dias_Sem_Compensacao!$A$2:$A$500),WORKDAY(A4598,E4598,Dias_Sem_Compensacao!$A$2:$A$500)),"")</f>
        <v>46301</v>
      </c>
      <c r="H4598" s="25">
        <v>0</v>
      </c>
      <c r="I4598" s="28">
        <v>46300</v>
      </c>
      <c r="K4598" t="s">
        <v>4306</v>
      </c>
    </row>
    <row r="4599" spans="1:11" hidden="1">
      <c r="A4599" s="28">
        <v>46300</v>
      </c>
      <c r="B4599" t="s">
        <v>189</v>
      </c>
      <c r="C4599" t="s">
        <v>4255</v>
      </c>
      <c r="D4599" t="s">
        <v>217</v>
      </c>
      <c r="E4599">
        <f>IF(LEFT(D4599,6)="CLIENT",IFERROR(VLOOKUP(C4599,Config_Carteiras!$A:$B,2,FALSE),1),"")</f>
        <v>1</v>
      </c>
      <c r="F4599" s="25">
        <v>19</v>
      </c>
      <c r="G4599" s="28">
        <f>IF(LEFT(D4599,6)="CLIENT",IF(E4599=0,WORKDAY(A4599-1,1,Dias_Sem_Compensacao!$A$2:$A$500),WORKDAY(A4599,E4599,Dias_Sem_Compensacao!$A$2:$A$500)),"")</f>
        <v>46301</v>
      </c>
      <c r="H4599" s="25">
        <v>0</v>
      </c>
      <c r="I4599" s="28">
        <v>46300</v>
      </c>
      <c r="J4599" t="s">
        <v>4307</v>
      </c>
      <c r="K4599" t="s">
        <v>4308</v>
      </c>
    </row>
    <row r="4600" spans="1:11" hidden="1">
      <c r="A4600" s="28">
        <v>46300</v>
      </c>
      <c r="B4600" t="s">
        <v>189</v>
      </c>
      <c r="C4600" t="s">
        <v>4255</v>
      </c>
      <c r="D4600" t="s">
        <v>217</v>
      </c>
      <c r="E4600">
        <f>IF(LEFT(D4600,6)="CLIENT",IFERROR(VLOOKUP(C4600,Config_Carteiras!$A:$B,2,FALSE),1),"")</f>
        <v>1</v>
      </c>
      <c r="F4600" s="25">
        <v>9.9</v>
      </c>
      <c r="G4600" s="28">
        <f>IF(LEFT(D4600,6)="CLIENT",IF(E4600=0,WORKDAY(A4600-1,1,Dias_Sem_Compensacao!$A$2:$A$500),WORKDAY(A4600,E4600,Dias_Sem_Compensacao!$A$2:$A$500)),"")</f>
        <v>46301</v>
      </c>
      <c r="H4600" s="25">
        <v>0</v>
      </c>
      <c r="I4600" s="28">
        <v>46300</v>
      </c>
      <c r="J4600" t="s">
        <v>4309</v>
      </c>
      <c r="K4600" t="s">
        <v>4310</v>
      </c>
    </row>
    <row r="4601" spans="1:11" hidden="1">
      <c r="A4601" s="28">
        <v>46300</v>
      </c>
      <c r="B4601" t="s">
        <v>189</v>
      </c>
      <c r="C4601" t="s">
        <v>4255</v>
      </c>
      <c r="D4601" t="s">
        <v>217</v>
      </c>
      <c r="E4601">
        <f>IF(LEFT(D4601,6)="CLIENT",IFERROR(VLOOKUP(C4601,Config_Carteiras!$A:$B,2,FALSE),1),"")</f>
        <v>1</v>
      </c>
      <c r="F4601" s="25">
        <v>72.400000000000006</v>
      </c>
      <c r="G4601" s="28">
        <f>IF(LEFT(D4601,6)="CLIENT",IF(E4601=0,WORKDAY(A4601-1,1,Dias_Sem_Compensacao!$A$2:$A$500),WORKDAY(A4601,E4601,Dias_Sem_Compensacao!$A$2:$A$500)),"")</f>
        <v>46301</v>
      </c>
      <c r="H4601" s="25">
        <v>0</v>
      </c>
      <c r="I4601" s="28">
        <v>46300</v>
      </c>
      <c r="J4601" t="s">
        <v>4311</v>
      </c>
      <c r="K4601" t="s">
        <v>4312</v>
      </c>
    </row>
    <row r="4602" spans="1:11" hidden="1">
      <c r="A4602" s="28">
        <v>46300</v>
      </c>
      <c r="B4602" t="s">
        <v>189</v>
      </c>
      <c r="C4602" t="s">
        <v>4255</v>
      </c>
      <c r="D4602" t="s">
        <v>217</v>
      </c>
      <c r="E4602">
        <f>IF(LEFT(D4602,6)="CLIENT",IFERROR(VLOOKUP(C4602,Config_Carteiras!$A:$B,2,FALSE),1),"")</f>
        <v>1</v>
      </c>
      <c r="F4602" s="25">
        <v>10.8</v>
      </c>
      <c r="G4602" s="28">
        <f>IF(LEFT(D4602,6)="CLIENT",IF(E4602=0,WORKDAY(A4602-1,1,Dias_Sem_Compensacao!$A$2:$A$500),WORKDAY(A4602,E4602,Dias_Sem_Compensacao!$A$2:$A$500)),"")</f>
        <v>46301</v>
      </c>
      <c r="H4602" s="25">
        <v>0</v>
      </c>
      <c r="I4602" s="28">
        <v>46300</v>
      </c>
      <c r="J4602" t="s">
        <v>4313</v>
      </c>
      <c r="K4602" t="s">
        <v>4314</v>
      </c>
    </row>
    <row r="4603" spans="1:11" hidden="1">
      <c r="A4603" s="28">
        <v>46300</v>
      </c>
      <c r="B4603" t="s">
        <v>189</v>
      </c>
      <c r="C4603" t="s">
        <v>4255</v>
      </c>
      <c r="D4603" t="s">
        <v>217</v>
      </c>
      <c r="E4603">
        <f>IF(LEFT(D4603,6)="CLIENT",IFERROR(VLOOKUP(C4603,Config_Carteiras!$A:$B,2,FALSE),1),"")</f>
        <v>1</v>
      </c>
      <c r="F4603" s="25">
        <v>9.5</v>
      </c>
      <c r="G4603" s="28">
        <f>IF(LEFT(D4603,6)="CLIENT",IF(E4603=0,WORKDAY(A4603-1,1,Dias_Sem_Compensacao!$A$2:$A$500),WORKDAY(A4603,E4603,Dias_Sem_Compensacao!$A$2:$A$500)),"")</f>
        <v>46301</v>
      </c>
      <c r="H4603" s="25">
        <v>0</v>
      </c>
      <c r="I4603" s="28">
        <v>46300</v>
      </c>
      <c r="K4603" t="s">
        <v>4315</v>
      </c>
    </row>
    <row r="4604" spans="1:11" hidden="1">
      <c r="A4604" s="28">
        <v>46300</v>
      </c>
      <c r="B4604" t="s">
        <v>189</v>
      </c>
      <c r="C4604" t="s">
        <v>4255</v>
      </c>
      <c r="D4604" t="s">
        <v>217</v>
      </c>
      <c r="E4604">
        <f>IF(LEFT(D4604,6)="CLIENT",IFERROR(VLOOKUP(C4604,Config_Carteiras!$A:$B,2,FALSE),1),"")</f>
        <v>1</v>
      </c>
      <c r="F4604" s="25">
        <v>5.5</v>
      </c>
      <c r="G4604" s="28">
        <f>IF(LEFT(D4604,6)="CLIENT",IF(E4604=0,WORKDAY(A4604-1,1,Dias_Sem_Compensacao!$A$2:$A$500),WORKDAY(A4604,E4604,Dias_Sem_Compensacao!$A$2:$A$500)),"")</f>
        <v>46301</v>
      </c>
      <c r="H4604" s="25">
        <v>0</v>
      </c>
      <c r="I4604" s="28">
        <v>46300</v>
      </c>
      <c r="J4604" t="s">
        <v>4316</v>
      </c>
      <c r="K4604" t="s">
        <v>4317</v>
      </c>
    </row>
    <row r="4605" spans="1:11" hidden="1">
      <c r="A4605" s="28">
        <v>46300</v>
      </c>
      <c r="B4605" t="s">
        <v>189</v>
      </c>
      <c r="C4605" t="s">
        <v>4255</v>
      </c>
      <c r="D4605" t="s">
        <v>217</v>
      </c>
      <c r="E4605">
        <f>IF(LEFT(D4605,6)="CLIENT",IFERROR(VLOOKUP(C4605,Config_Carteiras!$A:$B,2,FALSE),1),"")</f>
        <v>1</v>
      </c>
      <c r="F4605" s="25">
        <v>11.9</v>
      </c>
      <c r="G4605" s="28">
        <f>IF(LEFT(D4605,6)="CLIENT",IF(E4605=0,WORKDAY(A4605-1,1,Dias_Sem_Compensacao!$A$2:$A$500),WORKDAY(A4605,E4605,Dias_Sem_Compensacao!$A$2:$A$500)),"")</f>
        <v>46301</v>
      </c>
      <c r="H4605" s="25">
        <v>0</v>
      </c>
      <c r="I4605" s="28">
        <v>46300</v>
      </c>
      <c r="J4605" t="s">
        <v>4318</v>
      </c>
      <c r="K4605" t="s">
        <v>4319</v>
      </c>
    </row>
    <row r="4606" spans="1:11" hidden="1">
      <c r="A4606" s="28">
        <v>46300</v>
      </c>
      <c r="B4606" t="s">
        <v>189</v>
      </c>
      <c r="C4606" t="s">
        <v>4255</v>
      </c>
      <c r="D4606" t="s">
        <v>217</v>
      </c>
      <c r="E4606">
        <f>IF(LEFT(D4606,6)="CLIENT",IFERROR(VLOOKUP(C4606,Config_Carteiras!$A:$B,2,FALSE),1),"")</f>
        <v>1</v>
      </c>
      <c r="F4606" s="25">
        <v>30</v>
      </c>
      <c r="G4606" s="28">
        <f>IF(LEFT(D4606,6)="CLIENT",IF(E4606=0,WORKDAY(A4606-1,1,Dias_Sem_Compensacao!$A$2:$A$500),WORKDAY(A4606,E4606,Dias_Sem_Compensacao!$A$2:$A$500)),"")</f>
        <v>46301</v>
      </c>
      <c r="H4606" s="25">
        <v>0</v>
      </c>
      <c r="I4606" s="28">
        <v>46300</v>
      </c>
      <c r="J4606" t="s">
        <v>4320</v>
      </c>
      <c r="K4606" t="s">
        <v>4321</v>
      </c>
    </row>
    <row r="4607" spans="1:11" hidden="1">
      <c r="A4607" s="28">
        <v>46300</v>
      </c>
      <c r="B4607" t="s">
        <v>189</v>
      </c>
      <c r="C4607" t="s">
        <v>4255</v>
      </c>
      <c r="D4607" t="s">
        <v>217</v>
      </c>
      <c r="E4607">
        <f>IF(LEFT(D4607,6)="CLIENT",IFERROR(VLOOKUP(C4607,Config_Carteiras!$A:$B,2,FALSE),1),"")</f>
        <v>1</v>
      </c>
      <c r="F4607" s="25">
        <v>8</v>
      </c>
      <c r="G4607" s="28">
        <f>IF(LEFT(D4607,6)="CLIENT",IF(E4607=0,WORKDAY(A4607-1,1,Dias_Sem_Compensacao!$A$2:$A$500),WORKDAY(A4607,E4607,Dias_Sem_Compensacao!$A$2:$A$500)),"")</f>
        <v>46301</v>
      </c>
      <c r="H4607" s="25">
        <v>0</v>
      </c>
      <c r="I4607" s="28">
        <v>46300</v>
      </c>
      <c r="J4607" t="s">
        <v>4322</v>
      </c>
      <c r="K4607" t="s">
        <v>4323</v>
      </c>
    </row>
    <row r="4608" spans="1:11" hidden="1">
      <c r="A4608" s="28">
        <v>46300</v>
      </c>
      <c r="B4608" t="s">
        <v>189</v>
      </c>
      <c r="C4608" t="s">
        <v>4255</v>
      </c>
      <c r="D4608" t="s">
        <v>217</v>
      </c>
      <c r="E4608">
        <f>IF(LEFT(D4608,6)="CLIENT",IFERROR(VLOOKUP(C4608,Config_Carteiras!$A:$B,2,FALSE),1),"")</f>
        <v>1</v>
      </c>
      <c r="F4608" s="25">
        <v>28</v>
      </c>
      <c r="G4608" s="28">
        <f>IF(LEFT(D4608,6)="CLIENT",IF(E4608=0,WORKDAY(A4608-1,1,Dias_Sem_Compensacao!$A$2:$A$500),WORKDAY(A4608,E4608,Dias_Sem_Compensacao!$A$2:$A$500)),"")</f>
        <v>46301</v>
      </c>
      <c r="H4608" s="25">
        <v>0</v>
      </c>
      <c r="I4608" s="28">
        <v>46300</v>
      </c>
      <c r="K4608" t="s">
        <v>4324</v>
      </c>
    </row>
    <row r="4609" spans="1:11" hidden="1">
      <c r="A4609" s="28">
        <v>46300</v>
      </c>
      <c r="B4609" t="s">
        <v>189</v>
      </c>
      <c r="C4609" t="s">
        <v>4255</v>
      </c>
      <c r="D4609" t="s">
        <v>217</v>
      </c>
      <c r="E4609">
        <f>IF(LEFT(D4609,6)="CLIENT",IFERROR(VLOOKUP(C4609,Config_Carteiras!$A:$B,2,FALSE),1),"")</f>
        <v>1</v>
      </c>
      <c r="F4609" s="25">
        <v>4.5</v>
      </c>
      <c r="G4609" s="28">
        <f>IF(LEFT(D4609,6)="CLIENT",IF(E4609=0,WORKDAY(A4609-1,1,Dias_Sem_Compensacao!$A$2:$A$500),WORKDAY(A4609,E4609,Dias_Sem_Compensacao!$A$2:$A$500)),"")</f>
        <v>46301</v>
      </c>
      <c r="H4609" s="25">
        <v>0</v>
      </c>
      <c r="I4609" s="28">
        <v>46300</v>
      </c>
      <c r="K4609" t="s">
        <v>4325</v>
      </c>
    </row>
    <row r="4610" spans="1:11" hidden="1">
      <c r="A4610" s="28">
        <v>46300</v>
      </c>
      <c r="B4610" t="s">
        <v>189</v>
      </c>
      <c r="C4610" t="s">
        <v>4255</v>
      </c>
      <c r="D4610" t="s">
        <v>217</v>
      </c>
      <c r="E4610">
        <f>IF(LEFT(D4610,6)="CLIENT",IFERROR(VLOOKUP(C4610,Config_Carteiras!$A:$B,2,FALSE),1),"")</f>
        <v>1</v>
      </c>
      <c r="F4610" s="25">
        <v>11.5</v>
      </c>
      <c r="G4610" s="28">
        <f>IF(LEFT(D4610,6)="CLIENT",IF(E4610=0,WORKDAY(A4610-1,1,Dias_Sem_Compensacao!$A$2:$A$500),WORKDAY(A4610,E4610,Dias_Sem_Compensacao!$A$2:$A$500)),"")</f>
        <v>46301</v>
      </c>
      <c r="H4610" s="25">
        <v>0</v>
      </c>
      <c r="I4610" s="28">
        <v>46300</v>
      </c>
      <c r="K4610" t="s">
        <v>4326</v>
      </c>
    </row>
    <row r="4611" spans="1:11" hidden="1">
      <c r="A4611" s="28">
        <v>46300</v>
      </c>
      <c r="B4611" t="s">
        <v>189</v>
      </c>
      <c r="C4611" t="s">
        <v>4255</v>
      </c>
      <c r="D4611" t="s">
        <v>217</v>
      </c>
      <c r="E4611">
        <f>IF(LEFT(D4611,6)="CLIENT",IFERROR(VLOOKUP(C4611,Config_Carteiras!$A:$B,2,FALSE),1),"")</f>
        <v>1</v>
      </c>
      <c r="F4611" s="25">
        <v>16.399999999999999</v>
      </c>
      <c r="G4611" s="28">
        <f>IF(LEFT(D4611,6)="CLIENT",IF(E4611=0,WORKDAY(A4611-1,1,Dias_Sem_Compensacao!$A$2:$A$500),WORKDAY(A4611,E4611,Dias_Sem_Compensacao!$A$2:$A$500)),"")</f>
        <v>46301</v>
      </c>
      <c r="H4611" s="25">
        <v>0</v>
      </c>
      <c r="I4611" s="28">
        <v>46300</v>
      </c>
      <c r="K4611" t="s">
        <v>4327</v>
      </c>
    </row>
    <row r="4612" spans="1:11" hidden="1">
      <c r="A4612" s="28">
        <v>46300</v>
      </c>
      <c r="B4612" t="s">
        <v>189</v>
      </c>
      <c r="C4612" t="s">
        <v>4255</v>
      </c>
      <c r="D4612" t="s">
        <v>217</v>
      </c>
      <c r="E4612">
        <f>IF(LEFT(D4612,6)="CLIENT",IFERROR(VLOOKUP(C4612,Config_Carteiras!$A:$B,2,FALSE),1),"")</f>
        <v>1</v>
      </c>
      <c r="F4612" s="25">
        <v>9.5</v>
      </c>
      <c r="G4612" s="28">
        <f>IF(LEFT(D4612,6)="CLIENT",IF(E4612=0,WORKDAY(A4612-1,1,Dias_Sem_Compensacao!$A$2:$A$500),WORKDAY(A4612,E4612,Dias_Sem_Compensacao!$A$2:$A$500)),"")</f>
        <v>46301</v>
      </c>
      <c r="H4612" s="25">
        <v>0</v>
      </c>
      <c r="I4612" s="28">
        <v>46300</v>
      </c>
      <c r="K4612" t="s">
        <v>4328</v>
      </c>
    </row>
    <row r="4613" spans="1:11" hidden="1">
      <c r="A4613" s="28">
        <v>46300</v>
      </c>
      <c r="B4613" t="s">
        <v>189</v>
      </c>
      <c r="C4613" t="s">
        <v>4255</v>
      </c>
      <c r="D4613" t="s">
        <v>217</v>
      </c>
      <c r="E4613">
        <f>IF(LEFT(D4613,6)="CLIENT",IFERROR(VLOOKUP(C4613,Config_Carteiras!$A:$B,2,FALSE),1),"")</f>
        <v>1</v>
      </c>
      <c r="F4613" s="25">
        <v>8.5</v>
      </c>
      <c r="G4613" s="28">
        <f>IF(LEFT(D4613,6)="CLIENT",IF(E4613=0,WORKDAY(A4613-1,1,Dias_Sem_Compensacao!$A$2:$A$500),WORKDAY(A4613,E4613,Dias_Sem_Compensacao!$A$2:$A$500)),"")</f>
        <v>46301</v>
      </c>
      <c r="H4613" s="25">
        <v>0</v>
      </c>
      <c r="I4613" s="28">
        <v>46300</v>
      </c>
      <c r="K4613" t="s">
        <v>4329</v>
      </c>
    </row>
    <row r="4614" spans="1:11" hidden="1">
      <c r="A4614" s="28">
        <v>46300</v>
      </c>
      <c r="B4614" t="s">
        <v>189</v>
      </c>
      <c r="C4614" t="s">
        <v>4255</v>
      </c>
      <c r="D4614" t="s">
        <v>217</v>
      </c>
      <c r="E4614">
        <f>IF(LEFT(D4614,6)="CLIENT",IFERROR(VLOOKUP(C4614,Config_Carteiras!$A:$B,2,FALSE),1),"")</f>
        <v>1</v>
      </c>
      <c r="F4614" s="25">
        <v>20.2</v>
      </c>
      <c r="G4614" s="28">
        <f>IF(LEFT(D4614,6)="CLIENT",IF(E4614=0,WORKDAY(A4614-1,1,Dias_Sem_Compensacao!$A$2:$A$500),WORKDAY(A4614,E4614,Dias_Sem_Compensacao!$A$2:$A$500)),"")</f>
        <v>46301</v>
      </c>
      <c r="H4614" s="25">
        <v>0</v>
      </c>
      <c r="I4614" s="28">
        <v>46300</v>
      </c>
      <c r="K4614" t="s">
        <v>4330</v>
      </c>
    </row>
    <row r="4615" spans="1:11" hidden="1">
      <c r="A4615" s="28">
        <v>46300</v>
      </c>
      <c r="B4615" t="s">
        <v>189</v>
      </c>
      <c r="C4615" t="s">
        <v>4255</v>
      </c>
      <c r="D4615" t="s">
        <v>217</v>
      </c>
      <c r="E4615">
        <f>IF(LEFT(D4615,6)="CLIENT",IFERROR(VLOOKUP(C4615,Config_Carteiras!$A:$B,2,FALSE),1),"")</f>
        <v>1</v>
      </c>
      <c r="F4615" s="25">
        <v>12</v>
      </c>
      <c r="G4615" s="28">
        <f>IF(LEFT(D4615,6)="CLIENT",IF(E4615=0,WORKDAY(A4615-1,1,Dias_Sem_Compensacao!$A$2:$A$500),WORKDAY(A4615,E4615,Dias_Sem_Compensacao!$A$2:$A$500)),"")</f>
        <v>46301</v>
      </c>
      <c r="H4615" s="25">
        <v>0</v>
      </c>
      <c r="I4615" s="28">
        <v>46300</v>
      </c>
      <c r="K4615" t="s">
        <v>4331</v>
      </c>
    </row>
    <row r="4616" spans="1:11" hidden="1">
      <c r="A4616" s="28">
        <v>46300</v>
      </c>
      <c r="B4616" t="s">
        <v>189</v>
      </c>
      <c r="C4616" t="s">
        <v>4255</v>
      </c>
      <c r="D4616" t="s">
        <v>217</v>
      </c>
      <c r="E4616">
        <f>IF(LEFT(D4616,6)="CLIENT",IFERROR(VLOOKUP(C4616,Config_Carteiras!$A:$B,2,FALSE),1),"")</f>
        <v>1</v>
      </c>
      <c r="F4616" s="25">
        <v>18</v>
      </c>
      <c r="G4616" s="28">
        <f>IF(LEFT(D4616,6)="CLIENT",IF(E4616=0,WORKDAY(A4616-1,1,Dias_Sem_Compensacao!$A$2:$A$500),WORKDAY(A4616,E4616,Dias_Sem_Compensacao!$A$2:$A$500)),"")</f>
        <v>46301</v>
      </c>
      <c r="H4616" s="25">
        <v>0</v>
      </c>
      <c r="I4616" s="28">
        <v>46300</v>
      </c>
      <c r="J4616" t="s">
        <v>4332</v>
      </c>
      <c r="K4616" t="s">
        <v>4333</v>
      </c>
    </row>
    <row r="4617" spans="1:11" hidden="1">
      <c r="A4617" s="28">
        <v>46300</v>
      </c>
      <c r="B4617" t="s">
        <v>189</v>
      </c>
      <c r="C4617" t="s">
        <v>4255</v>
      </c>
      <c r="D4617" t="s">
        <v>217</v>
      </c>
      <c r="E4617">
        <f>IF(LEFT(D4617,6)="CLIENT",IFERROR(VLOOKUP(C4617,Config_Carteiras!$A:$B,2,FALSE),1),"")</f>
        <v>1</v>
      </c>
      <c r="F4617" s="25">
        <v>3.5</v>
      </c>
      <c r="G4617" s="28">
        <f>IF(LEFT(D4617,6)="CLIENT",IF(E4617=0,WORKDAY(A4617-1,1,Dias_Sem_Compensacao!$A$2:$A$500),WORKDAY(A4617,E4617,Dias_Sem_Compensacao!$A$2:$A$500)),"")</f>
        <v>46301</v>
      </c>
      <c r="H4617" s="25">
        <v>0</v>
      </c>
      <c r="I4617" s="28">
        <v>46300</v>
      </c>
      <c r="K4617" t="s">
        <v>4334</v>
      </c>
    </row>
    <row r="4618" spans="1:11" hidden="1">
      <c r="A4618" s="28">
        <v>46300</v>
      </c>
      <c r="B4618" t="s">
        <v>189</v>
      </c>
      <c r="C4618" t="s">
        <v>4255</v>
      </c>
      <c r="D4618" t="s">
        <v>217</v>
      </c>
      <c r="E4618">
        <f>IF(LEFT(D4618,6)="CLIENT",IFERROR(VLOOKUP(C4618,Config_Carteiras!$A:$B,2,FALSE),1),"")</f>
        <v>1</v>
      </c>
      <c r="F4618" s="25">
        <v>65.5</v>
      </c>
      <c r="G4618" s="28">
        <f>IF(LEFT(D4618,6)="CLIENT",IF(E4618=0,WORKDAY(A4618-1,1,Dias_Sem_Compensacao!$A$2:$A$500),WORKDAY(A4618,E4618,Dias_Sem_Compensacao!$A$2:$A$500)),"")</f>
        <v>46301</v>
      </c>
      <c r="H4618" s="25">
        <v>0</v>
      </c>
      <c r="I4618" s="28">
        <v>46300</v>
      </c>
      <c r="J4618" t="s">
        <v>4335</v>
      </c>
      <c r="K4618" t="s">
        <v>4336</v>
      </c>
    </row>
    <row r="4619" spans="1:11" hidden="1">
      <c r="A4619" s="28">
        <v>46300</v>
      </c>
      <c r="B4619" t="s">
        <v>189</v>
      </c>
      <c r="C4619" t="s">
        <v>4255</v>
      </c>
      <c r="D4619" t="s">
        <v>217</v>
      </c>
      <c r="E4619">
        <f>IF(LEFT(D4619,6)="CLIENT",IFERROR(VLOOKUP(C4619,Config_Carteiras!$A:$B,2,FALSE),1),"")</f>
        <v>1</v>
      </c>
      <c r="F4619" s="25">
        <v>4.5</v>
      </c>
      <c r="G4619" s="28">
        <f>IF(LEFT(D4619,6)="CLIENT",IF(E4619=0,WORKDAY(A4619-1,1,Dias_Sem_Compensacao!$A$2:$A$500),WORKDAY(A4619,E4619,Dias_Sem_Compensacao!$A$2:$A$500)),"")</f>
        <v>46301</v>
      </c>
      <c r="H4619" s="25">
        <v>0</v>
      </c>
      <c r="I4619" s="28">
        <v>46300</v>
      </c>
      <c r="K4619" t="s">
        <v>4337</v>
      </c>
    </row>
    <row r="4620" spans="1:11" hidden="1">
      <c r="A4620" s="28">
        <v>46300</v>
      </c>
      <c r="B4620" t="s">
        <v>189</v>
      </c>
      <c r="C4620" t="s">
        <v>4255</v>
      </c>
      <c r="D4620" t="s">
        <v>217</v>
      </c>
      <c r="E4620">
        <f>IF(LEFT(D4620,6)="CLIENT",IFERROR(VLOOKUP(C4620,Config_Carteiras!$A:$B,2,FALSE),1),"")</f>
        <v>1</v>
      </c>
      <c r="F4620" s="25">
        <v>26.5</v>
      </c>
      <c r="G4620" s="28">
        <f>IF(LEFT(D4620,6)="CLIENT",IF(E4620=0,WORKDAY(A4620-1,1,Dias_Sem_Compensacao!$A$2:$A$500),WORKDAY(A4620,E4620,Dias_Sem_Compensacao!$A$2:$A$500)),"")</f>
        <v>46301</v>
      </c>
      <c r="H4620" s="25">
        <v>0</v>
      </c>
      <c r="I4620" s="28">
        <v>46300</v>
      </c>
      <c r="J4620" t="s">
        <v>38</v>
      </c>
      <c r="K4620" t="s">
        <v>4338</v>
      </c>
    </row>
    <row r="4621" spans="1:11" hidden="1">
      <c r="A4621" s="28">
        <v>46300</v>
      </c>
      <c r="B4621" t="s">
        <v>189</v>
      </c>
      <c r="C4621" t="s">
        <v>4255</v>
      </c>
      <c r="D4621" t="s">
        <v>217</v>
      </c>
      <c r="E4621">
        <f>IF(LEFT(D4621,6)="CLIENT",IFERROR(VLOOKUP(C4621,Config_Carteiras!$A:$B,2,FALSE),1),"")</f>
        <v>1</v>
      </c>
      <c r="F4621" s="25">
        <v>16</v>
      </c>
      <c r="G4621" s="28">
        <f>IF(LEFT(D4621,6)="CLIENT",IF(E4621=0,WORKDAY(A4621-1,1,Dias_Sem_Compensacao!$A$2:$A$500),WORKDAY(A4621,E4621,Dias_Sem_Compensacao!$A$2:$A$500)),"")</f>
        <v>46301</v>
      </c>
      <c r="H4621" s="25">
        <v>0</v>
      </c>
      <c r="I4621" s="28">
        <v>46300</v>
      </c>
      <c r="J4621" t="s">
        <v>4339</v>
      </c>
      <c r="K4621" t="s">
        <v>4340</v>
      </c>
    </row>
    <row r="4622" spans="1:11" hidden="1">
      <c r="A4622" s="28">
        <v>46300</v>
      </c>
      <c r="B4622" t="s">
        <v>189</v>
      </c>
      <c r="C4622" t="s">
        <v>4255</v>
      </c>
      <c r="D4622" t="s">
        <v>217</v>
      </c>
      <c r="E4622">
        <f>IF(LEFT(D4622,6)="CLIENT",IFERROR(VLOOKUP(C4622,Config_Carteiras!$A:$B,2,FALSE),1),"")</f>
        <v>1</v>
      </c>
      <c r="F4622" s="25">
        <v>79.900000000000006</v>
      </c>
      <c r="G4622" s="28">
        <f>IF(LEFT(D4622,6)="CLIENT",IF(E4622=0,WORKDAY(A4622-1,1,Dias_Sem_Compensacao!$A$2:$A$500),WORKDAY(A4622,E4622,Dias_Sem_Compensacao!$A$2:$A$500)),"")</f>
        <v>46301</v>
      </c>
      <c r="H4622" s="25">
        <v>0</v>
      </c>
      <c r="I4622" s="28">
        <v>46300</v>
      </c>
      <c r="K4622" t="s">
        <v>4341</v>
      </c>
    </row>
    <row r="4623" spans="1:11" hidden="1">
      <c r="A4623" s="28">
        <v>46300</v>
      </c>
      <c r="B4623" t="s">
        <v>189</v>
      </c>
      <c r="C4623" t="s">
        <v>4255</v>
      </c>
      <c r="D4623" t="s">
        <v>217</v>
      </c>
      <c r="E4623">
        <f>IF(LEFT(D4623,6)="CLIENT",IFERROR(VLOOKUP(C4623,Config_Carteiras!$A:$B,2,FALSE),1),"")</f>
        <v>1</v>
      </c>
      <c r="F4623" s="25">
        <v>21.6</v>
      </c>
      <c r="G4623" s="28">
        <f>IF(LEFT(D4623,6)="CLIENT",IF(E4623=0,WORKDAY(A4623-1,1,Dias_Sem_Compensacao!$A$2:$A$500),WORKDAY(A4623,E4623,Dias_Sem_Compensacao!$A$2:$A$500)),"")</f>
        <v>46301</v>
      </c>
      <c r="H4623" s="25">
        <v>0</v>
      </c>
      <c r="I4623" s="28">
        <v>46300</v>
      </c>
      <c r="K4623" t="s">
        <v>4342</v>
      </c>
    </row>
    <row r="4624" spans="1:11" hidden="1">
      <c r="A4624" s="28">
        <v>46300</v>
      </c>
      <c r="B4624" t="s">
        <v>189</v>
      </c>
      <c r="C4624" t="s">
        <v>4255</v>
      </c>
      <c r="D4624" t="s">
        <v>217</v>
      </c>
      <c r="E4624">
        <f>IF(LEFT(D4624,6)="CLIENT",IFERROR(VLOOKUP(C4624,Config_Carteiras!$A:$B,2,FALSE),1),"")</f>
        <v>1</v>
      </c>
      <c r="F4624" s="25">
        <v>9</v>
      </c>
      <c r="G4624" s="28">
        <f>IF(LEFT(D4624,6)="CLIENT",IF(E4624=0,WORKDAY(A4624-1,1,Dias_Sem_Compensacao!$A$2:$A$500),WORKDAY(A4624,E4624,Dias_Sem_Compensacao!$A$2:$A$500)),"")</f>
        <v>46301</v>
      </c>
      <c r="H4624" s="25">
        <v>0</v>
      </c>
      <c r="I4624" s="28">
        <v>46300</v>
      </c>
      <c r="J4624" t="s">
        <v>4343</v>
      </c>
      <c r="K4624" t="s">
        <v>4344</v>
      </c>
    </row>
    <row r="4625" spans="1:11" hidden="1">
      <c r="A4625" s="28">
        <v>46300</v>
      </c>
      <c r="B4625" t="s">
        <v>189</v>
      </c>
      <c r="C4625" t="s">
        <v>4255</v>
      </c>
      <c r="D4625" t="s">
        <v>217</v>
      </c>
      <c r="E4625">
        <f>IF(LEFT(D4625,6)="CLIENT",IFERROR(VLOOKUP(C4625,Config_Carteiras!$A:$B,2,FALSE),1),"")</f>
        <v>1</v>
      </c>
      <c r="F4625" s="25">
        <v>8</v>
      </c>
      <c r="G4625" s="28">
        <f>IF(LEFT(D4625,6)="CLIENT",IF(E4625=0,WORKDAY(A4625-1,1,Dias_Sem_Compensacao!$A$2:$A$500),WORKDAY(A4625,E4625,Dias_Sem_Compensacao!$A$2:$A$500)),"")</f>
        <v>46301</v>
      </c>
      <c r="H4625" s="25">
        <v>0</v>
      </c>
      <c r="I4625" s="28">
        <v>46300</v>
      </c>
      <c r="K4625" t="s">
        <v>4345</v>
      </c>
    </row>
    <row r="4626" spans="1:11" hidden="1">
      <c r="A4626" s="28">
        <v>46300</v>
      </c>
      <c r="B4626" t="s">
        <v>189</v>
      </c>
      <c r="C4626" t="s">
        <v>4255</v>
      </c>
      <c r="D4626" t="s">
        <v>217</v>
      </c>
      <c r="E4626">
        <f>IF(LEFT(D4626,6)="CLIENT",IFERROR(VLOOKUP(C4626,Config_Carteiras!$A:$B,2,FALSE),1),"")</f>
        <v>1</v>
      </c>
      <c r="F4626" s="25">
        <v>1</v>
      </c>
      <c r="G4626" s="28">
        <f>IF(LEFT(D4626,6)="CLIENT",IF(E4626=0,WORKDAY(A4626-1,1,Dias_Sem_Compensacao!$A$2:$A$500),WORKDAY(A4626,E4626,Dias_Sem_Compensacao!$A$2:$A$500)),"")</f>
        <v>46301</v>
      </c>
      <c r="H4626" s="25">
        <v>0</v>
      </c>
      <c r="I4626" s="28">
        <v>46300</v>
      </c>
      <c r="J4626" t="s">
        <v>4346</v>
      </c>
      <c r="K4626" t="s">
        <v>4347</v>
      </c>
    </row>
    <row r="4627" spans="1:11" hidden="1">
      <c r="A4627" s="28">
        <v>46300</v>
      </c>
      <c r="B4627" t="s">
        <v>189</v>
      </c>
      <c r="C4627" t="s">
        <v>4255</v>
      </c>
      <c r="D4627" t="s">
        <v>217</v>
      </c>
      <c r="E4627">
        <f>IF(LEFT(D4627,6)="CLIENT",IFERROR(VLOOKUP(C4627,Config_Carteiras!$A:$B,2,FALSE),1),"")</f>
        <v>1</v>
      </c>
      <c r="F4627" s="25">
        <v>11</v>
      </c>
      <c r="G4627" s="28">
        <f>IF(LEFT(D4627,6)="CLIENT",IF(E4627=0,WORKDAY(A4627-1,1,Dias_Sem_Compensacao!$A$2:$A$500),WORKDAY(A4627,E4627,Dias_Sem_Compensacao!$A$2:$A$500)),"")</f>
        <v>46301</v>
      </c>
      <c r="H4627" s="25">
        <v>0</v>
      </c>
      <c r="I4627" s="28">
        <v>46300</v>
      </c>
      <c r="J4627" t="s">
        <v>4348</v>
      </c>
      <c r="K4627" t="s">
        <v>4349</v>
      </c>
    </row>
    <row r="4628" spans="1:11" hidden="1">
      <c r="A4628" s="28">
        <v>46300</v>
      </c>
      <c r="B4628" t="s">
        <v>189</v>
      </c>
      <c r="C4628" t="s">
        <v>4255</v>
      </c>
      <c r="D4628" t="s">
        <v>217</v>
      </c>
      <c r="E4628">
        <f>IF(LEFT(D4628,6)="CLIENT",IFERROR(VLOOKUP(C4628,Config_Carteiras!$A:$B,2,FALSE),1),"")</f>
        <v>1</v>
      </c>
      <c r="F4628" s="25">
        <v>4.5</v>
      </c>
      <c r="G4628" s="28">
        <f>IF(LEFT(D4628,6)="CLIENT",IF(E4628=0,WORKDAY(A4628-1,1,Dias_Sem_Compensacao!$A$2:$A$500),WORKDAY(A4628,E4628,Dias_Sem_Compensacao!$A$2:$A$500)),"")</f>
        <v>46301</v>
      </c>
      <c r="H4628" s="25">
        <v>0</v>
      </c>
      <c r="I4628" s="28">
        <v>46300</v>
      </c>
      <c r="J4628" t="s">
        <v>4350</v>
      </c>
      <c r="K4628" t="s">
        <v>4351</v>
      </c>
    </row>
    <row r="4629" spans="1:11" hidden="1">
      <c r="A4629" s="28">
        <v>46300</v>
      </c>
      <c r="B4629" t="s">
        <v>189</v>
      </c>
      <c r="C4629" t="s">
        <v>4255</v>
      </c>
      <c r="D4629" t="s">
        <v>217</v>
      </c>
      <c r="E4629">
        <f>IF(LEFT(D4629,6)="CLIENT",IFERROR(VLOOKUP(C4629,Config_Carteiras!$A:$B,2,FALSE),1),"")</f>
        <v>1</v>
      </c>
      <c r="F4629" s="25">
        <v>41</v>
      </c>
      <c r="G4629" s="28">
        <f>IF(LEFT(D4629,6)="CLIENT",IF(E4629=0,WORKDAY(A4629-1,1,Dias_Sem_Compensacao!$A$2:$A$500),WORKDAY(A4629,E4629,Dias_Sem_Compensacao!$A$2:$A$500)),"")</f>
        <v>46301</v>
      </c>
      <c r="H4629" s="25">
        <v>0</v>
      </c>
      <c r="I4629" s="28">
        <v>46300</v>
      </c>
      <c r="J4629" t="s">
        <v>4352</v>
      </c>
      <c r="K4629" t="s">
        <v>4353</v>
      </c>
    </row>
    <row r="4630" spans="1:11" hidden="1">
      <c r="A4630" s="28">
        <v>46300</v>
      </c>
      <c r="B4630" t="s">
        <v>189</v>
      </c>
      <c r="C4630" t="s">
        <v>4255</v>
      </c>
      <c r="D4630" t="s">
        <v>217</v>
      </c>
      <c r="E4630">
        <f>IF(LEFT(D4630,6)="CLIENT",IFERROR(VLOOKUP(C4630,Config_Carteiras!$A:$B,2,FALSE),1),"")</f>
        <v>1</v>
      </c>
      <c r="F4630" s="25">
        <v>9.5</v>
      </c>
      <c r="G4630" s="28">
        <f>IF(LEFT(D4630,6)="CLIENT",IF(E4630=0,WORKDAY(A4630-1,1,Dias_Sem_Compensacao!$A$2:$A$500),WORKDAY(A4630,E4630,Dias_Sem_Compensacao!$A$2:$A$500)),"")</f>
        <v>46301</v>
      </c>
      <c r="H4630" s="25">
        <v>0</v>
      </c>
      <c r="I4630" s="28">
        <v>46300</v>
      </c>
      <c r="J4630" t="s">
        <v>4354</v>
      </c>
      <c r="K4630" t="s">
        <v>4355</v>
      </c>
    </row>
    <row r="4631" spans="1:11" hidden="1">
      <c r="A4631" s="28">
        <v>46300</v>
      </c>
      <c r="B4631" t="s">
        <v>189</v>
      </c>
      <c r="C4631" t="s">
        <v>4255</v>
      </c>
      <c r="D4631" t="s">
        <v>217</v>
      </c>
      <c r="E4631">
        <f>IF(LEFT(D4631,6)="CLIENT",IFERROR(VLOOKUP(C4631,Config_Carteiras!$A:$B,2,FALSE),1),"")</f>
        <v>1</v>
      </c>
      <c r="F4631" s="25">
        <v>28</v>
      </c>
      <c r="G4631" s="28">
        <f>IF(LEFT(D4631,6)="CLIENT",IF(E4631=0,WORKDAY(A4631-1,1,Dias_Sem_Compensacao!$A$2:$A$500),WORKDAY(A4631,E4631,Dias_Sem_Compensacao!$A$2:$A$500)),"")</f>
        <v>46301</v>
      </c>
      <c r="H4631" s="25">
        <v>0</v>
      </c>
      <c r="I4631" s="28">
        <v>46300</v>
      </c>
      <c r="J4631" t="s">
        <v>4356</v>
      </c>
      <c r="K4631" t="s">
        <v>4357</v>
      </c>
    </row>
    <row r="4632" spans="1:11" hidden="1">
      <c r="A4632" s="28">
        <v>46300</v>
      </c>
      <c r="B4632" t="s">
        <v>189</v>
      </c>
      <c r="C4632" t="s">
        <v>4255</v>
      </c>
      <c r="D4632" t="s">
        <v>217</v>
      </c>
      <c r="E4632">
        <f>IF(LEFT(D4632,6)="CLIENT",IFERROR(VLOOKUP(C4632,Config_Carteiras!$A:$B,2,FALSE),1),"")</f>
        <v>1</v>
      </c>
      <c r="F4632" s="25">
        <v>24</v>
      </c>
      <c r="G4632" s="28">
        <f>IF(LEFT(D4632,6)="CLIENT",IF(E4632=0,WORKDAY(A4632-1,1,Dias_Sem_Compensacao!$A$2:$A$500),WORKDAY(A4632,E4632,Dias_Sem_Compensacao!$A$2:$A$500)),"")</f>
        <v>46301</v>
      </c>
      <c r="H4632" s="25">
        <v>0</v>
      </c>
      <c r="I4632" s="28">
        <v>46300</v>
      </c>
      <c r="K4632" t="s">
        <v>4358</v>
      </c>
    </row>
    <row r="4633" spans="1:11" hidden="1">
      <c r="A4633" s="28">
        <v>46300</v>
      </c>
      <c r="B4633" t="s">
        <v>189</v>
      </c>
      <c r="C4633" t="s">
        <v>4255</v>
      </c>
      <c r="D4633" t="s">
        <v>217</v>
      </c>
      <c r="E4633">
        <f>IF(LEFT(D4633,6)="CLIENT",IFERROR(VLOOKUP(C4633,Config_Carteiras!$A:$B,2,FALSE),1),"")</f>
        <v>1</v>
      </c>
      <c r="F4633" s="25">
        <v>14.5</v>
      </c>
      <c r="G4633" s="28">
        <f>IF(LEFT(D4633,6)="CLIENT",IF(E4633=0,WORKDAY(A4633-1,1,Dias_Sem_Compensacao!$A$2:$A$500),WORKDAY(A4633,E4633,Dias_Sem_Compensacao!$A$2:$A$500)),"")</f>
        <v>46301</v>
      </c>
      <c r="H4633" s="25">
        <v>0</v>
      </c>
      <c r="I4633" s="28">
        <v>46300</v>
      </c>
      <c r="K4633" t="s">
        <v>4359</v>
      </c>
    </row>
    <row r="4634" spans="1:11" hidden="1">
      <c r="A4634" s="28">
        <v>46300</v>
      </c>
      <c r="B4634" t="s">
        <v>189</v>
      </c>
      <c r="C4634" t="s">
        <v>4255</v>
      </c>
      <c r="D4634" t="s">
        <v>217</v>
      </c>
      <c r="E4634">
        <f>IF(LEFT(D4634,6)="CLIENT",IFERROR(VLOOKUP(C4634,Config_Carteiras!$A:$B,2,FALSE),1),"")</f>
        <v>1</v>
      </c>
      <c r="F4634" s="25">
        <v>9.6999999999999993</v>
      </c>
      <c r="G4634" s="28">
        <f>IF(LEFT(D4634,6)="CLIENT",IF(E4634=0,WORKDAY(A4634-1,1,Dias_Sem_Compensacao!$A$2:$A$500),WORKDAY(A4634,E4634,Dias_Sem_Compensacao!$A$2:$A$500)),"")</f>
        <v>46301</v>
      </c>
      <c r="H4634" s="25">
        <v>0</v>
      </c>
      <c r="I4634" s="28">
        <v>46300</v>
      </c>
      <c r="J4634" t="s">
        <v>4360</v>
      </c>
      <c r="K4634" t="s">
        <v>4361</v>
      </c>
    </row>
    <row r="4635" spans="1:11" hidden="1">
      <c r="A4635" s="28">
        <v>46300</v>
      </c>
      <c r="B4635" t="s">
        <v>189</v>
      </c>
      <c r="C4635" t="s">
        <v>4255</v>
      </c>
      <c r="D4635" t="s">
        <v>217</v>
      </c>
      <c r="E4635">
        <f>IF(LEFT(D4635,6)="CLIENT",IFERROR(VLOOKUP(C4635,Config_Carteiras!$A:$B,2,FALSE),1),"")</f>
        <v>1</v>
      </c>
      <c r="F4635" s="25">
        <v>9.5</v>
      </c>
      <c r="G4635" s="28">
        <f>IF(LEFT(D4635,6)="CLIENT",IF(E4635=0,WORKDAY(A4635-1,1,Dias_Sem_Compensacao!$A$2:$A$500),WORKDAY(A4635,E4635,Dias_Sem_Compensacao!$A$2:$A$500)),"")</f>
        <v>46301</v>
      </c>
      <c r="H4635" s="25">
        <v>0</v>
      </c>
      <c r="I4635" s="28">
        <v>46300</v>
      </c>
      <c r="J4635" t="s">
        <v>4362</v>
      </c>
      <c r="K4635" t="s">
        <v>4363</v>
      </c>
    </row>
    <row r="4636" spans="1:11" hidden="1">
      <c r="A4636" s="28">
        <v>46300</v>
      </c>
      <c r="B4636" t="s">
        <v>189</v>
      </c>
      <c r="C4636" t="s">
        <v>4255</v>
      </c>
      <c r="D4636" t="s">
        <v>217</v>
      </c>
      <c r="E4636">
        <f>IF(LEFT(D4636,6)="CLIENT",IFERROR(VLOOKUP(C4636,Config_Carteiras!$A:$B,2,FALSE),1),"")</f>
        <v>1</v>
      </c>
      <c r="F4636" s="25">
        <v>1.1000000000000001</v>
      </c>
      <c r="G4636" s="28">
        <f>IF(LEFT(D4636,6)="CLIENT",IF(E4636=0,WORKDAY(A4636-1,1,Dias_Sem_Compensacao!$A$2:$A$500),WORKDAY(A4636,E4636,Dias_Sem_Compensacao!$A$2:$A$500)),"")</f>
        <v>46301</v>
      </c>
      <c r="H4636" s="25">
        <v>0</v>
      </c>
      <c r="I4636" s="28">
        <v>46300</v>
      </c>
      <c r="K4636" t="s">
        <v>4364</v>
      </c>
    </row>
    <row r="4637" spans="1:11" hidden="1">
      <c r="A4637" s="28">
        <v>46300</v>
      </c>
      <c r="B4637" t="s">
        <v>189</v>
      </c>
      <c r="C4637" t="s">
        <v>4255</v>
      </c>
      <c r="D4637" t="s">
        <v>217</v>
      </c>
      <c r="E4637">
        <f>IF(LEFT(D4637,6)="CLIENT",IFERROR(VLOOKUP(C4637,Config_Carteiras!$A:$B,2,FALSE),1),"")</f>
        <v>1</v>
      </c>
      <c r="F4637" s="25">
        <v>4.5</v>
      </c>
      <c r="G4637" s="28">
        <f>IF(LEFT(D4637,6)="CLIENT",IF(E4637=0,WORKDAY(A4637-1,1,Dias_Sem_Compensacao!$A$2:$A$500),WORKDAY(A4637,E4637,Dias_Sem_Compensacao!$A$2:$A$500)),"")</f>
        <v>46301</v>
      </c>
      <c r="H4637" s="25">
        <v>0</v>
      </c>
      <c r="I4637" s="28">
        <v>46300</v>
      </c>
      <c r="K4637" t="s">
        <v>4365</v>
      </c>
    </row>
    <row r="4638" spans="1:11" hidden="1">
      <c r="A4638" s="28">
        <v>46300</v>
      </c>
      <c r="B4638" t="s">
        <v>189</v>
      </c>
      <c r="C4638" t="s">
        <v>4255</v>
      </c>
      <c r="D4638" t="s">
        <v>217</v>
      </c>
      <c r="E4638">
        <f>IF(LEFT(D4638,6)="CLIENT",IFERROR(VLOOKUP(C4638,Config_Carteiras!$A:$B,2,FALSE),1),"")</f>
        <v>1</v>
      </c>
      <c r="F4638" s="25">
        <v>3.5</v>
      </c>
      <c r="G4638" s="28">
        <f>IF(LEFT(D4638,6)="CLIENT",IF(E4638=0,WORKDAY(A4638-1,1,Dias_Sem_Compensacao!$A$2:$A$500),WORKDAY(A4638,E4638,Dias_Sem_Compensacao!$A$2:$A$500)),"")</f>
        <v>46301</v>
      </c>
      <c r="H4638" s="25">
        <v>0</v>
      </c>
      <c r="I4638" s="28">
        <v>46300</v>
      </c>
      <c r="K4638" t="s">
        <v>4366</v>
      </c>
    </row>
    <row r="4639" spans="1:11" hidden="1">
      <c r="A4639" s="28">
        <v>46300</v>
      </c>
      <c r="B4639" t="s">
        <v>189</v>
      </c>
      <c r="C4639" t="s">
        <v>4255</v>
      </c>
      <c r="D4639" t="s">
        <v>217</v>
      </c>
      <c r="E4639">
        <f>IF(LEFT(D4639,6)="CLIENT",IFERROR(VLOOKUP(C4639,Config_Carteiras!$A:$B,2,FALSE),1),"")</f>
        <v>1</v>
      </c>
      <c r="F4639" s="25">
        <v>4.7</v>
      </c>
      <c r="G4639" s="28">
        <f>IF(LEFT(D4639,6)="CLIENT",IF(E4639=0,WORKDAY(A4639-1,1,Dias_Sem_Compensacao!$A$2:$A$500),WORKDAY(A4639,E4639,Dias_Sem_Compensacao!$A$2:$A$500)),"")</f>
        <v>46301</v>
      </c>
      <c r="H4639" s="25">
        <v>0</v>
      </c>
      <c r="I4639" s="28">
        <v>46300</v>
      </c>
      <c r="K4639" t="s">
        <v>4367</v>
      </c>
    </row>
    <row r="4640" spans="1:11" hidden="1">
      <c r="A4640" s="28">
        <v>46300</v>
      </c>
      <c r="B4640" t="s">
        <v>189</v>
      </c>
      <c r="C4640" t="s">
        <v>4255</v>
      </c>
      <c r="D4640" t="s">
        <v>217</v>
      </c>
      <c r="E4640">
        <f>IF(LEFT(D4640,6)="CLIENT",IFERROR(VLOOKUP(C4640,Config_Carteiras!$A:$B,2,FALSE),1),"")</f>
        <v>1</v>
      </c>
      <c r="F4640" s="25">
        <v>9.8000000000000007</v>
      </c>
      <c r="G4640" s="28">
        <f>IF(LEFT(D4640,6)="CLIENT",IF(E4640=0,WORKDAY(A4640-1,1,Dias_Sem_Compensacao!$A$2:$A$500),WORKDAY(A4640,E4640,Dias_Sem_Compensacao!$A$2:$A$500)),"")</f>
        <v>46301</v>
      </c>
      <c r="H4640" s="25">
        <v>0</v>
      </c>
      <c r="I4640" s="28">
        <v>46300</v>
      </c>
      <c r="J4640" t="s">
        <v>4368</v>
      </c>
      <c r="K4640" t="s">
        <v>4369</v>
      </c>
    </row>
    <row r="4641" spans="1:11" hidden="1">
      <c r="A4641" s="28">
        <v>46300</v>
      </c>
      <c r="B4641" t="s">
        <v>189</v>
      </c>
      <c r="C4641" t="s">
        <v>4255</v>
      </c>
      <c r="D4641" t="s">
        <v>217</v>
      </c>
      <c r="E4641">
        <f>IF(LEFT(D4641,6)="CLIENT",IFERROR(VLOOKUP(C4641,Config_Carteiras!$A:$B,2,FALSE),1),"")</f>
        <v>1</v>
      </c>
      <c r="F4641" s="25">
        <v>5.5</v>
      </c>
      <c r="G4641" s="28">
        <f>IF(LEFT(D4641,6)="CLIENT",IF(E4641=0,WORKDAY(A4641-1,1,Dias_Sem_Compensacao!$A$2:$A$500),WORKDAY(A4641,E4641,Dias_Sem_Compensacao!$A$2:$A$500)),"")</f>
        <v>46301</v>
      </c>
      <c r="H4641" s="25">
        <v>0</v>
      </c>
      <c r="I4641" s="28">
        <v>46300</v>
      </c>
      <c r="J4641" t="s">
        <v>4370</v>
      </c>
      <c r="K4641" t="s">
        <v>4371</v>
      </c>
    </row>
    <row r="4642" spans="1:11" hidden="1">
      <c r="A4642" s="28">
        <v>46300</v>
      </c>
      <c r="B4642" t="s">
        <v>189</v>
      </c>
      <c r="C4642" t="s">
        <v>4255</v>
      </c>
      <c r="D4642" t="s">
        <v>217</v>
      </c>
      <c r="E4642">
        <f>IF(LEFT(D4642,6)="CLIENT",IFERROR(VLOOKUP(C4642,Config_Carteiras!$A:$B,2,FALSE),1),"")</f>
        <v>1</v>
      </c>
      <c r="F4642" s="25">
        <v>60.4</v>
      </c>
      <c r="G4642" s="28">
        <f>IF(LEFT(D4642,6)="CLIENT",IF(E4642=0,WORKDAY(A4642-1,1,Dias_Sem_Compensacao!$A$2:$A$500),WORKDAY(A4642,E4642,Dias_Sem_Compensacao!$A$2:$A$500)),"")</f>
        <v>46301</v>
      </c>
      <c r="H4642" s="25">
        <v>0</v>
      </c>
      <c r="I4642" s="28">
        <v>46300</v>
      </c>
      <c r="J4642" t="s">
        <v>4372</v>
      </c>
      <c r="K4642" t="s">
        <v>4373</v>
      </c>
    </row>
    <row r="4643" spans="1:11" hidden="1">
      <c r="A4643" s="28">
        <v>46300</v>
      </c>
      <c r="B4643" t="s">
        <v>189</v>
      </c>
      <c r="C4643" t="s">
        <v>4255</v>
      </c>
      <c r="D4643" t="s">
        <v>217</v>
      </c>
      <c r="E4643">
        <f>IF(LEFT(D4643,6)="CLIENT",IFERROR(VLOOKUP(C4643,Config_Carteiras!$A:$B,2,FALSE),1),"")</f>
        <v>1</v>
      </c>
      <c r="F4643" s="25">
        <v>4.5</v>
      </c>
      <c r="G4643" s="28">
        <f>IF(LEFT(D4643,6)="CLIENT",IF(E4643=0,WORKDAY(A4643-1,1,Dias_Sem_Compensacao!$A$2:$A$500),WORKDAY(A4643,E4643,Dias_Sem_Compensacao!$A$2:$A$500)),"")</f>
        <v>46301</v>
      </c>
      <c r="H4643" s="25">
        <v>0</v>
      </c>
      <c r="I4643" s="28">
        <v>46300</v>
      </c>
      <c r="K4643" t="s">
        <v>4374</v>
      </c>
    </row>
    <row r="4644" spans="1:11" hidden="1">
      <c r="A4644" s="28">
        <v>46300</v>
      </c>
      <c r="B4644" t="s">
        <v>189</v>
      </c>
      <c r="C4644" t="s">
        <v>4255</v>
      </c>
      <c r="D4644" t="s">
        <v>217</v>
      </c>
      <c r="E4644">
        <f>IF(LEFT(D4644,6)="CLIENT",IFERROR(VLOOKUP(C4644,Config_Carteiras!$A:$B,2,FALSE),1),"")</f>
        <v>1</v>
      </c>
      <c r="F4644" s="25">
        <v>8</v>
      </c>
      <c r="G4644" s="28">
        <f>IF(LEFT(D4644,6)="CLIENT",IF(E4644=0,WORKDAY(A4644-1,1,Dias_Sem_Compensacao!$A$2:$A$500),WORKDAY(A4644,E4644,Dias_Sem_Compensacao!$A$2:$A$500)),"")</f>
        <v>46301</v>
      </c>
      <c r="H4644" s="25">
        <v>0</v>
      </c>
      <c r="I4644" s="28">
        <v>46300</v>
      </c>
      <c r="J4644" t="s">
        <v>4375</v>
      </c>
      <c r="K4644" t="s">
        <v>4376</v>
      </c>
    </row>
    <row r="4645" spans="1:11" hidden="1">
      <c r="A4645" s="28">
        <v>46300</v>
      </c>
      <c r="B4645" t="s">
        <v>189</v>
      </c>
      <c r="C4645" t="s">
        <v>4255</v>
      </c>
      <c r="D4645" t="s">
        <v>217</v>
      </c>
      <c r="E4645">
        <f>IF(LEFT(D4645,6)="CLIENT",IFERROR(VLOOKUP(C4645,Config_Carteiras!$A:$B,2,FALSE),1),"")</f>
        <v>1</v>
      </c>
      <c r="F4645" s="25">
        <v>8</v>
      </c>
      <c r="G4645" s="28">
        <f>IF(LEFT(D4645,6)="CLIENT",IF(E4645=0,WORKDAY(A4645-1,1,Dias_Sem_Compensacao!$A$2:$A$500),WORKDAY(A4645,E4645,Dias_Sem_Compensacao!$A$2:$A$500)),"")</f>
        <v>46301</v>
      </c>
      <c r="H4645" s="25">
        <v>0</v>
      </c>
      <c r="I4645" s="28">
        <v>46300</v>
      </c>
      <c r="K4645" t="s">
        <v>4377</v>
      </c>
    </row>
    <row r="4646" spans="1:11" hidden="1">
      <c r="A4646" s="28">
        <v>46300</v>
      </c>
      <c r="B4646" t="s">
        <v>189</v>
      </c>
      <c r="C4646" t="s">
        <v>4255</v>
      </c>
      <c r="D4646" t="s">
        <v>217</v>
      </c>
      <c r="E4646">
        <f>IF(LEFT(D4646,6)="CLIENT",IFERROR(VLOOKUP(C4646,Config_Carteiras!$A:$B,2,FALSE),1),"")</f>
        <v>1</v>
      </c>
      <c r="F4646" s="25">
        <v>12.5</v>
      </c>
      <c r="G4646" s="28">
        <f>IF(LEFT(D4646,6)="CLIENT",IF(E4646=0,WORKDAY(A4646-1,1,Dias_Sem_Compensacao!$A$2:$A$500),WORKDAY(A4646,E4646,Dias_Sem_Compensacao!$A$2:$A$500)),"")</f>
        <v>46301</v>
      </c>
      <c r="H4646" s="25">
        <v>0</v>
      </c>
      <c r="I4646" s="28">
        <v>46300</v>
      </c>
      <c r="K4646" t="s">
        <v>4378</v>
      </c>
    </row>
    <row r="4647" spans="1:11" hidden="1">
      <c r="A4647" s="28">
        <v>46300</v>
      </c>
      <c r="B4647" t="s">
        <v>189</v>
      </c>
      <c r="C4647" t="s">
        <v>4255</v>
      </c>
      <c r="D4647" t="s">
        <v>217</v>
      </c>
      <c r="E4647">
        <f>IF(LEFT(D4647,6)="CLIENT",IFERROR(VLOOKUP(C4647,Config_Carteiras!$A:$B,2,FALSE),1),"")</f>
        <v>1</v>
      </c>
      <c r="F4647" s="25">
        <v>8</v>
      </c>
      <c r="G4647" s="28">
        <f>IF(LEFT(D4647,6)="CLIENT",IF(E4647=0,WORKDAY(A4647-1,1,Dias_Sem_Compensacao!$A$2:$A$500),WORKDAY(A4647,E4647,Dias_Sem_Compensacao!$A$2:$A$500)),"")</f>
        <v>46301</v>
      </c>
      <c r="H4647" s="25">
        <v>0</v>
      </c>
      <c r="I4647" s="28">
        <v>46300</v>
      </c>
      <c r="K4647" t="s">
        <v>4379</v>
      </c>
    </row>
    <row r="4648" spans="1:11" hidden="1">
      <c r="A4648" s="28">
        <v>46300</v>
      </c>
      <c r="B4648" t="s">
        <v>189</v>
      </c>
      <c r="C4648" t="s">
        <v>4255</v>
      </c>
      <c r="D4648" t="s">
        <v>217</v>
      </c>
      <c r="E4648">
        <f>IF(LEFT(D4648,6)="CLIENT",IFERROR(VLOOKUP(C4648,Config_Carteiras!$A:$B,2,FALSE),1),"")</f>
        <v>1</v>
      </c>
      <c r="F4648" s="25">
        <v>26</v>
      </c>
      <c r="G4648" s="28">
        <f>IF(LEFT(D4648,6)="CLIENT",IF(E4648=0,WORKDAY(A4648-1,1,Dias_Sem_Compensacao!$A$2:$A$500),WORKDAY(A4648,E4648,Dias_Sem_Compensacao!$A$2:$A$500)),"")</f>
        <v>46301</v>
      </c>
      <c r="H4648" s="25">
        <v>0</v>
      </c>
      <c r="I4648" s="28">
        <v>46300</v>
      </c>
      <c r="J4648" t="s">
        <v>4380</v>
      </c>
      <c r="K4648" t="s">
        <v>4381</v>
      </c>
    </row>
    <row r="4649" spans="1:11" hidden="1">
      <c r="A4649" s="28">
        <v>46300</v>
      </c>
      <c r="B4649" t="s">
        <v>189</v>
      </c>
      <c r="C4649" t="s">
        <v>4255</v>
      </c>
      <c r="D4649" t="s">
        <v>217</v>
      </c>
      <c r="E4649">
        <f>IF(LEFT(D4649,6)="CLIENT",IFERROR(VLOOKUP(C4649,Config_Carteiras!$A:$B,2,FALSE),1),"")</f>
        <v>1</v>
      </c>
      <c r="F4649" s="25">
        <v>42.8</v>
      </c>
      <c r="G4649" s="28">
        <f>IF(LEFT(D4649,6)="CLIENT",IF(E4649=0,WORKDAY(A4649-1,1,Dias_Sem_Compensacao!$A$2:$A$500),WORKDAY(A4649,E4649,Dias_Sem_Compensacao!$A$2:$A$500)),"")</f>
        <v>46301</v>
      </c>
      <c r="H4649" s="25">
        <v>0</v>
      </c>
      <c r="I4649" s="28">
        <v>46300</v>
      </c>
      <c r="K4649" t="s">
        <v>4382</v>
      </c>
    </row>
    <row r="4650" spans="1:11" hidden="1">
      <c r="A4650" s="28">
        <v>46300</v>
      </c>
      <c r="B4650" t="s">
        <v>189</v>
      </c>
      <c r="C4650" t="s">
        <v>4255</v>
      </c>
      <c r="D4650" t="s">
        <v>217</v>
      </c>
      <c r="E4650">
        <f>IF(LEFT(D4650,6)="CLIENT",IFERROR(VLOOKUP(C4650,Config_Carteiras!$A:$B,2,FALSE),1),"")</f>
        <v>1</v>
      </c>
      <c r="F4650" s="25">
        <v>8</v>
      </c>
      <c r="G4650" s="28">
        <f>IF(LEFT(D4650,6)="CLIENT",IF(E4650=0,WORKDAY(A4650-1,1,Dias_Sem_Compensacao!$A$2:$A$500),WORKDAY(A4650,E4650,Dias_Sem_Compensacao!$A$2:$A$500)),"")</f>
        <v>46301</v>
      </c>
      <c r="H4650" s="25">
        <v>0</v>
      </c>
      <c r="I4650" s="28">
        <v>46300</v>
      </c>
      <c r="J4650" t="s">
        <v>4383</v>
      </c>
      <c r="K4650" t="s">
        <v>4384</v>
      </c>
    </row>
    <row r="4651" spans="1:11" hidden="1">
      <c r="A4651" s="28">
        <v>46300</v>
      </c>
      <c r="B4651" t="s">
        <v>189</v>
      </c>
      <c r="C4651" t="s">
        <v>4255</v>
      </c>
      <c r="D4651" t="s">
        <v>217</v>
      </c>
      <c r="E4651">
        <f>IF(LEFT(D4651,6)="CLIENT",IFERROR(VLOOKUP(C4651,Config_Carteiras!$A:$B,2,FALSE),1),"")</f>
        <v>1</v>
      </c>
      <c r="F4651" s="25">
        <v>8</v>
      </c>
      <c r="G4651" s="28">
        <f>IF(LEFT(D4651,6)="CLIENT",IF(E4651=0,WORKDAY(A4651-1,1,Dias_Sem_Compensacao!$A$2:$A$500),WORKDAY(A4651,E4651,Dias_Sem_Compensacao!$A$2:$A$500)),"")</f>
        <v>46301</v>
      </c>
      <c r="H4651" s="25">
        <v>0</v>
      </c>
      <c r="I4651" s="28">
        <v>46300</v>
      </c>
      <c r="K4651" t="s">
        <v>4385</v>
      </c>
    </row>
    <row r="4652" spans="1:11" hidden="1">
      <c r="A4652" s="28">
        <v>46300</v>
      </c>
      <c r="B4652" t="s">
        <v>189</v>
      </c>
      <c r="C4652" t="s">
        <v>4255</v>
      </c>
      <c r="D4652" t="s">
        <v>217</v>
      </c>
      <c r="E4652">
        <f>IF(LEFT(D4652,6)="CLIENT",IFERROR(VLOOKUP(C4652,Config_Carteiras!$A:$B,2,FALSE),1),"")</f>
        <v>1</v>
      </c>
      <c r="F4652" s="25">
        <v>8</v>
      </c>
      <c r="G4652" s="28">
        <f>IF(LEFT(D4652,6)="CLIENT",IF(E4652=0,WORKDAY(A4652-1,1,Dias_Sem_Compensacao!$A$2:$A$500),WORKDAY(A4652,E4652,Dias_Sem_Compensacao!$A$2:$A$500)),"")</f>
        <v>46301</v>
      </c>
      <c r="H4652" s="25">
        <v>0</v>
      </c>
      <c r="I4652" s="28">
        <v>46300</v>
      </c>
      <c r="K4652" t="s">
        <v>4386</v>
      </c>
    </row>
    <row r="4653" spans="1:11" hidden="1">
      <c r="A4653" s="28">
        <v>46300</v>
      </c>
      <c r="B4653" t="s">
        <v>189</v>
      </c>
      <c r="C4653" t="s">
        <v>4255</v>
      </c>
      <c r="D4653" t="s">
        <v>217</v>
      </c>
      <c r="E4653">
        <f>IF(LEFT(D4653,6)="CLIENT",IFERROR(VLOOKUP(C4653,Config_Carteiras!$A:$B,2,FALSE),1),"")</f>
        <v>1</v>
      </c>
      <c r="F4653" s="25">
        <v>16</v>
      </c>
      <c r="G4653" s="28">
        <f>IF(LEFT(D4653,6)="CLIENT",IF(E4653=0,WORKDAY(A4653-1,1,Dias_Sem_Compensacao!$A$2:$A$500),WORKDAY(A4653,E4653,Dias_Sem_Compensacao!$A$2:$A$500)),"")</f>
        <v>46301</v>
      </c>
      <c r="H4653" s="25">
        <v>0</v>
      </c>
      <c r="I4653" s="28">
        <v>46300</v>
      </c>
      <c r="J4653" t="s">
        <v>4387</v>
      </c>
      <c r="K4653" t="s">
        <v>4388</v>
      </c>
    </row>
    <row r="4654" spans="1:11" hidden="1">
      <c r="A4654" s="28">
        <v>46300</v>
      </c>
      <c r="B4654" t="s">
        <v>189</v>
      </c>
      <c r="C4654" t="s">
        <v>4255</v>
      </c>
      <c r="D4654" t="s">
        <v>217</v>
      </c>
      <c r="E4654">
        <f>IF(LEFT(D4654,6)="CLIENT",IFERROR(VLOOKUP(C4654,Config_Carteiras!$A:$B,2,FALSE),1),"")</f>
        <v>1</v>
      </c>
      <c r="F4654" s="25">
        <v>24.5</v>
      </c>
      <c r="G4654" s="28">
        <f>IF(LEFT(D4654,6)="CLIENT",IF(E4654=0,WORKDAY(A4654-1,1,Dias_Sem_Compensacao!$A$2:$A$500),WORKDAY(A4654,E4654,Dias_Sem_Compensacao!$A$2:$A$500)),"")</f>
        <v>46301</v>
      </c>
      <c r="H4654" s="25">
        <v>0</v>
      </c>
      <c r="I4654" s="28">
        <v>46300</v>
      </c>
      <c r="K4654" t="s">
        <v>4389</v>
      </c>
    </row>
    <row r="4655" spans="1:11" hidden="1">
      <c r="A4655" s="28">
        <v>46300</v>
      </c>
      <c r="B4655" t="s">
        <v>189</v>
      </c>
      <c r="C4655" t="s">
        <v>4255</v>
      </c>
      <c r="D4655" t="s">
        <v>217</v>
      </c>
      <c r="E4655">
        <f>IF(LEFT(D4655,6)="CLIENT",IFERROR(VLOOKUP(C4655,Config_Carteiras!$A:$B,2,FALSE),1),"")</f>
        <v>1</v>
      </c>
      <c r="F4655" s="25">
        <v>3</v>
      </c>
      <c r="G4655" s="28">
        <f>IF(LEFT(D4655,6)="CLIENT",IF(E4655=0,WORKDAY(A4655-1,1,Dias_Sem_Compensacao!$A$2:$A$500),WORKDAY(A4655,E4655,Dias_Sem_Compensacao!$A$2:$A$500)),"")</f>
        <v>46301</v>
      </c>
      <c r="H4655" s="25">
        <v>0</v>
      </c>
      <c r="I4655" s="28">
        <v>46300</v>
      </c>
      <c r="K4655" t="s">
        <v>4390</v>
      </c>
    </row>
    <row r="4656" spans="1:11" hidden="1">
      <c r="A4656" s="28">
        <v>46300</v>
      </c>
      <c r="B4656" t="s">
        <v>189</v>
      </c>
      <c r="C4656" t="s">
        <v>4255</v>
      </c>
      <c r="D4656" t="s">
        <v>217</v>
      </c>
      <c r="E4656">
        <f>IF(LEFT(D4656,6)="CLIENT",IFERROR(VLOOKUP(C4656,Config_Carteiras!$A:$B,2,FALSE),1),"")</f>
        <v>1</v>
      </c>
      <c r="F4656" s="25">
        <v>41.7</v>
      </c>
      <c r="G4656" s="28">
        <f>IF(LEFT(D4656,6)="CLIENT",IF(E4656=0,WORKDAY(A4656-1,1,Dias_Sem_Compensacao!$A$2:$A$500),WORKDAY(A4656,E4656,Dias_Sem_Compensacao!$A$2:$A$500)),"")</f>
        <v>46301</v>
      </c>
      <c r="H4656" s="25">
        <v>0</v>
      </c>
      <c r="I4656" s="28">
        <v>46300</v>
      </c>
      <c r="K4656" t="s">
        <v>4391</v>
      </c>
    </row>
    <row r="4657" spans="1:11" hidden="1">
      <c r="A4657" s="28">
        <v>46300</v>
      </c>
      <c r="B4657" t="s">
        <v>189</v>
      </c>
      <c r="C4657" t="s">
        <v>4255</v>
      </c>
      <c r="D4657" t="s">
        <v>217</v>
      </c>
      <c r="E4657">
        <f>IF(LEFT(D4657,6)="CLIENT",IFERROR(VLOOKUP(C4657,Config_Carteiras!$A:$B,2,FALSE),1),"")</f>
        <v>1</v>
      </c>
      <c r="F4657" s="25">
        <v>20.5</v>
      </c>
      <c r="G4657" s="28">
        <f>IF(LEFT(D4657,6)="CLIENT",IF(E4657=0,WORKDAY(A4657-1,1,Dias_Sem_Compensacao!$A$2:$A$500),WORKDAY(A4657,E4657,Dias_Sem_Compensacao!$A$2:$A$500)),"")</f>
        <v>46301</v>
      </c>
      <c r="H4657" s="25">
        <v>0</v>
      </c>
      <c r="I4657" s="28">
        <v>46300</v>
      </c>
      <c r="J4657" t="s">
        <v>4392</v>
      </c>
      <c r="K4657" t="s">
        <v>4393</v>
      </c>
    </row>
    <row r="4658" spans="1:11" hidden="1">
      <c r="A4658" s="28">
        <v>46300</v>
      </c>
      <c r="B4658" t="s">
        <v>189</v>
      </c>
      <c r="C4658" t="s">
        <v>4255</v>
      </c>
      <c r="D4658" t="s">
        <v>217</v>
      </c>
      <c r="E4658">
        <f>IF(LEFT(D4658,6)="CLIENT",IFERROR(VLOOKUP(C4658,Config_Carteiras!$A:$B,2,FALSE),1),"")</f>
        <v>1</v>
      </c>
      <c r="F4658" s="25">
        <v>11.4</v>
      </c>
      <c r="G4658" s="28">
        <f>IF(LEFT(D4658,6)="CLIENT",IF(E4658=0,WORKDAY(A4658-1,1,Dias_Sem_Compensacao!$A$2:$A$500),WORKDAY(A4658,E4658,Dias_Sem_Compensacao!$A$2:$A$500)),"")</f>
        <v>46301</v>
      </c>
      <c r="H4658" s="25">
        <v>0</v>
      </c>
      <c r="I4658" s="28">
        <v>46300</v>
      </c>
      <c r="J4658" t="s">
        <v>4394</v>
      </c>
      <c r="K4658" t="s">
        <v>4395</v>
      </c>
    </row>
    <row r="4659" spans="1:11" hidden="1">
      <c r="A4659" s="28">
        <v>46300</v>
      </c>
      <c r="B4659" t="s">
        <v>189</v>
      </c>
      <c r="C4659" t="s">
        <v>4255</v>
      </c>
      <c r="D4659" t="s">
        <v>217</v>
      </c>
      <c r="E4659">
        <f>IF(LEFT(D4659,6)="CLIENT",IFERROR(VLOOKUP(C4659,Config_Carteiras!$A:$B,2,FALSE),1),"")</f>
        <v>1</v>
      </c>
      <c r="F4659" s="25">
        <v>16</v>
      </c>
      <c r="G4659" s="28">
        <f>IF(LEFT(D4659,6)="CLIENT",IF(E4659=0,WORKDAY(A4659-1,1,Dias_Sem_Compensacao!$A$2:$A$500),WORKDAY(A4659,E4659,Dias_Sem_Compensacao!$A$2:$A$500)),"")</f>
        <v>46301</v>
      </c>
      <c r="H4659" s="25">
        <v>0</v>
      </c>
      <c r="I4659" s="28">
        <v>46300</v>
      </c>
      <c r="J4659" t="s">
        <v>4396</v>
      </c>
      <c r="K4659" t="s">
        <v>4397</v>
      </c>
    </row>
    <row r="4660" spans="1:11" hidden="1">
      <c r="A4660" s="28">
        <v>46300</v>
      </c>
      <c r="B4660" t="s">
        <v>189</v>
      </c>
      <c r="C4660" t="s">
        <v>4255</v>
      </c>
      <c r="D4660" t="s">
        <v>217</v>
      </c>
      <c r="E4660">
        <f>IF(LEFT(D4660,6)="CLIENT",IFERROR(VLOOKUP(C4660,Config_Carteiras!$A:$B,2,FALSE),1),"")</f>
        <v>1</v>
      </c>
      <c r="F4660" s="25">
        <v>42.2</v>
      </c>
      <c r="G4660" s="28">
        <f>IF(LEFT(D4660,6)="CLIENT",IF(E4660=0,WORKDAY(A4660-1,1,Dias_Sem_Compensacao!$A$2:$A$500),WORKDAY(A4660,E4660,Dias_Sem_Compensacao!$A$2:$A$500)),"")</f>
        <v>46301</v>
      </c>
      <c r="H4660" s="25">
        <v>0</v>
      </c>
      <c r="I4660" s="28">
        <v>46300</v>
      </c>
      <c r="K4660" t="s">
        <v>4398</v>
      </c>
    </row>
    <row r="4661" spans="1:11" hidden="1">
      <c r="A4661" s="28">
        <v>46300</v>
      </c>
      <c r="B4661" t="s">
        <v>189</v>
      </c>
      <c r="C4661" t="s">
        <v>4255</v>
      </c>
      <c r="D4661" t="s">
        <v>217</v>
      </c>
      <c r="E4661">
        <f>IF(LEFT(D4661,6)="CLIENT",IFERROR(VLOOKUP(C4661,Config_Carteiras!$A:$B,2,FALSE),1),"")</f>
        <v>1</v>
      </c>
      <c r="F4661" s="25">
        <v>56</v>
      </c>
      <c r="G4661" s="28">
        <f>IF(LEFT(D4661,6)="CLIENT",IF(E4661=0,WORKDAY(A4661-1,1,Dias_Sem_Compensacao!$A$2:$A$500),WORKDAY(A4661,E4661,Dias_Sem_Compensacao!$A$2:$A$500)),"")</f>
        <v>46301</v>
      </c>
      <c r="H4661" s="25">
        <v>0</v>
      </c>
      <c r="I4661" s="28">
        <v>46300</v>
      </c>
      <c r="J4661" t="s">
        <v>4399</v>
      </c>
      <c r="K4661" t="s">
        <v>4400</v>
      </c>
    </row>
    <row r="4662" spans="1:11" hidden="1">
      <c r="A4662" s="28">
        <v>46300</v>
      </c>
      <c r="B4662" t="s">
        <v>189</v>
      </c>
      <c r="C4662" t="s">
        <v>4255</v>
      </c>
      <c r="D4662" t="s">
        <v>217</v>
      </c>
      <c r="E4662">
        <f>IF(LEFT(D4662,6)="CLIENT",IFERROR(VLOOKUP(C4662,Config_Carteiras!$A:$B,2,FALSE),1),"")</f>
        <v>1</v>
      </c>
      <c r="F4662" s="25">
        <v>34.200000000000003</v>
      </c>
      <c r="G4662" s="28">
        <f>IF(LEFT(D4662,6)="CLIENT",IF(E4662=0,WORKDAY(A4662-1,1,Dias_Sem_Compensacao!$A$2:$A$500),WORKDAY(A4662,E4662,Dias_Sem_Compensacao!$A$2:$A$500)),"")</f>
        <v>46301</v>
      </c>
      <c r="H4662" s="25">
        <v>0</v>
      </c>
      <c r="I4662" s="28">
        <v>46300</v>
      </c>
      <c r="K4662" t="s">
        <v>4401</v>
      </c>
    </row>
    <row r="4663" spans="1:11" hidden="1">
      <c r="A4663" s="28">
        <v>46300</v>
      </c>
      <c r="B4663" t="s">
        <v>189</v>
      </c>
      <c r="C4663" t="s">
        <v>4255</v>
      </c>
      <c r="D4663" t="s">
        <v>217</v>
      </c>
      <c r="E4663">
        <f>IF(LEFT(D4663,6)="CLIENT",IFERROR(VLOOKUP(C4663,Config_Carteiras!$A:$B,2,FALSE),1),"")</f>
        <v>1</v>
      </c>
      <c r="F4663" s="25">
        <v>29.4</v>
      </c>
      <c r="G4663" s="28">
        <f>IF(LEFT(D4663,6)="CLIENT",IF(E4663=0,WORKDAY(A4663-1,1,Dias_Sem_Compensacao!$A$2:$A$500),WORKDAY(A4663,E4663,Dias_Sem_Compensacao!$A$2:$A$500)),"")</f>
        <v>46301</v>
      </c>
      <c r="H4663" s="25">
        <v>0</v>
      </c>
      <c r="I4663" s="28">
        <v>46300</v>
      </c>
      <c r="J4663" t="s">
        <v>4402</v>
      </c>
      <c r="K4663" t="s">
        <v>4403</v>
      </c>
    </row>
    <row r="4664" spans="1:11" hidden="1">
      <c r="A4664" s="28">
        <v>46300</v>
      </c>
      <c r="B4664" t="s">
        <v>189</v>
      </c>
      <c r="C4664" t="s">
        <v>4255</v>
      </c>
      <c r="D4664" t="s">
        <v>217</v>
      </c>
      <c r="E4664">
        <f>IF(LEFT(D4664,6)="CLIENT",IFERROR(VLOOKUP(C4664,Config_Carteiras!$A:$B,2,FALSE),1),"")</f>
        <v>1</v>
      </c>
      <c r="F4664" s="25">
        <v>3.2</v>
      </c>
      <c r="G4664" s="28">
        <f>IF(LEFT(D4664,6)="CLIENT",IF(E4664=0,WORKDAY(A4664-1,1,Dias_Sem_Compensacao!$A$2:$A$500),WORKDAY(A4664,E4664,Dias_Sem_Compensacao!$A$2:$A$500)),"")</f>
        <v>46301</v>
      </c>
      <c r="H4664" s="25">
        <v>0</v>
      </c>
      <c r="I4664" s="28">
        <v>46300</v>
      </c>
      <c r="J4664" t="s">
        <v>4404</v>
      </c>
      <c r="K4664" t="s">
        <v>4405</v>
      </c>
    </row>
    <row r="4665" spans="1:11" hidden="1">
      <c r="A4665" s="28">
        <v>46300</v>
      </c>
      <c r="B4665" t="s">
        <v>189</v>
      </c>
      <c r="C4665" t="s">
        <v>4255</v>
      </c>
      <c r="D4665" t="s">
        <v>217</v>
      </c>
      <c r="E4665">
        <f>IF(LEFT(D4665,6)="CLIENT",IFERROR(VLOOKUP(C4665,Config_Carteiras!$A:$B,2,FALSE),1),"")</f>
        <v>1</v>
      </c>
      <c r="F4665" s="25">
        <v>8</v>
      </c>
      <c r="G4665" s="28">
        <f>IF(LEFT(D4665,6)="CLIENT",IF(E4665=0,WORKDAY(A4665-1,1,Dias_Sem_Compensacao!$A$2:$A$500),WORKDAY(A4665,E4665,Dias_Sem_Compensacao!$A$2:$A$500)),"")</f>
        <v>46301</v>
      </c>
      <c r="H4665" s="25">
        <v>0</v>
      </c>
      <c r="I4665" s="28">
        <v>46300</v>
      </c>
      <c r="K4665" t="s">
        <v>4406</v>
      </c>
    </row>
    <row r="4666" spans="1:11" hidden="1">
      <c r="A4666" s="28">
        <v>46300</v>
      </c>
      <c r="B4666" t="s">
        <v>189</v>
      </c>
      <c r="C4666" t="s">
        <v>4255</v>
      </c>
      <c r="D4666" t="s">
        <v>217</v>
      </c>
      <c r="E4666">
        <f>IF(LEFT(D4666,6)="CLIENT",IFERROR(VLOOKUP(C4666,Config_Carteiras!$A:$B,2,FALSE),1),"")</f>
        <v>1</v>
      </c>
      <c r="F4666" s="25">
        <v>13</v>
      </c>
      <c r="G4666" s="28">
        <f>IF(LEFT(D4666,6)="CLIENT",IF(E4666=0,WORKDAY(A4666-1,1,Dias_Sem_Compensacao!$A$2:$A$500),WORKDAY(A4666,E4666,Dias_Sem_Compensacao!$A$2:$A$500)),"")</f>
        <v>46301</v>
      </c>
      <c r="H4666" s="25">
        <v>0</v>
      </c>
      <c r="I4666" s="28">
        <v>46300</v>
      </c>
      <c r="J4666" t="s">
        <v>4407</v>
      </c>
      <c r="K4666" t="s">
        <v>4408</v>
      </c>
    </row>
    <row r="4667" spans="1:11" hidden="1">
      <c r="A4667" s="28">
        <v>46300</v>
      </c>
      <c r="B4667" t="s">
        <v>189</v>
      </c>
      <c r="C4667" t="s">
        <v>4255</v>
      </c>
      <c r="D4667" t="s">
        <v>217</v>
      </c>
      <c r="E4667">
        <f>IF(LEFT(D4667,6)="CLIENT",IFERROR(VLOOKUP(C4667,Config_Carteiras!$A:$B,2,FALSE),1),"")</f>
        <v>1</v>
      </c>
      <c r="F4667" s="25">
        <v>9.5</v>
      </c>
      <c r="G4667" s="28">
        <f>IF(LEFT(D4667,6)="CLIENT",IF(E4667=0,WORKDAY(A4667-1,1,Dias_Sem_Compensacao!$A$2:$A$500),WORKDAY(A4667,E4667,Dias_Sem_Compensacao!$A$2:$A$500)),"")</f>
        <v>46301</v>
      </c>
      <c r="H4667" s="25">
        <v>0</v>
      </c>
      <c r="I4667" s="28">
        <v>46300</v>
      </c>
      <c r="K4667" t="s">
        <v>4409</v>
      </c>
    </row>
    <row r="4668" spans="1:11" hidden="1">
      <c r="A4668" s="28">
        <v>46300</v>
      </c>
      <c r="B4668" t="s">
        <v>189</v>
      </c>
      <c r="C4668" t="s">
        <v>4255</v>
      </c>
      <c r="D4668" t="s">
        <v>217</v>
      </c>
      <c r="E4668">
        <f>IF(LEFT(D4668,6)="CLIENT",IFERROR(VLOOKUP(C4668,Config_Carteiras!$A:$B,2,FALSE),1),"")</f>
        <v>1</v>
      </c>
      <c r="F4668" s="25">
        <v>8</v>
      </c>
      <c r="G4668" s="28">
        <f>IF(LEFT(D4668,6)="CLIENT",IF(E4668=0,WORKDAY(A4668-1,1,Dias_Sem_Compensacao!$A$2:$A$500),WORKDAY(A4668,E4668,Dias_Sem_Compensacao!$A$2:$A$500)),"")</f>
        <v>46301</v>
      </c>
      <c r="H4668" s="25">
        <v>0</v>
      </c>
      <c r="I4668" s="28">
        <v>46300</v>
      </c>
      <c r="K4668" t="s">
        <v>4410</v>
      </c>
    </row>
    <row r="4669" spans="1:11" hidden="1">
      <c r="A4669" s="28">
        <v>46300</v>
      </c>
      <c r="B4669" t="s">
        <v>189</v>
      </c>
      <c r="C4669" t="s">
        <v>4255</v>
      </c>
      <c r="D4669" t="s">
        <v>217</v>
      </c>
      <c r="E4669">
        <f>IF(LEFT(D4669,6)="CLIENT",IFERROR(VLOOKUP(C4669,Config_Carteiras!$A:$B,2,FALSE),1),"")</f>
        <v>1</v>
      </c>
      <c r="F4669" s="25">
        <v>2.2000000000000002</v>
      </c>
      <c r="G4669" s="28">
        <f>IF(LEFT(D4669,6)="CLIENT",IF(E4669=0,WORKDAY(A4669-1,1,Dias_Sem_Compensacao!$A$2:$A$500),WORKDAY(A4669,E4669,Dias_Sem_Compensacao!$A$2:$A$500)),"")</f>
        <v>46301</v>
      </c>
      <c r="H4669" s="25">
        <v>0</v>
      </c>
      <c r="I4669" s="28">
        <v>46300</v>
      </c>
      <c r="K4669" t="s">
        <v>4411</v>
      </c>
    </row>
    <row r="4670" spans="1:11" hidden="1">
      <c r="A4670" s="28">
        <v>46300</v>
      </c>
      <c r="B4670" t="s">
        <v>189</v>
      </c>
      <c r="C4670" t="s">
        <v>4255</v>
      </c>
      <c r="D4670" t="s">
        <v>217</v>
      </c>
      <c r="E4670">
        <f>IF(LEFT(D4670,6)="CLIENT",IFERROR(VLOOKUP(C4670,Config_Carteiras!$A:$B,2,FALSE),1),"")</f>
        <v>1</v>
      </c>
      <c r="F4670" s="25">
        <v>8</v>
      </c>
      <c r="G4670" s="28">
        <f>IF(LEFT(D4670,6)="CLIENT",IF(E4670=0,WORKDAY(A4670-1,1,Dias_Sem_Compensacao!$A$2:$A$500),WORKDAY(A4670,E4670,Dias_Sem_Compensacao!$A$2:$A$500)),"")</f>
        <v>46301</v>
      </c>
      <c r="H4670" s="25">
        <v>0</v>
      </c>
      <c r="I4670" s="28">
        <v>46300</v>
      </c>
      <c r="K4670" t="s">
        <v>4412</v>
      </c>
    </row>
    <row r="4671" spans="1:11" hidden="1">
      <c r="A4671" s="28">
        <v>46300</v>
      </c>
      <c r="B4671" t="s">
        <v>189</v>
      </c>
      <c r="C4671" t="s">
        <v>4255</v>
      </c>
      <c r="D4671" t="s">
        <v>217</v>
      </c>
      <c r="E4671">
        <f>IF(LEFT(D4671,6)="CLIENT",IFERROR(VLOOKUP(C4671,Config_Carteiras!$A:$B,2,FALSE),1),"")</f>
        <v>1</v>
      </c>
      <c r="F4671" s="25">
        <v>5</v>
      </c>
      <c r="G4671" s="28">
        <f>IF(LEFT(D4671,6)="CLIENT",IF(E4671=0,WORKDAY(A4671-1,1,Dias_Sem_Compensacao!$A$2:$A$500),WORKDAY(A4671,E4671,Dias_Sem_Compensacao!$A$2:$A$500)),"")</f>
        <v>46301</v>
      </c>
      <c r="H4671" s="25">
        <v>0</v>
      </c>
      <c r="I4671" s="28">
        <v>46300</v>
      </c>
      <c r="J4671" t="s">
        <v>4413</v>
      </c>
      <c r="K4671" t="s">
        <v>4414</v>
      </c>
    </row>
    <row r="4672" spans="1:11" hidden="1">
      <c r="A4672" s="28">
        <v>46300</v>
      </c>
      <c r="B4672" t="s">
        <v>189</v>
      </c>
      <c r="C4672" t="s">
        <v>4255</v>
      </c>
      <c r="D4672" t="s">
        <v>217</v>
      </c>
      <c r="E4672">
        <f>IF(LEFT(D4672,6)="CLIENT",IFERROR(VLOOKUP(C4672,Config_Carteiras!$A:$B,2,FALSE),1),"")</f>
        <v>1</v>
      </c>
      <c r="F4672" s="25">
        <v>8.9</v>
      </c>
      <c r="G4672" s="28">
        <f>IF(LEFT(D4672,6)="CLIENT",IF(E4672=0,WORKDAY(A4672-1,1,Dias_Sem_Compensacao!$A$2:$A$500),WORKDAY(A4672,E4672,Dias_Sem_Compensacao!$A$2:$A$500)),"")</f>
        <v>46301</v>
      </c>
      <c r="H4672" s="25">
        <v>0</v>
      </c>
      <c r="I4672" s="28">
        <v>46300</v>
      </c>
      <c r="J4672" t="s">
        <v>4415</v>
      </c>
      <c r="K4672" t="s">
        <v>4416</v>
      </c>
    </row>
    <row r="4673" spans="1:11" hidden="1">
      <c r="A4673" s="28">
        <v>46300</v>
      </c>
      <c r="B4673" t="s">
        <v>189</v>
      </c>
      <c r="C4673" t="s">
        <v>4255</v>
      </c>
      <c r="D4673" t="s">
        <v>217</v>
      </c>
      <c r="E4673">
        <f>IF(LEFT(D4673,6)="CLIENT",IFERROR(VLOOKUP(C4673,Config_Carteiras!$A:$B,2,FALSE),1),"")</f>
        <v>1</v>
      </c>
      <c r="F4673" s="25">
        <v>16.7</v>
      </c>
      <c r="G4673" s="28">
        <f>IF(LEFT(D4673,6)="CLIENT",IF(E4673=0,WORKDAY(A4673-1,1,Dias_Sem_Compensacao!$A$2:$A$500),WORKDAY(A4673,E4673,Dias_Sem_Compensacao!$A$2:$A$500)),"")</f>
        <v>46301</v>
      </c>
      <c r="H4673" s="25">
        <v>0</v>
      </c>
      <c r="I4673" s="28">
        <v>46300</v>
      </c>
      <c r="K4673" t="s">
        <v>4417</v>
      </c>
    </row>
    <row r="4674" spans="1:11" hidden="1">
      <c r="A4674" s="28">
        <v>46300</v>
      </c>
      <c r="B4674" t="s">
        <v>189</v>
      </c>
      <c r="C4674" t="s">
        <v>4255</v>
      </c>
      <c r="D4674" t="s">
        <v>217</v>
      </c>
      <c r="E4674">
        <f>IF(LEFT(D4674,6)="CLIENT",IFERROR(VLOOKUP(C4674,Config_Carteiras!$A:$B,2,FALSE),1),"")</f>
        <v>1</v>
      </c>
      <c r="F4674" s="25">
        <v>9.5</v>
      </c>
      <c r="G4674" s="28">
        <f>IF(LEFT(D4674,6)="CLIENT",IF(E4674=0,WORKDAY(A4674-1,1,Dias_Sem_Compensacao!$A$2:$A$500),WORKDAY(A4674,E4674,Dias_Sem_Compensacao!$A$2:$A$500)),"")</f>
        <v>46301</v>
      </c>
      <c r="H4674" s="25">
        <v>0</v>
      </c>
      <c r="I4674" s="28">
        <v>46300</v>
      </c>
      <c r="J4674" t="s">
        <v>4418</v>
      </c>
      <c r="K4674" t="s">
        <v>4419</v>
      </c>
    </row>
    <row r="4675" spans="1:11" hidden="1">
      <c r="A4675" s="28">
        <v>46300</v>
      </c>
      <c r="B4675" t="s">
        <v>189</v>
      </c>
      <c r="C4675" t="s">
        <v>4255</v>
      </c>
      <c r="D4675" t="s">
        <v>217</v>
      </c>
      <c r="E4675">
        <f>IF(LEFT(D4675,6)="CLIENT",IFERROR(VLOOKUP(C4675,Config_Carteiras!$A:$B,2,FALSE),1),"")</f>
        <v>1</v>
      </c>
      <c r="F4675" s="25">
        <v>5.5</v>
      </c>
      <c r="G4675" s="28">
        <f>IF(LEFT(D4675,6)="CLIENT",IF(E4675=0,WORKDAY(A4675-1,1,Dias_Sem_Compensacao!$A$2:$A$500),WORKDAY(A4675,E4675,Dias_Sem_Compensacao!$A$2:$A$500)),"")</f>
        <v>46301</v>
      </c>
      <c r="H4675" s="25">
        <v>0</v>
      </c>
      <c r="I4675" s="28">
        <v>46300</v>
      </c>
      <c r="J4675" t="s">
        <v>4420</v>
      </c>
      <c r="K4675" t="s">
        <v>4421</v>
      </c>
    </row>
    <row r="4676" spans="1:11" hidden="1">
      <c r="A4676" s="28">
        <v>46300</v>
      </c>
      <c r="B4676" t="s">
        <v>189</v>
      </c>
      <c r="C4676" t="s">
        <v>4255</v>
      </c>
      <c r="D4676" t="s">
        <v>217</v>
      </c>
      <c r="E4676">
        <f>IF(LEFT(D4676,6)="CLIENT",IFERROR(VLOOKUP(C4676,Config_Carteiras!$A:$B,2,FALSE),1),"")</f>
        <v>1</v>
      </c>
      <c r="F4676" s="25">
        <v>5</v>
      </c>
      <c r="G4676" s="28">
        <f>IF(LEFT(D4676,6)="CLIENT",IF(E4676=0,WORKDAY(A4676-1,1,Dias_Sem_Compensacao!$A$2:$A$500),WORKDAY(A4676,E4676,Dias_Sem_Compensacao!$A$2:$A$500)),"")</f>
        <v>46301</v>
      </c>
      <c r="H4676" s="25">
        <v>0</v>
      </c>
      <c r="I4676" s="28">
        <v>46300</v>
      </c>
      <c r="K4676" t="s">
        <v>4422</v>
      </c>
    </row>
    <row r="4677" spans="1:11" hidden="1">
      <c r="A4677" s="28">
        <v>46300</v>
      </c>
      <c r="B4677" t="s">
        <v>189</v>
      </c>
      <c r="C4677" t="s">
        <v>4255</v>
      </c>
      <c r="D4677" t="s">
        <v>217</v>
      </c>
      <c r="E4677">
        <f>IF(LEFT(D4677,6)="CLIENT",IFERROR(VLOOKUP(C4677,Config_Carteiras!$A:$B,2,FALSE),1),"")</f>
        <v>1</v>
      </c>
      <c r="F4677" s="25">
        <v>8.5</v>
      </c>
      <c r="G4677" s="28">
        <f>IF(LEFT(D4677,6)="CLIENT",IF(E4677=0,WORKDAY(A4677-1,1,Dias_Sem_Compensacao!$A$2:$A$500),WORKDAY(A4677,E4677,Dias_Sem_Compensacao!$A$2:$A$500)),"")</f>
        <v>46301</v>
      </c>
      <c r="H4677" s="25">
        <v>0</v>
      </c>
      <c r="I4677" s="28">
        <v>46300</v>
      </c>
      <c r="J4677" t="s">
        <v>4423</v>
      </c>
      <c r="K4677" t="s">
        <v>4424</v>
      </c>
    </row>
    <row r="4678" spans="1:11" hidden="1">
      <c r="A4678" s="28">
        <v>46300</v>
      </c>
      <c r="B4678" t="s">
        <v>189</v>
      </c>
      <c r="C4678" t="s">
        <v>4255</v>
      </c>
      <c r="D4678" t="s">
        <v>217</v>
      </c>
      <c r="E4678">
        <f>IF(LEFT(D4678,6)="CLIENT",IFERROR(VLOOKUP(C4678,Config_Carteiras!$A:$B,2,FALSE),1),"")</f>
        <v>1</v>
      </c>
      <c r="F4678" s="25">
        <v>5</v>
      </c>
      <c r="G4678" s="28">
        <f>IF(LEFT(D4678,6)="CLIENT",IF(E4678=0,WORKDAY(A4678-1,1,Dias_Sem_Compensacao!$A$2:$A$500),WORKDAY(A4678,E4678,Dias_Sem_Compensacao!$A$2:$A$500)),"")</f>
        <v>46301</v>
      </c>
      <c r="H4678" s="25">
        <v>0</v>
      </c>
      <c r="I4678" s="28">
        <v>46300</v>
      </c>
      <c r="J4678" t="s">
        <v>4425</v>
      </c>
      <c r="K4678" t="s">
        <v>4426</v>
      </c>
    </row>
    <row r="4679" spans="1:11" hidden="1">
      <c r="A4679" s="28">
        <v>46300</v>
      </c>
      <c r="B4679" t="s">
        <v>189</v>
      </c>
      <c r="C4679" t="s">
        <v>4255</v>
      </c>
      <c r="D4679" t="s">
        <v>217</v>
      </c>
      <c r="E4679">
        <f>IF(LEFT(D4679,6)="CLIENT",IFERROR(VLOOKUP(C4679,Config_Carteiras!$A:$B,2,FALSE),1),"")</f>
        <v>1</v>
      </c>
      <c r="F4679" s="25">
        <v>14</v>
      </c>
      <c r="G4679" s="28">
        <f>IF(LEFT(D4679,6)="CLIENT",IF(E4679=0,WORKDAY(A4679-1,1,Dias_Sem_Compensacao!$A$2:$A$500),WORKDAY(A4679,E4679,Dias_Sem_Compensacao!$A$2:$A$500)),"")</f>
        <v>46301</v>
      </c>
      <c r="H4679" s="25">
        <v>0</v>
      </c>
      <c r="I4679" s="28">
        <v>46300</v>
      </c>
      <c r="K4679" t="s">
        <v>4427</v>
      </c>
    </row>
    <row r="4680" spans="1:11" hidden="1">
      <c r="A4680" s="28">
        <v>46293</v>
      </c>
      <c r="B4680" t="s">
        <v>4428</v>
      </c>
      <c r="C4680" t="s">
        <v>4429</v>
      </c>
      <c r="D4680" t="s">
        <v>3462</v>
      </c>
      <c r="E4680" t="str">
        <f>IF(LEFT(D4680,6)="CLIENT",IFERROR(VLOOKUP(C4680,Config_Carteiras!$A:$B,2,FALSE),1),"")</f>
        <v/>
      </c>
      <c r="F4680" s="25">
        <v>0</v>
      </c>
      <c r="G4680" s="28" t="str">
        <f>IF(LEFT(D4680,6)="CLIENT",IF(E4680=0,WORKDAY(A4680-1,1,Dias_Sem_Compensacao!$A$2:$A$500),WORKDAY(A4680,E4680,Dias_Sem_Compensacao!$A$2:$A$500)),"")</f>
        <v/>
      </c>
      <c r="H4680" s="25">
        <v>401.34</v>
      </c>
      <c r="I4680" s="28">
        <v>46293</v>
      </c>
      <c r="J4680" t="s">
        <v>15</v>
      </c>
      <c r="K4680" t="s">
        <v>14</v>
      </c>
    </row>
    <row r="4681" spans="1:11" hidden="1">
      <c r="A4681" s="28">
        <v>46323</v>
      </c>
      <c r="B4681" t="s">
        <v>4428</v>
      </c>
      <c r="C4681" t="s">
        <v>4429</v>
      </c>
      <c r="D4681" t="s">
        <v>3462</v>
      </c>
      <c r="E4681" t="str">
        <f>IF(LEFT(D4681,6)="CLIENT",IFERROR(VLOOKUP(C4681,Config_Carteiras!$A:$B,2,FALSE),1),"")</f>
        <v/>
      </c>
      <c r="F4681" s="25">
        <v>0</v>
      </c>
      <c r="G4681" s="28" t="str">
        <f>IF(LEFT(D4681,6)="CLIENT",IF(E4681=0,WORKDAY(A4681-1,1,Dias_Sem_Compensacao!$A$2:$A$500),WORKDAY(A4681,E4681,Dias_Sem_Compensacao!$A$2:$A$500)),"")</f>
        <v/>
      </c>
      <c r="H4681" s="25">
        <v>200.67</v>
      </c>
      <c r="I4681" s="28">
        <v>46323</v>
      </c>
      <c r="J4681" t="s">
        <v>15</v>
      </c>
      <c r="K4681" t="s">
        <v>14</v>
      </c>
    </row>
    <row r="4682" spans="1:11" hidden="1">
      <c r="A4682" s="28">
        <v>46354</v>
      </c>
      <c r="B4682" t="s">
        <v>4428</v>
      </c>
      <c r="C4682" t="s">
        <v>4429</v>
      </c>
      <c r="D4682" t="s">
        <v>3462</v>
      </c>
      <c r="E4682" t="str">
        <f>IF(LEFT(D4682,6)="CLIENT",IFERROR(VLOOKUP(C4682,Config_Carteiras!$A:$B,2,FALSE),1),"")</f>
        <v/>
      </c>
      <c r="F4682" s="25">
        <v>0</v>
      </c>
      <c r="G4682" s="28" t="str">
        <f>IF(LEFT(D4682,6)="CLIENT",IF(E4682=0,WORKDAY(A4682-1,1,Dias_Sem_Compensacao!$A$2:$A$500),WORKDAY(A4682,E4682,Dias_Sem_Compensacao!$A$2:$A$500)),"")</f>
        <v/>
      </c>
      <c r="H4682" s="25">
        <v>200.67</v>
      </c>
      <c r="I4682" s="28">
        <v>46354</v>
      </c>
      <c r="J4682" t="s">
        <v>15</v>
      </c>
      <c r="K4682" t="s">
        <v>14</v>
      </c>
    </row>
    <row r="4683" spans="1:11" hidden="1">
      <c r="A4683" s="28">
        <v>46384</v>
      </c>
      <c r="B4683" t="s">
        <v>4428</v>
      </c>
      <c r="C4683" t="s">
        <v>4429</v>
      </c>
      <c r="D4683" t="s">
        <v>3462</v>
      </c>
      <c r="E4683" t="str">
        <f>IF(LEFT(D4683,6)="CLIENT",IFERROR(VLOOKUP(C4683,Config_Carteiras!$A:$B,2,FALSE),1),"")</f>
        <v/>
      </c>
      <c r="F4683" s="25">
        <v>0</v>
      </c>
      <c r="G4683" s="28" t="str">
        <f>IF(LEFT(D4683,6)="CLIENT",IF(E4683=0,WORKDAY(A4683-1,1,Dias_Sem_Compensacao!$A$2:$A$500),WORKDAY(A4683,E4683,Dias_Sem_Compensacao!$A$2:$A$500)),"")</f>
        <v/>
      </c>
      <c r="H4683" s="25">
        <v>200.67</v>
      </c>
      <c r="I4683" s="28">
        <v>46384</v>
      </c>
      <c r="J4683" t="s">
        <v>15</v>
      </c>
      <c r="K4683" t="s">
        <v>14</v>
      </c>
    </row>
    <row r="4684" spans="1:11" hidden="1">
      <c r="A4684" s="28">
        <v>46300</v>
      </c>
      <c r="B4684" t="s">
        <v>4430</v>
      </c>
      <c r="C4684" t="s">
        <v>4431</v>
      </c>
      <c r="D4684" t="s">
        <v>4432</v>
      </c>
      <c r="E4684" t="str">
        <f>IF(LEFT(D4684,6)="CLIENT",IFERROR(VLOOKUP(C4684,Config_Carteiras!$A:$B,2,FALSE),1),"")</f>
        <v/>
      </c>
      <c r="F4684" s="25">
        <v>0</v>
      </c>
      <c r="G4684" s="28" t="str">
        <f>IF(LEFT(D4684,6)="CLIENT",IF(E4684=0,WORKDAY(A4684-1,1,Dias_Sem_Compensacao!$A$2:$A$500),WORKDAY(A4684,E4684,Dias_Sem_Compensacao!$A$2:$A$500)),"")</f>
        <v/>
      </c>
      <c r="H4684" s="25">
        <v>186.62</v>
      </c>
      <c r="I4684" s="28">
        <v>46300</v>
      </c>
      <c r="J4684" t="s">
        <v>4433</v>
      </c>
      <c r="K4684" t="s">
        <v>4434</v>
      </c>
    </row>
    <row r="4685" spans="1:11" hidden="1">
      <c r="A4685" s="28">
        <v>46287</v>
      </c>
      <c r="B4685" t="s">
        <v>4435</v>
      </c>
      <c r="C4685" t="s">
        <v>111</v>
      </c>
      <c r="D4685" t="s">
        <v>3462</v>
      </c>
      <c r="E4685" t="str">
        <f>IF(LEFT(D4685,6)="CLIENT",IFERROR(VLOOKUP(C4685,Config_Carteiras!$A:$B,2,FALSE),1),"")</f>
        <v/>
      </c>
      <c r="F4685" s="25">
        <v>0</v>
      </c>
      <c r="G4685" s="28" t="str">
        <f>IF(LEFT(D4685,6)="CLIENT",IF(E4685=0,WORKDAY(A4685-1,1,Dias_Sem_Compensacao!$A$2:$A$500),WORKDAY(A4685,E4685,Dias_Sem_Compensacao!$A$2:$A$500)),"")</f>
        <v/>
      </c>
      <c r="H4685" s="25">
        <v>164071.6</v>
      </c>
      <c r="I4685" s="28">
        <v>46287</v>
      </c>
      <c r="J4685" t="s">
        <v>4436</v>
      </c>
      <c r="K4685" t="s">
        <v>4437</v>
      </c>
    </row>
    <row r="4686" spans="1:11" hidden="1">
      <c r="A4686" s="28">
        <v>46296</v>
      </c>
      <c r="B4686" t="s">
        <v>4438</v>
      </c>
      <c r="C4686" t="s">
        <v>4439</v>
      </c>
      <c r="D4686" t="s">
        <v>3462</v>
      </c>
      <c r="E4686" t="str">
        <f>IF(LEFT(D4686,6)="CLIENT",IFERROR(VLOOKUP(C4686,Config_Carteiras!$A:$B,2,FALSE),1),"")</f>
        <v/>
      </c>
      <c r="F4686" s="25">
        <v>0</v>
      </c>
      <c r="G4686" s="28" t="str">
        <f>IF(LEFT(D4686,6)="CLIENT",IF(E4686=0,WORKDAY(A4686-1,1,Dias_Sem_Compensacao!$A$2:$A$500),WORKDAY(A4686,E4686,Dias_Sem_Compensacao!$A$2:$A$500)),"")</f>
        <v/>
      </c>
      <c r="H4686" s="25">
        <v>1850</v>
      </c>
      <c r="I4686" s="28">
        <v>46296</v>
      </c>
      <c r="J4686" t="s">
        <v>139</v>
      </c>
      <c r="K4686" t="s">
        <v>138</v>
      </c>
    </row>
    <row r="4687" spans="1:11" hidden="1">
      <c r="A4687" s="28">
        <v>46299</v>
      </c>
      <c r="B4687" t="s">
        <v>4438</v>
      </c>
      <c r="C4687" t="s">
        <v>4439</v>
      </c>
      <c r="D4687" t="s">
        <v>3462</v>
      </c>
      <c r="E4687" t="str">
        <f>IF(LEFT(D4687,6)="CLIENT",IFERROR(VLOOKUP(C4687,Config_Carteiras!$A:$B,2,FALSE),1),"")</f>
        <v/>
      </c>
      <c r="F4687" s="25">
        <v>0</v>
      </c>
      <c r="G4687" s="28" t="str">
        <f>IF(LEFT(D4687,6)="CLIENT",IF(E4687=0,WORKDAY(A4687-1,1,Dias_Sem_Compensacao!$A$2:$A$500),WORKDAY(A4687,E4687,Dias_Sem_Compensacao!$A$2:$A$500)),"")</f>
        <v/>
      </c>
      <c r="H4687" s="25">
        <v>1784</v>
      </c>
      <c r="I4687" s="28">
        <v>46299</v>
      </c>
      <c r="J4687" t="s">
        <v>139</v>
      </c>
      <c r="K4687" t="s">
        <v>4440</v>
      </c>
    </row>
    <row r="4688" spans="1:11" hidden="1">
      <c r="A4688" s="28">
        <v>46310</v>
      </c>
      <c r="B4688" t="s">
        <v>4438</v>
      </c>
      <c r="C4688" t="s">
        <v>4439</v>
      </c>
      <c r="D4688" t="s">
        <v>3462</v>
      </c>
      <c r="E4688" t="str">
        <f>IF(LEFT(D4688,6)="CLIENT",IFERROR(VLOOKUP(C4688,Config_Carteiras!$A:$B,2,FALSE),1),"")</f>
        <v/>
      </c>
      <c r="F4688" s="25">
        <v>0</v>
      </c>
      <c r="G4688" s="28" t="str">
        <f>IF(LEFT(D4688,6)="CLIENT",IF(E4688=0,WORKDAY(A4688-1,1,Dias_Sem_Compensacao!$A$2:$A$500),WORKDAY(A4688,E4688,Dias_Sem_Compensacao!$A$2:$A$500)),"")</f>
        <v/>
      </c>
      <c r="H4688" s="25">
        <v>208.56</v>
      </c>
      <c r="I4688" s="28">
        <v>46310</v>
      </c>
      <c r="J4688" t="s">
        <v>139</v>
      </c>
      <c r="K4688" t="s">
        <v>4441</v>
      </c>
    </row>
    <row r="4689" spans="1:11" hidden="1">
      <c r="A4689" s="28">
        <v>46310</v>
      </c>
      <c r="B4689" t="s">
        <v>4438</v>
      </c>
      <c r="C4689" t="s">
        <v>4439</v>
      </c>
      <c r="D4689" t="s">
        <v>3462</v>
      </c>
      <c r="E4689" t="str">
        <f>IF(LEFT(D4689,6)="CLIENT",IFERROR(VLOOKUP(C4689,Config_Carteiras!$A:$B,2,FALSE),1),"")</f>
        <v/>
      </c>
      <c r="F4689" s="25">
        <v>0</v>
      </c>
      <c r="G4689" s="28" t="str">
        <f>IF(LEFT(D4689,6)="CLIENT",IF(E4689=0,WORKDAY(A4689-1,1,Dias_Sem_Compensacao!$A$2:$A$500),WORKDAY(A4689,E4689,Dias_Sem_Compensacao!$A$2:$A$500)),"")</f>
        <v/>
      </c>
      <c r="H4689" s="25">
        <v>470.18</v>
      </c>
      <c r="I4689" s="28">
        <v>46310</v>
      </c>
      <c r="K4689" t="s">
        <v>4442</v>
      </c>
    </row>
    <row r="4690" spans="1:11" hidden="1">
      <c r="A4690" s="28">
        <v>46327</v>
      </c>
      <c r="B4690" t="s">
        <v>4438</v>
      </c>
      <c r="C4690" t="s">
        <v>4439</v>
      </c>
      <c r="D4690" t="s">
        <v>3462</v>
      </c>
      <c r="E4690" t="str">
        <f>IF(LEFT(D4690,6)="CLIENT",IFERROR(VLOOKUP(C4690,Config_Carteiras!$A:$B,2,FALSE),1),"")</f>
        <v/>
      </c>
      <c r="F4690" s="25">
        <v>0</v>
      </c>
      <c r="G4690" s="28" t="str">
        <f>IF(LEFT(D4690,6)="CLIENT",IF(E4690=0,WORKDAY(A4690-1,1,Dias_Sem_Compensacao!$A$2:$A$500),WORKDAY(A4690,E4690,Dias_Sem_Compensacao!$A$2:$A$500)),"")</f>
        <v/>
      </c>
      <c r="H4690" s="25">
        <v>1850</v>
      </c>
      <c r="I4690" s="28">
        <v>46327</v>
      </c>
      <c r="J4690" t="s">
        <v>139</v>
      </c>
      <c r="K4690" t="s">
        <v>138</v>
      </c>
    </row>
    <row r="4691" spans="1:11" hidden="1">
      <c r="A4691" s="28">
        <v>46330</v>
      </c>
      <c r="B4691" t="s">
        <v>4438</v>
      </c>
      <c r="C4691" t="s">
        <v>4439</v>
      </c>
      <c r="D4691" t="s">
        <v>3462</v>
      </c>
      <c r="E4691" t="str">
        <f>IF(LEFT(D4691,6)="CLIENT",IFERROR(VLOOKUP(C4691,Config_Carteiras!$A:$B,2,FALSE),1),"")</f>
        <v/>
      </c>
      <c r="F4691" s="25">
        <v>0</v>
      </c>
      <c r="G4691" s="28" t="str">
        <f>IF(LEFT(D4691,6)="CLIENT",IF(E4691=0,WORKDAY(A4691-1,1,Dias_Sem_Compensacao!$A$2:$A$500),WORKDAY(A4691,E4691,Dias_Sem_Compensacao!$A$2:$A$500)),"")</f>
        <v/>
      </c>
      <c r="H4691" s="25">
        <v>1784</v>
      </c>
      <c r="I4691" s="28">
        <v>46330</v>
      </c>
      <c r="J4691" t="s">
        <v>139</v>
      </c>
      <c r="K4691" t="s">
        <v>4440</v>
      </c>
    </row>
    <row r="4692" spans="1:11" hidden="1">
      <c r="A4692" s="28">
        <v>46341</v>
      </c>
      <c r="B4692" t="s">
        <v>4438</v>
      </c>
      <c r="C4692" t="s">
        <v>4439</v>
      </c>
      <c r="D4692" t="s">
        <v>3462</v>
      </c>
      <c r="E4692" t="str">
        <f>IF(LEFT(D4692,6)="CLIENT",IFERROR(VLOOKUP(C4692,Config_Carteiras!$A:$B,2,FALSE),1),"")</f>
        <v/>
      </c>
      <c r="F4692" s="25">
        <v>0</v>
      </c>
      <c r="G4692" s="28" t="str">
        <f>IF(LEFT(D4692,6)="CLIENT",IF(E4692=0,WORKDAY(A4692-1,1,Dias_Sem_Compensacao!$A$2:$A$500),WORKDAY(A4692,E4692,Dias_Sem_Compensacao!$A$2:$A$500)),"")</f>
        <v/>
      </c>
      <c r="H4692" s="25">
        <v>208.56</v>
      </c>
      <c r="I4692" s="28">
        <v>46341</v>
      </c>
      <c r="J4692" t="s">
        <v>139</v>
      </c>
      <c r="K4692" t="s">
        <v>4441</v>
      </c>
    </row>
    <row r="4693" spans="1:11" hidden="1">
      <c r="A4693" s="28">
        <v>46341</v>
      </c>
      <c r="B4693" t="s">
        <v>4438</v>
      </c>
      <c r="C4693" t="s">
        <v>4439</v>
      </c>
      <c r="D4693" t="s">
        <v>3462</v>
      </c>
      <c r="E4693" t="str">
        <f>IF(LEFT(D4693,6)="CLIENT",IFERROR(VLOOKUP(C4693,Config_Carteiras!$A:$B,2,FALSE),1),"")</f>
        <v/>
      </c>
      <c r="F4693" s="25">
        <v>0</v>
      </c>
      <c r="G4693" s="28" t="str">
        <f>IF(LEFT(D4693,6)="CLIENT",IF(E4693=0,WORKDAY(A4693-1,1,Dias_Sem_Compensacao!$A$2:$A$500),WORKDAY(A4693,E4693,Dias_Sem_Compensacao!$A$2:$A$500)),"")</f>
        <v/>
      </c>
      <c r="H4693" s="25">
        <v>470.18</v>
      </c>
      <c r="I4693" s="28">
        <v>46341</v>
      </c>
      <c r="K4693" t="s">
        <v>4442</v>
      </c>
    </row>
    <row r="4694" spans="1:11" hidden="1">
      <c r="A4694" s="28">
        <v>46357</v>
      </c>
      <c r="B4694" t="s">
        <v>4438</v>
      </c>
      <c r="C4694" t="s">
        <v>4439</v>
      </c>
      <c r="D4694" t="s">
        <v>3462</v>
      </c>
      <c r="E4694" t="str">
        <f>IF(LEFT(D4694,6)="CLIENT",IFERROR(VLOOKUP(C4694,Config_Carteiras!$A:$B,2,FALSE),1),"")</f>
        <v/>
      </c>
      <c r="F4694" s="25">
        <v>0</v>
      </c>
      <c r="G4694" s="28" t="str">
        <f>IF(LEFT(D4694,6)="CLIENT",IF(E4694=0,WORKDAY(A4694-1,1,Dias_Sem_Compensacao!$A$2:$A$500),WORKDAY(A4694,E4694,Dias_Sem_Compensacao!$A$2:$A$500)),"")</f>
        <v/>
      </c>
      <c r="H4694" s="25">
        <v>1850</v>
      </c>
      <c r="I4694" s="28">
        <v>46357</v>
      </c>
      <c r="J4694" t="s">
        <v>139</v>
      </c>
      <c r="K4694" t="s">
        <v>138</v>
      </c>
    </row>
    <row r="4695" spans="1:11" hidden="1">
      <c r="A4695" s="28">
        <v>46360</v>
      </c>
      <c r="B4695" t="s">
        <v>4438</v>
      </c>
      <c r="C4695" t="s">
        <v>4439</v>
      </c>
      <c r="D4695" t="s">
        <v>3462</v>
      </c>
      <c r="E4695" t="str">
        <f>IF(LEFT(D4695,6)="CLIENT",IFERROR(VLOOKUP(C4695,Config_Carteiras!$A:$B,2,FALSE),1),"")</f>
        <v/>
      </c>
      <c r="F4695" s="25">
        <v>0</v>
      </c>
      <c r="G4695" s="28" t="str">
        <f>IF(LEFT(D4695,6)="CLIENT",IF(E4695=0,WORKDAY(A4695-1,1,Dias_Sem_Compensacao!$A$2:$A$500),WORKDAY(A4695,E4695,Dias_Sem_Compensacao!$A$2:$A$500)),"")</f>
        <v/>
      </c>
      <c r="H4695" s="25">
        <v>1784</v>
      </c>
      <c r="I4695" s="28">
        <v>46360</v>
      </c>
      <c r="J4695" t="s">
        <v>139</v>
      </c>
      <c r="K4695" t="s">
        <v>4440</v>
      </c>
    </row>
    <row r="4696" spans="1:11" hidden="1">
      <c r="A4696" s="28">
        <v>46371</v>
      </c>
      <c r="B4696" t="s">
        <v>4438</v>
      </c>
      <c r="C4696" t="s">
        <v>4439</v>
      </c>
      <c r="D4696" t="s">
        <v>3462</v>
      </c>
      <c r="E4696" t="str">
        <f>IF(LEFT(D4696,6)="CLIENT",IFERROR(VLOOKUP(C4696,Config_Carteiras!$A:$B,2,FALSE),1),"")</f>
        <v/>
      </c>
      <c r="F4696" s="25">
        <v>0</v>
      </c>
      <c r="G4696" s="28" t="str">
        <f>IF(LEFT(D4696,6)="CLIENT",IF(E4696=0,WORKDAY(A4696-1,1,Dias_Sem_Compensacao!$A$2:$A$500),WORKDAY(A4696,E4696,Dias_Sem_Compensacao!$A$2:$A$500)),"")</f>
        <v/>
      </c>
      <c r="H4696" s="25">
        <v>208.61</v>
      </c>
      <c r="I4696" s="28">
        <v>46371</v>
      </c>
      <c r="J4696" t="s">
        <v>139</v>
      </c>
      <c r="K4696" t="s">
        <v>4441</v>
      </c>
    </row>
    <row r="4697" spans="1:11" hidden="1">
      <c r="A4697" s="28">
        <v>46371</v>
      </c>
      <c r="B4697" t="s">
        <v>4438</v>
      </c>
      <c r="C4697" t="s">
        <v>4439</v>
      </c>
      <c r="D4697" t="s">
        <v>3462</v>
      </c>
      <c r="E4697" t="str">
        <f>IF(LEFT(D4697,6)="CLIENT",IFERROR(VLOOKUP(C4697,Config_Carteiras!$A:$B,2,FALSE),1),"")</f>
        <v/>
      </c>
      <c r="F4697" s="25">
        <v>0</v>
      </c>
      <c r="G4697" s="28" t="str">
        <f>IF(LEFT(D4697,6)="CLIENT",IF(E4697=0,WORKDAY(A4697-1,1,Dias_Sem_Compensacao!$A$2:$A$500),WORKDAY(A4697,E4697,Dias_Sem_Compensacao!$A$2:$A$500)),"")</f>
        <v/>
      </c>
      <c r="H4697" s="25">
        <v>470.18</v>
      </c>
      <c r="I4697" s="28">
        <v>46371</v>
      </c>
      <c r="K4697" t="s">
        <v>4442</v>
      </c>
    </row>
    <row r="4698" spans="1:11" hidden="1">
      <c r="A4698" s="28">
        <v>46315</v>
      </c>
      <c r="B4698" t="s">
        <v>4443</v>
      </c>
      <c r="C4698" t="s">
        <v>4444</v>
      </c>
      <c r="D4698" t="s">
        <v>4432</v>
      </c>
      <c r="E4698" t="str">
        <f>IF(LEFT(D4698,6)="CLIENT",IFERROR(VLOOKUP(C4698,Config_Carteiras!$A:$B,2,FALSE),1),"")</f>
        <v/>
      </c>
      <c r="F4698" s="25">
        <v>0</v>
      </c>
      <c r="G4698" s="28" t="str">
        <f>IF(LEFT(D4698,6)="CLIENT",IF(E4698=0,WORKDAY(A4698-1,1,Dias_Sem_Compensacao!$A$2:$A$500),WORKDAY(A4698,E4698,Dias_Sem_Compensacao!$A$2:$A$500)),"")</f>
        <v/>
      </c>
      <c r="H4698" s="25">
        <v>222.42</v>
      </c>
      <c r="I4698" s="28">
        <v>46315</v>
      </c>
      <c r="J4698" t="s">
        <v>4445</v>
      </c>
      <c r="K4698" t="s">
        <v>126</v>
      </c>
    </row>
    <row r="4699" spans="1:11" hidden="1">
      <c r="A4699" s="28">
        <v>46315</v>
      </c>
      <c r="B4699" t="s">
        <v>4443</v>
      </c>
      <c r="C4699" t="s">
        <v>4444</v>
      </c>
      <c r="D4699" t="s">
        <v>4432</v>
      </c>
      <c r="E4699" t="str">
        <f>IF(LEFT(D4699,6)="CLIENT",IFERROR(VLOOKUP(C4699,Config_Carteiras!$A:$B,2,FALSE),1),"")</f>
        <v/>
      </c>
      <c r="F4699" s="25">
        <v>0</v>
      </c>
      <c r="G4699" s="28" t="str">
        <f>IF(LEFT(D4699,6)="CLIENT",IF(E4699=0,WORKDAY(A4699-1,1,Dias_Sem_Compensacao!$A$2:$A$500),WORKDAY(A4699,E4699,Dias_Sem_Compensacao!$A$2:$A$500)),"")</f>
        <v/>
      </c>
      <c r="H4699" s="25">
        <v>528</v>
      </c>
      <c r="I4699" s="28">
        <v>46315</v>
      </c>
      <c r="K4699" t="s">
        <v>107</v>
      </c>
    </row>
    <row r="4700" spans="1:11" hidden="1">
      <c r="A4700" s="28">
        <v>46315</v>
      </c>
      <c r="B4700" t="s">
        <v>4443</v>
      </c>
      <c r="C4700" t="s">
        <v>4444</v>
      </c>
      <c r="D4700" t="s">
        <v>4432</v>
      </c>
      <c r="E4700" t="str">
        <f>IF(LEFT(D4700,6)="CLIENT",IFERROR(VLOOKUP(C4700,Config_Carteiras!$A:$B,2,FALSE),1),"")</f>
        <v/>
      </c>
      <c r="F4700" s="25">
        <v>0</v>
      </c>
      <c r="G4700" s="28" t="str">
        <f>IF(LEFT(D4700,6)="CLIENT",IF(E4700=0,WORKDAY(A4700-1,1,Dias_Sem_Compensacao!$A$2:$A$500),WORKDAY(A4700,E4700,Dias_Sem_Compensacao!$A$2:$A$500)),"")</f>
        <v/>
      </c>
      <c r="H4700" s="25">
        <v>461.4</v>
      </c>
      <c r="I4700" s="28">
        <v>46315</v>
      </c>
      <c r="K4700" t="s">
        <v>108</v>
      </c>
    </row>
    <row r="4701" spans="1:11" hidden="1">
      <c r="A4701" s="28">
        <v>46318</v>
      </c>
      <c r="B4701" t="s">
        <v>4443</v>
      </c>
      <c r="C4701" t="s">
        <v>4444</v>
      </c>
      <c r="D4701" t="s">
        <v>4432</v>
      </c>
      <c r="E4701" t="str">
        <f>IF(LEFT(D4701,6)="CLIENT",IFERROR(VLOOKUP(C4701,Config_Carteiras!$A:$B,2,FALSE),1),"")</f>
        <v/>
      </c>
      <c r="F4701" s="25">
        <v>0</v>
      </c>
      <c r="G4701" s="28" t="str">
        <f>IF(LEFT(D4701,6)="CLIENT",IF(E4701=0,WORKDAY(A4701-1,1,Dias_Sem_Compensacao!$A$2:$A$500),WORKDAY(A4701,E4701,Dias_Sem_Compensacao!$A$2:$A$500)),"")</f>
        <v/>
      </c>
      <c r="H4701" s="25">
        <v>64.39</v>
      </c>
      <c r="I4701" s="28">
        <v>46318</v>
      </c>
      <c r="J4701" t="s">
        <v>4445</v>
      </c>
      <c r="K4701" t="s">
        <v>3912</v>
      </c>
    </row>
    <row r="4702" spans="1:11" hidden="1">
      <c r="A4702" s="28">
        <v>46318</v>
      </c>
      <c r="B4702" t="s">
        <v>4443</v>
      </c>
      <c r="C4702" t="s">
        <v>4444</v>
      </c>
      <c r="D4702" t="s">
        <v>4432</v>
      </c>
      <c r="E4702" t="str">
        <f>IF(LEFT(D4702,6)="CLIENT",IFERROR(VLOOKUP(C4702,Config_Carteiras!$A:$B,2,FALSE),1),"")</f>
        <v/>
      </c>
      <c r="F4702" s="25">
        <v>0</v>
      </c>
      <c r="G4702" s="28" t="str">
        <f>IF(LEFT(D4702,6)="CLIENT",IF(E4702=0,WORKDAY(A4702-1,1,Dias_Sem_Compensacao!$A$2:$A$500),WORKDAY(A4702,E4702,Dias_Sem_Compensacao!$A$2:$A$500)),"")</f>
        <v/>
      </c>
      <c r="H4702" s="25">
        <v>46.2</v>
      </c>
      <c r="I4702" s="28">
        <v>46318</v>
      </c>
      <c r="K4702" t="s">
        <v>3651</v>
      </c>
    </row>
    <row r="4703" spans="1:11" hidden="1">
      <c r="A4703" s="28">
        <v>46315</v>
      </c>
      <c r="B4703" t="s">
        <v>4446</v>
      </c>
      <c r="C4703" t="s">
        <v>4447</v>
      </c>
      <c r="D4703" t="s">
        <v>4432</v>
      </c>
      <c r="E4703" t="str">
        <f>IF(LEFT(D4703,6)="CLIENT",IFERROR(VLOOKUP(C4703,Config_Carteiras!$A:$B,2,FALSE),1),"")</f>
        <v/>
      </c>
      <c r="F4703" s="25">
        <v>0</v>
      </c>
      <c r="G4703" s="28" t="str">
        <f>IF(LEFT(D4703,6)="CLIENT",IF(E4703=0,WORKDAY(A4703-1,1,Dias_Sem_Compensacao!$A$2:$A$500),WORKDAY(A4703,E4703,Dias_Sem_Compensacao!$A$2:$A$500)),"")</f>
        <v/>
      </c>
      <c r="H4703" s="25">
        <v>43.36</v>
      </c>
      <c r="I4703" s="28">
        <v>46315</v>
      </c>
      <c r="J4703" t="s">
        <v>4446</v>
      </c>
      <c r="K4703" t="s">
        <v>4448</v>
      </c>
    </row>
    <row r="4704" spans="1:11" hidden="1">
      <c r="A4704" s="28">
        <v>46315</v>
      </c>
      <c r="B4704" t="s">
        <v>4446</v>
      </c>
      <c r="C4704" t="s">
        <v>4447</v>
      </c>
      <c r="D4704" t="s">
        <v>4432</v>
      </c>
      <c r="E4704" t="str">
        <f>IF(LEFT(D4704,6)="CLIENT",IFERROR(VLOOKUP(C4704,Config_Carteiras!$A:$B,2,FALSE),1),"")</f>
        <v/>
      </c>
      <c r="F4704" s="25">
        <v>0</v>
      </c>
      <c r="G4704" s="28" t="str">
        <f>IF(LEFT(D4704,6)="CLIENT",IF(E4704=0,WORKDAY(A4704-1,1,Dias_Sem_Compensacao!$A$2:$A$500),WORKDAY(A4704,E4704,Dias_Sem_Compensacao!$A$2:$A$500)),"")</f>
        <v/>
      </c>
      <c r="H4704" s="25">
        <v>94.79</v>
      </c>
      <c r="I4704" s="28">
        <v>46315</v>
      </c>
      <c r="K4704" t="s">
        <v>4449</v>
      </c>
    </row>
    <row r="4705" spans="1:11" hidden="1">
      <c r="A4705" s="28">
        <v>46315</v>
      </c>
      <c r="B4705" t="s">
        <v>4446</v>
      </c>
      <c r="C4705" t="s">
        <v>4447</v>
      </c>
      <c r="D4705" t="s">
        <v>4432</v>
      </c>
      <c r="E4705" t="str">
        <f>IF(LEFT(D4705,6)="CLIENT",IFERROR(VLOOKUP(C4705,Config_Carteiras!$A:$B,2,FALSE),1),"")</f>
        <v/>
      </c>
      <c r="F4705" s="25">
        <v>0</v>
      </c>
      <c r="G4705" s="28" t="str">
        <f>IF(LEFT(D4705,6)="CLIENT",IF(E4705=0,WORKDAY(A4705-1,1,Dias_Sem_Compensacao!$A$2:$A$500),WORKDAY(A4705,E4705,Dias_Sem_Compensacao!$A$2:$A$500)),"")</f>
        <v/>
      </c>
      <c r="H4705" s="25">
        <v>420</v>
      </c>
      <c r="I4705" s="28">
        <v>46315</v>
      </c>
      <c r="K4705" t="s">
        <v>4450</v>
      </c>
    </row>
    <row r="4706" spans="1:11" hidden="1">
      <c r="A4706" s="28">
        <v>46315</v>
      </c>
      <c r="B4706" t="s">
        <v>4446</v>
      </c>
      <c r="C4706" t="s">
        <v>4447</v>
      </c>
      <c r="D4706" t="s">
        <v>4432</v>
      </c>
      <c r="E4706" t="str">
        <f>IF(LEFT(D4706,6)="CLIENT",IFERROR(VLOOKUP(C4706,Config_Carteiras!$A:$B,2,FALSE),1),"")</f>
        <v/>
      </c>
      <c r="F4706" s="25">
        <v>0</v>
      </c>
      <c r="G4706" s="28" t="str">
        <f>IF(LEFT(D4706,6)="CLIENT",IF(E4706=0,WORKDAY(A4706-1,1,Dias_Sem_Compensacao!$A$2:$A$500),WORKDAY(A4706,E4706,Dias_Sem_Compensacao!$A$2:$A$500)),"")</f>
        <v/>
      </c>
      <c r="H4706" s="25">
        <v>162.43</v>
      </c>
      <c r="I4706" s="28">
        <v>46315</v>
      </c>
      <c r="K4706" t="s">
        <v>4451</v>
      </c>
    </row>
    <row r="4707" spans="1:11" hidden="1">
      <c r="A4707" s="28">
        <v>46315</v>
      </c>
      <c r="B4707" t="s">
        <v>4446</v>
      </c>
      <c r="C4707" t="s">
        <v>4447</v>
      </c>
      <c r="D4707" t="s">
        <v>4432</v>
      </c>
      <c r="E4707" t="str">
        <f>IF(LEFT(D4707,6)="CLIENT",IFERROR(VLOOKUP(C4707,Config_Carteiras!$A:$B,2,FALSE),1),"")</f>
        <v/>
      </c>
      <c r="F4707" s="25">
        <v>0</v>
      </c>
      <c r="G4707" s="28" t="str">
        <f>IF(LEFT(D4707,6)="CLIENT",IF(E4707=0,WORKDAY(A4707-1,1,Dias_Sem_Compensacao!$A$2:$A$500),WORKDAY(A4707,E4707,Dias_Sem_Compensacao!$A$2:$A$500)),"")</f>
        <v/>
      </c>
      <c r="H4707" s="25">
        <v>17.66</v>
      </c>
      <c r="I4707" s="28">
        <v>46315</v>
      </c>
      <c r="K4707" t="s">
        <v>4452</v>
      </c>
    </row>
    <row r="4708" spans="1:11" hidden="1">
      <c r="A4708" s="28">
        <v>46315</v>
      </c>
      <c r="B4708" t="s">
        <v>4446</v>
      </c>
      <c r="C4708" t="s">
        <v>4447</v>
      </c>
      <c r="D4708" t="s">
        <v>4432</v>
      </c>
      <c r="E4708" t="str">
        <f>IF(LEFT(D4708,6)="CLIENT",IFERROR(VLOOKUP(C4708,Config_Carteiras!$A:$B,2,FALSE),1),"")</f>
        <v/>
      </c>
      <c r="F4708" s="25">
        <v>0</v>
      </c>
      <c r="G4708" s="28" t="str">
        <f>IF(LEFT(D4708,6)="CLIENT",IF(E4708=0,WORKDAY(A4708-1,1,Dias_Sem_Compensacao!$A$2:$A$500),WORKDAY(A4708,E4708,Dias_Sem_Compensacao!$A$2:$A$500)),"")</f>
        <v/>
      </c>
      <c r="H4708" s="25">
        <v>57.94</v>
      </c>
      <c r="I4708" s="28">
        <v>46315</v>
      </c>
      <c r="K4708" t="s">
        <v>145</v>
      </c>
    </row>
    <row r="4709" spans="1:11" hidden="1">
      <c r="A4709" s="28">
        <v>46315</v>
      </c>
      <c r="B4709" t="s">
        <v>4446</v>
      </c>
      <c r="C4709" t="s">
        <v>4447</v>
      </c>
      <c r="D4709" t="s">
        <v>4432</v>
      </c>
      <c r="E4709" t="str">
        <f>IF(LEFT(D4709,6)="CLIENT",IFERROR(VLOOKUP(C4709,Config_Carteiras!$A:$B,2,FALSE),1),"")</f>
        <v/>
      </c>
      <c r="F4709" s="25">
        <v>0</v>
      </c>
      <c r="G4709" s="28" t="str">
        <f>IF(LEFT(D4709,6)="CLIENT",IF(E4709=0,WORKDAY(A4709-1,1,Dias_Sem_Compensacao!$A$2:$A$500),WORKDAY(A4709,E4709,Dias_Sem_Compensacao!$A$2:$A$500)),"")</f>
        <v/>
      </c>
      <c r="H4709" s="25">
        <v>15.59</v>
      </c>
      <c r="I4709" s="28">
        <v>46315</v>
      </c>
      <c r="K4709" t="s">
        <v>4453</v>
      </c>
    </row>
    <row r="4710" spans="1:11" hidden="1">
      <c r="A4710" s="28">
        <v>46315</v>
      </c>
      <c r="B4710" t="s">
        <v>4446</v>
      </c>
      <c r="C4710" t="s">
        <v>4447</v>
      </c>
      <c r="D4710" t="s">
        <v>4432</v>
      </c>
      <c r="E4710" t="str">
        <f>IF(LEFT(D4710,6)="CLIENT",IFERROR(VLOOKUP(C4710,Config_Carteiras!$A:$B,2,FALSE),1),"")</f>
        <v/>
      </c>
      <c r="F4710" s="25">
        <v>0</v>
      </c>
      <c r="G4710" s="28" t="str">
        <f>IF(LEFT(D4710,6)="CLIENT",IF(E4710=0,WORKDAY(A4710-1,1,Dias_Sem_Compensacao!$A$2:$A$500),WORKDAY(A4710,E4710,Dias_Sem_Compensacao!$A$2:$A$500)),"")</f>
        <v/>
      </c>
      <c r="H4710" s="25">
        <v>36.270000000000003</v>
      </c>
      <c r="I4710" s="28">
        <v>46315</v>
      </c>
      <c r="K4710" t="s">
        <v>4454</v>
      </c>
    </row>
    <row r="4711" spans="1:11" hidden="1">
      <c r="A4711" s="28">
        <v>46315</v>
      </c>
      <c r="B4711" t="s">
        <v>4446</v>
      </c>
      <c r="C4711" t="s">
        <v>4447</v>
      </c>
      <c r="D4711" t="s">
        <v>4432</v>
      </c>
      <c r="E4711" t="str">
        <f>IF(LEFT(D4711,6)="CLIENT",IFERROR(VLOOKUP(C4711,Config_Carteiras!$A:$B,2,FALSE),1),"")</f>
        <v/>
      </c>
      <c r="F4711" s="25">
        <v>0</v>
      </c>
      <c r="G4711" s="28" t="str">
        <f>IF(LEFT(D4711,6)="CLIENT",IF(E4711=0,WORKDAY(A4711-1,1,Dias_Sem_Compensacao!$A$2:$A$500),WORKDAY(A4711,E4711,Dias_Sem_Compensacao!$A$2:$A$500)),"")</f>
        <v/>
      </c>
      <c r="H4711" s="25">
        <v>302.23</v>
      </c>
      <c r="I4711" s="28">
        <v>46315</v>
      </c>
      <c r="K4711" t="s">
        <v>4455</v>
      </c>
    </row>
    <row r="4712" spans="1:11" hidden="1">
      <c r="A4712" s="28">
        <v>46315</v>
      </c>
      <c r="B4712" t="s">
        <v>4446</v>
      </c>
      <c r="C4712" t="s">
        <v>4447</v>
      </c>
      <c r="D4712" t="s">
        <v>4432</v>
      </c>
      <c r="E4712" t="str">
        <f>IF(LEFT(D4712,6)="CLIENT",IFERROR(VLOOKUP(C4712,Config_Carteiras!$A:$B,2,FALSE),1),"")</f>
        <v/>
      </c>
      <c r="F4712" s="25">
        <v>0</v>
      </c>
      <c r="G4712" s="28" t="str">
        <f>IF(LEFT(D4712,6)="CLIENT",IF(E4712=0,WORKDAY(A4712-1,1,Dias_Sem_Compensacao!$A$2:$A$500),WORKDAY(A4712,E4712,Dias_Sem_Compensacao!$A$2:$A$500)),"")</f>
        <v/>
      </c>
      <c r="H4712" s="25">
        <v>14.63</v>
      </c>
      <c r="I4712" s="28">
        <v>46315</v>
      </c>
      <c r="K4712" t="s">
        <v>4456</v>
      </c>
    </row>
    <row r="4713" spans="1:11" hidden="1">
      <c r="A4713" s="28">
        <v>46315</v>
      </c>
      <c r="B4713" t="s">
        <v>4446</v>
      </c>
      <c r="C4713" t="s">
        <v>4447</v>
      </c>
      <c r="D4713" t="s">
        <v>4432</v>
      </c>
      <c r="E4713" t="str">
        <f>IF(LEFT(D4713,6)="CLIENT",IFERROR(VLOOKUP(C4713,Config_Carteiras!$A:$B,2,FALSE),1),"")</f>
        <v/>
      </c>
      <c r="F4713" s="25">
        <v>0</v>
      </c>
      <c r="G4713" s="28" t="str">
        <f>IF(LEFT(D4713,6)="CLIENT",IF(E4713=0,WORKDAY(A4713-1,1,Dias_Sem_Compensacao!$A$2:$A$500),WORKDAY(A4713,E4713,Dias_Sem_Compensacao!$A$2:$A$500)),"")</f>
        <v/>
      </c>
      <c r="H4713" s="25">
        <v>42.41</v>
      </c>
      <c r="I4713" s="28">
        <v>46315</v>
      </c>
      <c r="K4713" t="s">
        <v>4457</v>
      </c>
    </row>
    <row r="4714" spans="1:11" hidden="1">
      <c r="A4714" s="28">
        <v>46315</v>
      </c>
      <c r="B4714" t="s">
        <v>4446</v>
      </c>
      <c r="C4714" t="s">
        <v>4447</v>
      </c>
      <c r="D4714" t="s">
        <v>4432</v>
      </c>
      <c r="E4714" t="str">
        <f>IF(LEFT(D4714,6)="CLIENT",IFERROR(VLOOKUP(C4714,Config_Carteiras!$A:$B,2,FALSE),1),"")</f>
        <v/>
      </c>
      <c r="F4714" s="25">
        <v>0</v>
      </c>
      <c r="G4714" s="28" t="str">
        <f>IF(LEFT(D4714,6)="CLIENT",IF(E4714=0,WORKDAY(A4714-1,1,Dias_Sem_Compensacao!$A$2:$A$500),WORKDAY(A4714,E4714,Dias_Sem_Compensacao!$A$2:$A$500)),"")</f>
        <v/>
      </c>
      <c r="H4714" s="25">
        <v>75</v>
      </c>
      <c r="I4714" s="28">
        <v>46315</v>
      </c>
      <c r="K4714" t="s">
        <v>4458</v>
      </c>
    </row>
    <row r="4715" spans="1:11" hidden="1">
      <c r="A4715" s="28">
        <v>46315</v>
      </c>
      <c r="B4715" t="s">
        <v>4446</v>
      </c>
      <c r="C4715" t="s">
        <v>4447</v>
      </c>
      <c r="D4715" t="s">
        <v>4432</v>
      </c>
      <c r="E4715" t="str">
        <f>IF(LEFT(D4715,6)="CLIENT",IFERROR(VLOOKUP(C4715,Config_Carteiras!$A:$B,2,FALSE),1),"")</f>
        <v/>
      </c>
      <c r="F4715" s="25">
        <v>0</v>
      </c>
      <c r="G4715" s="28" t="str">
        <f>IF(LEFT(D4715,6)="CLIENT",IF(E4715=0,WORKDAY(A4715-1,1,Dias_Sem_Compensacao!$A$2:$A$500),WORKDAY(A4715,E4715,Dias_Sem_Compensacao!$A$2:$A$500)),"")</f>
        <v/>
      </c>
      <c r="H4715" s="25">
        <v>90.87</v>
      </c>
      <c r="I4715" s="28">
        <v>46315</v>
      </c>
      <c r="K4715" t="s">
        <v>4459</v>
      </c>
    </row>
    <row r="4716" spans="1:11" hidden="1">
      <c r="A4716" s="28">
        <v>46315</v>
      </c>
      <c r="B4716" t="s">
        <v>4446</v>
      </c>
      <c r="C4716" t="s">
        <v>4447</v>
      </c>
      <c r="D4716" t="s">
        <v>4432</v>
      </c>
      <c r="E4716" t="str">
        <f>IF(LEFT(D4716,6)="CLIENT",IFERROR(VLOOKUP(C4716,Config_Carteiras!$A:$B,2,FALSE),1),"")</f>
        <v/>
      </c>
      <c r="F4716" s="25">
        <v>0</v>
      </c>
      <c r="G4716" s="28" t="str">
        <f>IF(LEFT(D4716,6)="CLIENT",IF(E4716=0,WORKDAY(A4716-1,1,Dias_Sem_Compensacao!$A$2:$A$500),WORKDAY(A4716,E4716,Dias_Sem_Compensacao!$A$2:$A$500)),"")</f>
        <v/>
      </c>
      <c r="H4716" s="25">
        <v>20.04</v>
      </c>
      <c r="I4716" s="28">
        <v>46315</v>
      </c>
      <c r="K4716" t="s">
        <v>4460</v>
      </c>
    </row>
    <row r="4717" spans="1:11" hidden="1">
      <c r="A4717" s="28">
        <v>46315</v>
      </c>
      <c r="B4717" t="s">
        <v>4446</v>
      </c>
      <c r="C4717" t="s">
        <v>4447</v>
      </c>
      <c r="D4717" t="s">
        <v>4432</v>
      </c>
      <c r="E4717" t="str">
        <f>IF(LEFT(D4717,6)="CLIENT",IFERROR(VLOOKUP(C4717,Config_Carteiras!$A:$B,2,FALSE),1),"")</f>
        <v/>
      </c>
      <c r="F4717" s="25">
        <v>0</v>
      </c>
      <c r="G4717" s="28" t="str">
        <f>IF(LEFT(D4717,6)="CLIENT",IF(E4717=0,WORKDAY(A4717-1,1,Dias_Sem_Compensacao!$A$2:$A$500),WORKDAY(A4717,E4717,Dias_Sem_Compensacao!$A$2:$A$500)),"")</f>
        <v/>
      </c>
      <c r="H4717" s="25">
        <v>12.32</v>
      </c>
      <c r="I4717" s="28">
        <v>46315</v>
      </c>
      <c r="K4717" t="s">
        <v>4461</v>
      </c>
    </row>
    <row r="4718" spans="1:11" hidden="1">
      <c r="A4718" s="28">
        <v>46315</v>
      </c>
      <c r="B4718" t="s">
        <v>4446</v>
      </c>
      <c r="C4718" t="s">
        <v>4447</v>
      </c>
      <c r="D4718" t="s">
        <v>4432</v>
      </c>
      <c r="E4718" t="str">
        <f>IF(LEFT(D4718,6)="CLIENT",IFERROR(VLOOKUP(C4718,Config_Carteiras!$A:$B,2,FALSE),1),"")</f>
        <v/>
      </c>
      <c r="F4718" s="25">
        <v>0</v>
      </c>
      <c r="G4718" s="28" t="str">
        <f>IF(LEFT(D4718,6)="CLIENT",IF(E4718=0,WORKDAY(A4718-1,1,Dias_Sem_Compensacao!$A$2:$A$500),WORKDAY(A4718,E4718,Dias_Sem_Compensacao!$A$2:$A$500)),"")</f>
        <v/>
      </c>
      <c r="H4718" s="25">
        <v>121.38</v>
      </c>
      <c r="I4718" s="28">
        <v>46315</v>
      </c>
      <c r="K4718" t="s">
        <v>4255</v>
      </c>
    </row>
    <row r="4719" spans="1:11" hidden="1">
      <c r="A4719" s="28">
        <v>46315</v>
      </c>
      <c r="B4719" t="s">
        <v>4446</v>
      </c>
      <c r="C4719" t="s">
        <v>4447</v>
      </c>
      <c r="D4719" t="s">
        <v>4432</v>
      </c>
      <c r="E4719" t="str">
        <f>IF(LEFT(D4719,6)="CLIENT",IFERROR(VLOOKUP(C4719,Config_Carteiras!$A:$B,2,FALSE),1),"")</f>
        <v/>
      </c>
      <c r="F4719" s="25">
        <v>0</v>
      </c>
      <c r="G4719" s="28" t="str">
        <f>IF(LEFT(D4719,6)="CLIENT",IF(E4719=0,WORKDAY(A4719-1,1,Dias_Sem_Compensacao!$A$2:$A$500),WORKDAY(A4719,E4719,Dias_Sem_Compensacao!$A$2:$A$500)),"")</f>
        <v/>
      </c>
      <c r="H4719" s="25">
        <v>19.899999999999999</v>
      </c>
      <c r="I4719" s="28">
        <v>46315</v>
      </c>
      <c r="K4719" t="s">
        <v>3492</v>
      </c>
    </row>
    <row r="4720" spans="1:11" hidden="1">
      <c r="A4720" s="28">
        <v>46315</v>
      </c>
      <c r="B4720" t="s">
        <v>4446</v>
      </c>
      <c r="C4720" t="s">
        <v>4447</v>
      </c>
      <c r="D4720" t="s">
        <v>4432</v>
      </c>
      <c r="E4720" t="str">
        <f>IF(LEFT(D4720,6)="CLIENT",IFERROR(VLOOKUP(C4720,Config_Carteiras!$A:$B,2,FALSE),1),"")</f>
        <v/>
      </c>
      <c r="F4720" s="25">
        <v>0</v>
      </c>
      <c r="G4720" s="28" t="str">
        <f>IF(LEFT(D4720,6)="CLIENT",IF(E4720=0,WORKDAY(A4720-1,1,Dias_Sem_Compensacao!$A$2:$A$500),WORKDAY(A4720,E4720,Dias_Sem_Compensacao!$A$2:$A$500)),"")</f>
        <v/>
      </c>
      <c r="H4720" s="25">
        <v>13.84</v>
      </c>
      <c r="I4720" s="28">
        <v>46315</v>
      </c>
      <c r="K4720" t="s">
        <v>154</v>
      </c>
    </row>
    <row r="4721" spans="1:11" hidden="1">
      <c r="A4721" s="28">
        <v>46315</v>
      </c>
      <c r="B4721" t="s">
        <v>4446</v>
      </c>
      <c r="C4721" t="s">
        <v>4447</v>
      </c>
      <c r="D4721" t="s">
        <v>4432</v>
      </c>
      <c r="E4721" t="str">
        <f>IF(LEFT(D4721,6)="CLIENT",IFERROR(VLOOKUP(C4721,Config_Carteiras!$A:$B,2,FALSE),1),"")</f>
        <v/>
      </c>
      <c r="F4721" s="25">
        <v>0</v>
      </c>
      <c r="G4721" s="28" t="str">
        <f>IF(LEFT(D4721,6)="CLIENT",IF(E4721=0,WORKDAY(A4721-1,1,Dias_Sem_Compensacao!$A$2:$A$500),WORKDAY(A4721,E4721,Dias_Sem_Compensacao!$A$2:$A$500)),"")</f>
        <v/>
      </c>
      <c r="H4721" s="25">
        <v>35.159999999999997</v>
      </c>
      <c r="I4721" s="28">
        <v>46315</v>
      </c>
      <c r="K4721" t="s">
        <v>4462</v>
      </c>
    </row>
    <row r="4722" spans="1:11" hidden="1">
      <c r="A4722" s="28">
        <v>46315</v>
      </c>
      <c r="B4722" t="s">
        <v>4446</v>
      </c>
      <c r="C4722" t="s">
        <v>4447</v>
      </c>
      <c r="D4722" t="s">
        <v>4432</v>
      </c>
      <c r="E4722" t="str">
        <f>IF(LEFT(D4722,6)="CLIENT",IFERROR(VLOOKUP(C4722,Config_Carteiras!$A:$B,2,FALSE),1),"")</f>
        <v/>
      </c>
      <c r="F4722" s="25">
        <v>0</v>
      </c>
      <c r="G4722" s="28" t="str">
        <f>IF(LEFT(D4722,6)="CLIENT",IF(E4722=0,WORKDAY(A4722-1,1,Dias_Sem_Compensacao!$A$2:$A$500),WORKDAY(A4722,E4722,Dias_Sem_Compensacao!$A$2:$A$500)),"")</f>
        <v/>
      </c>
      <c r="H4722" s="25">
        <v>5.32</v>
      </c>
      <c r="I4722" s="28">
        <v>46315</v>
      </c>
      <c r="K4722" t="s">
        <v>4463</v>
      </c>
    </row>
    <row r="4723" spans="1:11" hidden="1">
      <c r="A4723" s="28">
        <v>46315</v>
      </c>
      <c r="B4723" t="s">
        <v>4446</v>
      </c>
      <c r="C4723" t="s">
        <v>4447</v>
      </c>
      <c r="D4723" t="s">
        <v>4432</v>
      </c>
      <c r="E4723" t="str">
        <f>IF(LEFT(D4723,6)="CLIENT",IFERROR(VLOOKUP(C4723,Config_Carteiras!$A:$B,2,FALSE),1),"")</f>
        <v/>
      </c>
      <c r="F4723" s="25">
        <v>0</v>
      </c>
      <c r="G4723" s="28" t="str">
        <f>IF(LEFT(D4723,6)="CLIENT",IF(E4723=0,WORKDAY(A4723-1,1,Dias_Sem_Compensacao!$A$2:$A$500),WORKDAY(A4723,E4723,Dias_Sem_Compensacao!$A$2:$A$500)),"")</f>
        <v/>
      </c>
      <c r="H4723" s="25">
        <v>119.44</v>
      </c>
      <c r="I4723" s="28">
        <v>46315</v>
      </c>
      <c r="K4723" t="s">
        <v>64</v>
      </c>
    </row>
    <row r="4724" spans="1:11" hidden="1">
      <c r="A4724" s="28">
        <v>46315</v>
      </c>
      <c r="B4724" t="s">
        <v>4446</v>
      </c>
      <c r="C4724" t="s">
        <v>4447</v>
      </c>
      <c r="D4724" t="s">
        <v>4432</v>
      </c>
      <c r="E4724" t="str">
        <f>IF(LEFT(D4724,6)="CLIENT",IFERROR(VLOOKUP(C4724,Config_Carteiras!$A:$B,2,FALSE),1),"")</f>
        <v/>
      </c>
      <c r="F4724" s="25">
        <v>0</v>
      </c>
      <c r="G4724" s="28" t="str">
        <f>IF(LEFT(D4724,6)="CLIENT",IF(E4724=0,WORKDAY(A4724-1,1,Dias_Sem_Compensacao!$A$2:$A$500),WORKDAY(A4724,E4724,Dias_Sem_Compensacao!$A$2:$A$500)),"")</f>
        <v/>
      </c>
      <c r="H4724" s="25">
        <v>35.81</v>
      </c>
      <c r="I4724" s="28">
        <v>46315</v>
      </c>
      <c r="K4724" t="s">
        <v>4464</v>
      </c>
    </row>
    <row r="4725" spans="1:11" hidden="1">
      <c r="A4725" s="28">
        <v>46315</v>
      </c>
      <c r="B4725" t="s">
        <v>4446</v>
      </c>
      <c r="C4725" t="s">
        <v>4447</v>
      </c>
      <c r="D4725" t="s">
        <v>4432</v>
      </c>
      <c r="E4725" t="str">
        <f>IF(LEFT(D4725,6)="CLIENT",IFERROR(VLOOKUP(C4725,Config_Carteiras!$A:$B,2,FALSE),1),"")</f>
        <v/>
      </c>
      <c r="F4725" s="25">
        <v>0</v>
      </c>
      <c r="G4725" s="28" t="str">
        <f>IF(LEFT(D4725,6)="CLIENT",IF(E4725=0,WORKDAY(A4725-1,1,Dias_Sem_Compensacao!$A$2:$A$500),WORKDAY(A4725,E4725,Dias_Sem_Compensacao!$A$2:$A$500)),"")</f>
        <v/>
      </c>
      <c r="H4725" s="25">
        <v>57.68</v>
      </c>
      <c r="I4725" s="28">
        <v>46315</v>
      </c>
      <c r="K4725" t="s">
        <v>4465</v>
      </c>
    </row>
    <row r="4726" spans="1:11" hidden="1">
      <c r="A4726" s="28">
        <v>46315</v>
      </c>
      <c r="B4726" t="s">
        <v>4446</v>
      </c>
      <c r="C4726" t="s">
        <v>4447</v>
      </c>
      <c r="D4726" t="s">
        <v>4432</v>
      </c>
      <c r="E4726" t="str">
        <f>IF(LEFT(D4726,6)="CLIENT",IFERROR(VLOOKUP(C4726,Config_Carteiras!$A:$B,2,FALSE),1),"")</f>
        <v/>
      </c>
      <c r="F4726" s="25">
        <v>0</v>
      </c>
      <c r="G4726" s="28" t="str">
        <f>IF(LEFT(D4726,6)="CLIENT",IF(E4726=0,WORKDAY(A4726-1,1,Dias_Sem_Compensacao!$A$2:$A$500),WORKDAY(A4726,E4726,Dias_Sem_Compensacao!$A$2:$A$500)),"")</f>
        <v/>
      </c>
      <c r="H4726" s="25">
        <v>134.94999999999999</v>
      </c>
      <c r="I4726" s="28">
        <v>46315</v>
      </c>
      <c r="K4726" t="s">
        <v>4466</v>
      </c>
    </row>
    <row r="4727" spans="1:11" hidden="1">
      <c r="A4727" s="28">
        <v>46315</v>
      </c>
      <c r="B4727" t="s">
        <v>4446</v>
      </c>
      <c r="C4727" t="s">
        <v>4447</v>
      </c>
      <c r="D4727" t="s">
        <v>4432</v>
      </c>
      <c r="E4727" t="str">
        <f>IF(LEFT(D4727,6)="CLIENT",IFERROR(VLOOKUP(C4727,Config_Carteiras!$A:$B,2,FALSE),1),"")</f>
        <v/>
      </c>
      <c r="F4727" s="25">
        <v>0</v>
      </c>
      <c r="G4727" s="28" t="str">
        <f>IF(LEFT(D4727,6)="CLIENT",IF(E4727=0,WORKDAY(A4727-1,1,Dias_Sem_Compensacao!$A$2:$A$500),WORKDAY(A4727,E4727,Dias_Sem_Compensacao!$A$2:$A$500)),"")</f>
        <v/>
      </c>
      <c r="H4727" s="25">
        <v>8.57</v>
      </c>
      <c r="I4727" s="28">
        <v>46315</v>
      </c>
      <c r="K4727" t="s">
        <v>4467</v>
      </c>
    </row>
    <row r="4728" spans="1:11" hidden="1">
      <c r="A4728" s="28">
        <v>46295</v>
      </c>
      <c r="B4728" t="s">
        <v>179</v>
      </c>
      <c r="C4728" t="s">
        <v>4468</v>
      </c>
      <c r="D4728" t="s">
        <v>4432</v>
      </c>
      <c r="E4728" t="str">
        <f>IF(LEFT(D4728,6)="CLIENT",IFERROR(VLOOKUP(C4728,Config_Carteiras!$A:$B,2,FALSE),1),"")</f>
        <v/>
      </c>
      <c r="F4728" s="25">
        <v>0</v>
      </c>
      <c r="G4728" s="28" t="str">
        <f>IF(LEFT(D4728,6)="CLIENT",IF(E4728=0,WORKDAY(A4728-1,1,Dias_Sem_Compensacao!$A$2:$A$500),WORKDAY(A4728,E4728,Dias_Sem_Compensacao!$A$2:$A$500)),"")</f>
        <v/>
      </c>
      <c r="H4728" s="25">
        <v>90.57</v>
      </c>
      <c r="I4728" s="28">
        <v>46295</v>
      </c>
      <c r="J4728" t="s">
        <v>179</v>
      </c>
      <c r="K4728" t="s">
        <v>178</v>
      </c>
    </row>
    <row r="4729" spans="1:11" hidden="1">
      <c r="A4729" s="28">
        <v>46295</v>
      </c>
      <c r="B4729" t="s">
        <v>179</v>
      </c>
      <c r="C4729" t="s">
        <v>4468</v>
      </c>
      <c r="D4729" t="s">
        <v>4432</v>
      </c>
      <c r="E4729" t="str">
        <f>IF(LEFT(D4729,6)="CLIENT",IFERROR(VLOOKUP(C4729,Config_Carteiras!$A:$B,2,FALSE),1),"")</f>
        <v/>
      </c>
      <c r="F4729" s="25">
        <v>0</v>
      </c>
      <c r="G4729" s="28" t="str">
        <f>IF(LEFT(D4729,6)="CLIENT",IF(E4729=0,WORKDAY(A4729-1,1,Dias_Sem_Compensacao!$A$2:$A$500),WORKDAY(A4729,E4729,Dias_Sem_Compensacao!$A$2:$A$500)),"")</f>
        <v/>
      </c>
      <c r="H4729" s="25">
        <v>12.5</v>
      </c>
      <c r="I4729" s="28">
        <v>46295</v>
      </c>
      <c r="K4729" t="s">
        <v>176</v>
      </c>
    </row>
    <row r="4730" spans="1:11" hidden="1">
      <c r="A4730" s="28">
        <v>46295</v>
      </c>
      <c r="B4730" t="s">
        <v>179</v>
      </c>
      <c r="C4730" t="s">
        <v>4468</v>
      </c>
      <c r="D4730" t="s">
        <v>4432</v>
      </c>
      <c r="E4730" t="str">
        <f>IF(LEFT(D4730,6)="CLIENT",IFERROR(VLOOKUP(C4730,Config_Carteiras!$A:$B,2,FALSE),1),"")</f>
        <v/>
      </c>
      <c r="F4730" s="25">
        <v>0</v>
      </c>
      <c r="G4730" s="28" t="str">
        <f>IF(LEFT(D4730,6)="CLIENT",IF(E4730=0,WORKDAY(A4730-1,1,Dias_Sem_Compensacao!$A$2:$A$500),WORKDAY(A4730,E4730,Dias_Sem_Compensacao!$A$2:$A$500)),"")</f>
        <v/>
      </c>
      <c r="H4730" s="25">
        <v>15.2</v>
      </c>
      <c r="I4730" s="28">
        <v>46295</v>
      </c>
      <c r="K4730" t="s">
        <v>177</v>
      </c>
    </row>
    <row r="4731" spans="1:11" hidden="1">
      <c r="A4731" s="28">
        <v>46321</v>
      </c>
      <c r="B4731" t="s">
        <v>4469</v>
      </c>
      <c r="C4731" t="s">
        <v>4470</v>
      </c>
      <c r="D4731" t="s">
        <v>4432</v>
      </c>
      <c r="E4731" t="str">
        <f>IF(LEFT(D4731,6)="CLIENT",IFERROR(VLOOKUP(C4731,Config_Carteiras!$A:$B,2,FALSE),1),"")</f>
        <v/>
      </c>
      <c r="F4731" s="25">
        <v>0</v>
      </c>
      <c r="G4731" s="28" t="str">
        <f>IF(LEFT(D4731,6)="CLIENT",IF(E4731=0,WORKDAY(A4731-1,1,Dias_Sem_Compensacao!$A$2:$A$500),WORKDAY(A4731,E4731,Dias_Sem_Compensacao!$A$2:$A$500)),"")</f>
        <v/>
      </c>
      <c r="H4731" s="25">
        <v>5870.54</v>
      </c>
      <c r="I4731" s="28">
        <v>46321</v>
      </c>
      <c r="J4731" t="s">
        <v>4471</v>
      </c>
      <c r="K4731" t="s">
        <v>4472</v>
      </c>
    </row>
    <row r="4732" spans="1:11" hidden="1">
      <c r="A4732" s="28">
        <v>46351</v>
      </c>
      <c r="B4732" t="s">
        <v>4469</v>
      </c>
      <c r="C4732" t="s">
        <v>4470</v>
      </c>
      <c r="D4732" t="s">
        <v>4432</v>
      </c>
      <c r="E4732" t="str">
        <f>IF(LEFT(D4732,6)="CLIENT",IFERROR(VLOOKUP(C4732,Config_Carteiras!$A:$B,2,FALSE),1),"")</f>
        <v/>
      </c>
      <c r="F4732" s="25">
        <v>0</v>
      </c>
      <c r="G4732" s="28" t="str">
        <f>IF(LEFT(D4732,6)="CLIENT",IF(E4732=0,WORKDAY(A4732-1,1,Dias_Sem_Compensacao!$A$2:$A$500),WORKDAY(A4732,E4732,Dias_Sem_Compensacao!$A$2:$A$500)),"")</f>
        <v/>
      </c>
      <c r="H4732" s="25">
        <v>5870.54</v>
      </c>
      <c r="I4732" s="28">
        <v>46351</v>
      </c>
      <c r="J4732" t="s">
        <v>4471</v>
      </c>
      <c r="K4732" t="s">
        <v>4472</v>
      </c>
    </row>
    <row r="4733" spans="1:11" hidden="1">
      <c r="A4733" s="28">
        <v>46380</v>
      </c>
      <c r="B4733" t="s">
        <v>4469</v>
      </c>
      <c r="C4733" t="s">
        <v>4470</v>
      </c>
      <c r="D4733" t="s">
        <v>4432</v>
      </c>
      <c r="E4733" t="str">
        <f>IF(LEFT(D4733,6)="CLIENT",IFERROR(VLOOKUP(C4733,Config_Carteiras!$A:$B,2,FALSE),1),"")</f>
        <v/>
      </c>
      <c r="F4733" s="25">
        <v>0</v>
      </c>
      <c r="G4733" s="28" t="str">
        <f>IF(LEFT(D4733,6)="CLIENT",IF(E4733=0,WORKDAY(A4733-1,1,Dias_Sem_Compensacao!$A$2:$A$500),WORKDAY(A4733,E4733,Dias_Sem_Compensacao!$A$2:$A$500)),"")</f>
        <v/>
      </c>
      <c r="H4733" s="25">
        <v>5870.54</v>
      </c>
      <c r="I4733" s="28">
        <v>46380</v>
      </c>
      <c r="J4733" t="s">
        <v>4471</v>
      </c>
      <c r="K4733" t="s">
        <v>4472</v>
      </c>
    </row>
    <row r="4734" spans="1:11" hidden="1">
      <c r="A4734" s="28">
        <v>46321</v>
      </c>
      <c r="B4734" t="s">
        <v>4473</v>
      </c>
      <c r="C4734" t="s">
        <v>4474</v>
      </c>
      <c r="D4734" t="s">
        <v>4432</v>
      </c>
      <c r="E4734" t="str">
        <f>IF(LEFT(D4734,6)="CLIENT",IFERROR(VLOOKUP(C4734,Config_Carteiras!$A:$B,2,FALSE),1),"")</f>
        <v/>
      </c>
      <c r="F4734" s="25">
        <v>0</v>
      </c>
      <c r="G4734" s="28" t="str">
        <f>IF(LEFT(D4734,6)="CLIENT",IF(E4734=0,WORKDAY(A4734-1,1,Dias_Sem_Compensacao!$A$2:$A$500),WORKDAY(A4734,E4734,Dias_Sem_Compensacao!$A$2:$A$500)),"")</f>
        <v/>
      </c>
      <c r="H4734" s="25">
        <v>1646.29</v>
      </c>
      <c r="I4734" s="28">
        <v>46321</v>
      </c>
      <c r="J4734" t="s">
        <v>4475</v>
      </c>
      <c r="K4734" t="s">
        <v>4476</v>
      </c>
    </row>
    <row r="4735" spans="1:11" hidden="1">
      <c r="A4735" s="28">
        <v>46351</v>
      </c>
      <c r="B4735" t="s">
        <v>4473</v>
      </c>
      <c r="C4735" t="s">
        <v>4474</v>
      </c>
      <c r="D4735" t="s">
        <v>4432</v>
      </c>
      <c r="E4735" t="str">
        <f>IF(LEFT(D4735,6)="CLIENT",IFERROR(VLOOKUP(C4735,Config_Carteiras!$A:$B,2,FALSE),1),"")</f>
        <v/>
      </c>
      <c r="F4735" s="25">
        <v>0</v>
      </c>
      <c r="G4735" s="28" t="str">
        <f>IF(LEFT(D4735,6)="CLIENT",IF(E4735=0,WORKDAY(A4735-1,1,Dias_Sem_Compensacao!$A$2:$A$500),WORKDAY(A4735,E4735,Dias_Sem_Compensacao!$A$2:$A$500)),"")</f>
        <v/>
      </c>
      <c r="H4735" s="25">
        <v>1646.38</v>
      </c>
      <c r="I4735" s="28">
        <v>46351</v>
      </c>
      <c r="J4735" t="s">
        <v>4475</v>
      </c>
      <c r="K4735" t="s">
        <v>4476</v>
      </c>
    </row>
    <row r="4736" spans="1:11" hidden="1">
      <c r="A4736" s="28">
        <v>46295</v>
      </c>
      <c r="B4736" t="s">
        <v>4477</v>
      </c>
      <c r="C4736" t="s">
        <v>4478</v>
      </c>
      <c r="D4736" t="s">
        <v>3462</v>
      </c>
      <c r="E4736" t="str">
        <f>IF(LEFT(D4736,6)="CLIENT",IFERROR(VLOOKUP(C4736,Config_Carteiras!$A:$B,2,FALSE),1),"")</f>
        <v/>
      </c>
      <c r="F4736" s="25">
        <v>0</v>
      </c>
      <c r="G4736" s="28" t="str">
        <f>IF(LEFT(D4736,6)="CLIENT",IF(E4736=0,WORKDAY(A4736-1,1,Dias_Sem_Compensacao!$A$2:$A$500),WORKDAY(A4736,E4736,Dias_Sem_Compensacao!$A$2:$A$500)),"")</f>
        <v/>
      </c>
      <c r="H4736" s="25">
        <v>4534.62</v>
      </c>
      <c r="I4736" s="28">
        <v>46295</v>
      </c>
      <c r="J4736" t="s">
        <v>86</v>
      </c>
      <c r="K4736" t="s">
        <v>85</v>
      </c>
    </row>
    <row r="4737" spans="1:11" hidden="1">
      <c r="A4737" s="28">
        <v>46325</v>
      </c>
      <c r="B4737" t="s">
        <v>4477</v>
      </c>
      <c r="C4737" t="s">
        <v>4478</v>
      </c>
      <c r="D4737" t="s">
        <v>3462</v>
      </c>
      <c r="E4737" t="str">
        <f>IF(LEFT(D4737,6)="CLIENT",IFERROR(VLOOKUP(C4737,Config_Carteiras!$A:$B,2,FALSE),1),"")</f>
        <v/>
      </c>
      <c r="F4737" s="25">
        <v>0</v>
      </c>
      <c r="G4737" s="28" t="str">
        <f>IF(LEFT(D4737,6)="CLIENT",IF(E4737=0,WORKDAY(A4737-1,1,Dias_Sem_Compensacao!$A$2:$A$500),WORKDAY(A4737,E4737,Dias_Sem_Compensacao!$A$2:$A$500)),"")</f>
        <v/>
      </c>
      <c r="H4737" s="25">
        <v>4534.62</v>
      </c>
      <c r="I4737" s="28">
        <v>46325</v>
      </c>
      <c r="J4737" t="s">
        <v>86</v>
      </c>
      <c r="K4737" t="s">
        <v>85</v>
      </c>
    </row>
    <row r="4738" spans="1:11" hidden="1">
      <c r="A4738" s="28">
        <v>46356</v>
      </c>
      <c r="B4738" t="s">
        <v>4477</v>
      </c>
      <c r="C4738" t="s">
        <v>4478</v>
      </c>
      <c r="D4738" t="s">
        <v>3462</v>
      </c>
      <c r="E4738" t="str">
        <f>IF(LEFT(D4738,6)="CLIENT",IFERROR(VLOOKUP(C4738,Config_Carteiras!$A:$B,2,FALSE),1),"")</f>
        <v/>
      </c>
      <c r="F4738" s="25">
        <v>0</v>
      </c>
      <c r="G4738" s="28" t="str">
        <f>IF(LEFT(D4738,6)="CLIENT",IF(E4738=0,WORKDAY(A4738-1,1,Dias_Sem_Compensacao!$A$2:$A$500),WORKDAY(A4738,E4738,Dias_Sem_Compensacao!$A$2:$A$500)),"")</f>
        <v/>
      </c>
      <c r="H4738" s="25">
        <v>4534.62</v>
      </c>
      <c r="I4738" s="28">
        <v>46356</v>
      </c>
      <c r="J4738" t="s">
        <v>86</v>
      </c>
      <c r="K4738" t="s">
        <v>85</v>
      </c>
    </row>
    <row r="4739" spans="1:11" hidden="1">
      <c r="A4739" s="28">
        <v>46386</v>
      </c>
      <c r="B4739" t="s">
        <v>4477</v>
      </c>
      <c r="C4739" t="s">
        <v>4478</v>
      </c>
      <c r="D4739" t="s">
        <v>3462</v>
      </c>
      <c r="E4739" t="str">
        <f>IF(LEFT(D4739,6)="CLIENT",IFERROR(VLOOKUP(C4739,Config_Carteiras!$A:$B,2,FALSE),1),"")</f>
        <v/>
      </c>
      <c r="F4739" s="25">
        <v>0</v>
      </c>
      <c r="G4739" s="28" t="str">
        <f>IF(LEFT(D4739,6)="CLIENT",IF(E4739=0,WORKDAY(A4739-1,1,Dias_Sem_Compensacao!$A$2:$A$500),WORKDAY(A4739,E4739,Dias_Sem_Compensacao!$A$2:$A$500)),"")</f>
        <v/>
      </c>
      <c r="H4739" s="25">
        <v>4534.62</v>
      </c>
      <c r="I4739" s="28">
        <v>46386</v>
      </c>
      <c r="J4739" t="s">
        <v>86</v>
      </c>
      <c r="K4739" t="s">
        <v>85</v>
      </c>
    </row>
    <row r="4740" spans="1:11" hidden="1">
      <c r="A4740" s="28">
        <v>46314</v>
      </c>
      <c r="B4740" t="s">
        <v>4479</v>
      </c>
      <c r="C4740" t="s">
        <v>4480</v>
      </c>
      <c r="D4740" t="s">
        <v>3462</v>
      </c>
      <c r="E4740" t="str">
        <f>IF(LEFT(D4740,6)="CLIENT",IFERROR(VLOOKUP(C4740,Config_Carteiras!$A:$B,2,FALSE),1),"")</f>
        <v/>
      </c>
      <c r="F4740" s="25">
        <v>0</v>
      </c>
      <c r="G4740" s="28" t="str">
        <f>IF(LEFT(D4740,6)="CLIENT",IF(E4740=0,WORKDAY(A4740-1,1,Dias_Sem_Compensacao!$A$2:$A$500),WORKDAY(A4740,E4740,Dias_Sem_Compensacao!$A$2:$A$500)),"")</f>
        <v/>
      </c>
      <c r="H4740" s="25">
        <v>1089.53</v>
      </c>
      <c r="I4740" s="28">
        <v>46314</v>
      </c>
      <c r="J4740" t="s">
        <v>4481</v>
      </c>
      <c r="K4740" t="s">
        <v>4482</v>
      </c>
    </row>
    <row r="4741" spans="1:11" hidden="1">
      <c r="A4741" s="28">
        <v>46345</v>
      </c>
      <c r="B4741" t="s">
        <v>4479</v>
      </c>
      <c r="C4741" t="s">
        <v>4480</v>
      </c>
      <c r="D4741" t="s">
        <v>3462</v>
      </c>
      <c r="E4741" t="str">
        <f>IF(LEFT(D4741,6)="CLIENT",IFERROR(VLOOKUP(C4741,Config_Carteiras!$A:$B,2,FALSE),1),"")</f>
        <v/>
      </c>
      <c r="F4741" s="25">
        <v>0</v>
      </c>
      <c r="G4741" s="28" t="str">
        <f>IF(LEFT(D4741,6)="CLIENT",IF(E4741=0,WORKDAY(A4741-1,1,Dias_Sem_Compensacao!$A$2:$A$500),WORKDAY(A4741,E4741,Dias_Sem_Compensacao!$A$2:$A$500)),"")</f>
        <v/>
      </c>
      <c r="H4741" s="25">
        <v>1089.53</v>
      </c>
      <c r="I4741" s="28">
        <v>46345</v>
      </c>
      <c r="J4741" t="s">
        <v>4481</v>
      </c>
      <c r="K4741" t="s">
        <v>4482</v>
      </c>
    </row>
    <row r="4742" spans="1:11" hidden="1">
      <c r="A4742" s="28">
        <v>46377</v>
      </c>
      <c r="B4742" t="s">
        <v>4479</v>
      </c>
      <c r="C4742" t="s">
        <v>4480</v>
      </c>
      <c r="D4742" t="s">
        <v>3462</v>
      </c>
      <c r="E4742" t="str">
        <f>IF(LEFT(D4742,6)="CLIENT",IFERROR(VLOOKUP(C4742,Config_Carteiras!$A:$B,2,FALSE),1),"")</f>
        <v/>
      </c>
      <c r="F4742" s="25">
        <v>0</v>
      </c>
      <c r="G4742" s="28" t="str">
        <f>IF(LEFT(D4742,6)="CLIENT",IF(E4742=0,WORKDAY(A4742-1,1,Dias_Sem_Compensacao!$A$2:$A$500),WORKDAY(A4742,E4742,Dias_Sem_Compensacao!$A$2:$A$500)),"")</f>
        <v/>
      </c>
      <c r="H4742" s="25">
        <v>1089.53</v>
      </c>
      <c r="I4742" s="28">
        <v>46377</v>
      </c>
      <c r="J4742" t="s">
        <v>4481</v>
      </c>
      <c r="K4742" t="s">
        <v>4482</v>
      </c>
    </row>
    <row r="4743" spans="1:11" hidden="1">
      <c r="A4743" s="28">
        <v>46308</v>
      </c>
      <c r="B4743" t="s">
        <v>4483</v>
      </c>
      <c r="C4743" t="s">
        <v>4484</v>
      </c>
      <c r="D4743" t="s">
        <v>3462</v>
      </c>
      <c r="E4743" t="str">
        <f>IF(LEFT(D4743,6)="CLIENT",IFERROR(VLOOKUP(C4743,Config_Carteiras!$A:$B,2,FALSE),1),"")</f>
        <v/>
      </c>
      <c r="F4743" s="25">
        <v>0</v>
      </c>
      <c r="G4743" s="28" t="str">
        <f>IF(LEFT(D4743,6)="CLIENT",IF(E4743=0,WORKDAY(A4743-1,1,Dias_Sem_Compensacao!$A$2:$A$500),WORKDAY(A4743,E4743,Dias_Sem_Compensacao!$A$2:$A$500)),"")</f>
        <v/>
      </c>
      <c r="H4743" s="25">
        <v>702.2</v>
      </c>
      <c r="I4743" s="28">
        <v>46308</v>
      </c>
      <c r="J4743" t="s">
        <v>4485</v>
      </c>
      <c r="K4743" t="s">
        <v>4486</v>
      </c>
    </row>
    <row r="4744" spans="1:11" hidden="1">
      <c r="A4744" s="28">
        <v>46339</v>
      </c>
      <c r="B4744" t="s">
        <v>4483</v>
      </c>
      <c r="C4744" t="s">
        <v>4484</v>
      </c>
      <c r="D4744" t="s">
        <v>3462</v>
      </c>
      <c r="E4744" t="str">
        <f>IF(LEFT(D4744,6)="CLIENT",IFERROR(VLOOKUP(C4744,Config_Carteiras!$A:$B,2,FALSE),1),"")</f>
        <v/>
      </c>
      <c r="F4744" s="25">
        <v>0</v>
      </c>
      <c r="G4744" s="28" t="str">
        <f>IF(LEFT(D4744,6)="CLIENT",IF(E4744=0,WORKDAY(A4744-1,1,Dias_Sem_Compensacao!$A$2:$A$500),WORKDAY(A4744,E4744,Dias_Sem_Compensacao!$A$2:$A$500)),"")</f>
        <v/>
      </c>
      <c r="H4744" s="25">
        <v>702.2</v>
      </c>
      <c r="I4744" s="28">
        <v>46339</v>
      </c>
      <c r="J4744" t="s">
        <v>4485</v>
      </c>
      <c r="K4744" t="s">
        <v>4486</v>
      </c>
    </row>
    <row r="4745" spans="1:11" hidden="1">
      <c r="A4745" s="28">
        <v>46369</v>
      </c>
      <c r="B4745" t="s">
        <v>4483</v>
      </c>
      <c r="C4745" t="s">
        <v>4484</v>
      </c>
      <c r="D4745" t="s">
        <v>3462</v>
      </c>
      <c r="E4745" t="str">
        <f>IF(LEFT(D4745,6)="CLIENT",IFERROR(VLOOKUP(C4745,Config_Carteiras!$A:$B,2,FALSE),1),"")</f>
        <v/>
      </c>
      <c r="F4745" s="25">
        <v>0</v>
      </c>
      <c r="G4745" s="28" t="str">
        <f>IF(LEFT(D4745,6)="CLIENT",IF(E4745=0,WORKDAY(A4745-1,1,Dias_Sem_Compensacao!$A$2:$A$500),WORKDAY(A4745,E4745,Dias_Sem_Compensacao!$A$2:$A$500)),"")</f>
        <v/>
      </c>
      <c r="H4745" s="25">
        <v>702.2</v>
      </c>
      <c r="I4745" s="28">
        <v>46369</v>
      </c>
      <c r="J4745" t="s">
        <v>4485</v>
      </c>
      <c r="K4745" t="s">
        <v>4486</v>
      </c>
    </row>
    <row r="4746" spans="1:11" hidden="1">
      <c r="A4746" s="28">
        <v>46310</v>
      </c>
      <c r="B4746" t="s">
        <v>4483</v>
      </c>
      <c r="C4746" t="s">
        <v>4484</v>
      </c>
      <c r="D4746" t="s">
        <v>3462</v>
      </c>
      <c r="E4746" t="str">
        <f>IF(LEFT(D4746,6)="CLIENT",IFERROR(VLOOKUP(C4746,Config_Carteiras!$A:$B,2,FALSE),1),"")</f>
        <v/>
      </c>
      <c r="F4746" s="25">
        <v>0</v>
      </c>
      <c r="G4746" s="28" t="str">
        <f>IF(LEFT(D4746,6)="CLIENT",IF(E4746=0,WORKDAY(A4746-1,1,Dias_Sem_Compensacao!$A$2:$A$500),WORKDAY(A4746,E4746,Dias_Sem_Compensacao!$A$2:$A$500)),"")</f>
        <v/>
      </c>
      <c r="H4746" s="25">
        <v>312.3</v>
      </c>
      <c r="I4746" s="28">
        <v>46310</v>
      </c>
      <c r="J4746" t="s">
        <v>4487</v>
      </c>
      <c r="K4746" t="s">
        <v>4488</v>
      </c>
    </row>
    <row r="4747" spans="1:11" hidden="1">
      <c r="A4747" s="28">
        <v>46341</v>
      </c>
      <c r="B4747" t="s">
        <v>4483</v>
      </c>
      <c r="C4747" t="s">
        <v>4484</v>
      </c>
      <c r="D4747" t="s">
        <v>3462</v>
      </c>
      <c r="E4747" t="str">
        <f>IF(LEFT(D4747,6)="CLIENT",IFERROR(VLOOKUP(C4747,Config_Carteiras!$A:$B,2,FALSE),1),"")</f>
        <v/>
      </c>
      <c r="F4747" s="25">
        <v>0</v>
      </c>
      <c r="G4747" s="28" t="str">
        <f>IF(LEFT(D4747,6)="CLIENT",IF(E4747=0,WORKDAY(A4747-1,1,Dias_Sem_Compensacao!$A$2:$A$500),WORKDAY(A4747,E4747,Dias_Sem_Compensacao!$A$2:$A$500)),"")</f>
        <v/>
      </c>
      <c r="H4747" s="25">
        <v>312.3</v>
      </c>
      <c r="I4747" s="28">
        <v>46341</v>
      </c>
      <c r="J4747" t="s">
        <v>4487</v>
      </c>
      <c r="K4747" t="s">
        <v>4488</v>
      </c>
    </row>
    <row r="4748" spans="1:11" hidden="1">
      <c r="A4748" s="28">
        <v>46371</v>
      </c>
      <c r="B4748" t="s">
        <v>4483</v>
      </c>
      <c r="C4748" t="s">
        <v>4484</v>
      </c>
      <c r="D4748" t="s">
        <v>3462</v>
      </c>
      <c r="E4748" t="str">
        <f>IF(LEFT(D4748,6)="CLIENT",IFERROR(VLOOKUP(C4748,Config_Carteiras!$A:$B,2,FALSE),1),"")</f>
        <v/>
      </c>
      <c r="F4748" s="25">
        <v>0</v>
      </c>
      <c r="G4748" s="28" t="str">
        <f>IF(LEFT(D4748,6)="CLIENT",IF(E4748=0,WORKDAY(A4748-1,1,Dias_Sem_Compensacao!$A$2:$A$500),WORKDAY(A4748,E4748,Dias_Sem_Compensacao!$A$2:$A$500)),"")</f>
        <v/>
      </c>
      <c r="H4748" s="25">
        <v>312.3</v>
      </c>
      <c r="I4748" s="28">
        <v>46371</v>
      </c>
      <c r="J4748" t="s">
        <v>4487</v>
      </c>
      <c r="K4748" t="s">
        <v>4488</v>
      </c>
    </row>
    <row r="4749" spans="1:11" hidden="1">
      <c r="A4749" s="28">
        <v>46315</v>
      </c>
      <c r="B4749" t="s">
        <v>4489</v>
      </c>
      <c r="C4749" t="s">
        <v>4490</v>
      </c>
      <c r="D4749" t="s">
        <v>4432</v>
      </c>
      <c r="E4749" t="str">
        <f>IF(LEFT(D4749,6)="CLIENT",IFERROR(VLOOKUP(C4749,Config_Carteiras!$A:$B,2,FALSE),1),"")</f>
        <v/>
      </c>
      <c r="F4749" s="25">
        <v>0</v>
      </c>
      <c r="G4749" s="28" t="str">
        <f>IF(LEFT(D4749,6)="CLIENT",IF(E4749=0,WORKDAY(A4749-1,1,Dias_Sem_Compensacao!$A$2:$A$500),WORKDAY(A4749,E4749,Dias_Sem_Compensacao!$A$2:$A$500)),"")</f>
        <v/>
      </c>
      <c r="H4749" s="25">
        <v>1302</v>
      </c>
      <c r="I4749" s="28">
        <v>46315</v>
      </c>
      <c r="J4749" t="s">
        <v>4491</v>
      </c>
      <c r="K4749" t="s">
        <v>4450</v>
      </c>
    </row>
    <row r="4750" spans="1:11" hidden="1">
      <c r="A4750" s="28">
        <v>46315</v>
      </c>
      <c r="B4750" t="s">
        <v>4489</v>
      </c>
      <c r="C4750" t="s">
        <v>4490</v>
      </c>
      <c r="D4750" t="s">
        <v>4432</v>
      </c>
      <c r="E4750" t="str">
        <f>IF(LEFT(D4750,6)="CLIENT",IFERROR(VLOOKUP(C4750,Config_Carteiras!$A:$B,2,FALSE),1),"")</f>
        <v/>
      </c>
      <c r="F4750" s="25">
        <v>0</v>
      </c>
      <c r="G4750" s="28" t="str">
        <f>IF(LEFT(D4750,6)="CLIENT",IF(E4750=0,WORKDAY(A4750-1,1,Dias_Sem_Compensacao!$A$2:$A$500),WORKDAY(A4750,E4750,Dias_Sem_Compensacao!$A$2:$A$500)),"")</f>
        <v/>
      </c>
      <c r="H4750" s="25">
        <v>89.79</v>
      </c>
      <c r="I4750" s="28">
        <v>46315</v>
      </c>
      <c r="K4750" t="s">
        <v>145</v>
      </c>
    </row>
    <row r="4751" spans="1:11" hidden="1">
      <c r="A4751" s="28">
        <v>46315</v>
      </c>
      <c r="B4751" t="s">
        <v>4489</v>
      </c>
      <c r="C4751" t="s">
        <v>4490</v>
      </c>
      <c r="D4751" t="s">
        <v>4432</v>
      </c>
      <c r="E4751" t="str">
        <f>IF(LEFT(D4751,6)="CLIENT",IFERROR(VLOOKUP(C4751,Config_Carteiras!$A:$B,2,FALSE),1),"")</f>
        <v/>
      </c>
      <c r="F4751" s="25">
        <v>0</v>
      </c>
      <c r="G4751" s="28" t="str">
        <f>IF(LEFT(D4751,6)="CLIENT",IF(E4751=0,WORKDAY(A4751-1,1,Dias_Sem_Compensacao!$A$2:$A$500),WORKDAY(A4751,E4751,Dias_Sem_Compensacao!$A$2:$A$500)),"")</f>
        <v/>
      </c>
      <c r="H4751" s="25">
        <v>26.38</v>
      </c>
      <c r="I4751" s="28">
        <v>46315</v>
      </c>
      <c r="K4751" t="s">
        <v>4492</v>
      </c>
    </row>
    <row r="4752" spans="1:11" hidden="1">
      <c r="A4752" s="28">
        <v>46315</v>
      </c>
      <c r="B4752" t="s">
        <v>4489</v>
      </c>
      <c r="C4752" t="s">
        <v>4490</v>
      </c>
      <c r="D4752" t="s">
        <v>4432</v>
      </c>
      <c r="E4752" t="str">
        <f>IF(LEFT(D4752,6)="CLIENT",IFERROR(VLOOKUP(C4752,Config_Carteiras!$A:$B,2,FALSE),1),"")</f>
        <v/>
      </c>
      <c r="F4752" s="25">
        <v>0</v>
      </c>
      <c r="G4752" s="28" t="str">
        <f>IF(LEFT(D4752,6)="CLIENT",IF(E4752=0,WORKDAY(A4752-1,1,Dias_Sem_Compensacao!$A$2:$A$500),WORKDAY(A4752,E4752,Dias_Sem_Compensacao!$A$2:$A$500)),"")</f>
        <v/>
      </c>
      <c r="H4752" s="25">
        <v>26.38</v>
      </c>
      <c r="I4752" s="28">
        <v>46315</v>
      </c>
      <c r="K4752" t="s">
        <v>4493</v>
      </c>
    </row>
    <row r="4753" spans="1:11" hidden="1">
      <c r="A4753" s="28">
        <v>46315</v>
      </c>
      <c r="B4753" t="s">
        <v>4489</v>
      </c>
      <c r="C4753" t="s">
        <v>4490</v>
      </c>
      <c r="D4753" t="s">
        <v>4432</v>
      </c>
      <c r="E4753" t="str">
        <f>IF(LEFT(D4753,6)="CLIENT",IFERROR(VLOOKUP(C4753,Config_Carteiras!$A:$B,2,FALSE),1),"")</f>
        <v/>
      </c>
      <c r="F4753" s="25">
        <v>0</v>
      </c>
      <c r="G4753" s="28" t="str">
        <f>IF(LEFT(D4753,6)="CLIENT",IF(E4753=0,WORKDAY(A4753-1,1,Dias_Sem_Compensacao!$A$2:$A$500),WORKDAY(A4753,E4753,Dias_Sem_Compensacao!$A$2:$A$500)),"")</f>
        <v/>
      </c>
      <c r="H4753" s="25">
        <v>232.5</v>
      </c>
      <c r="I4753" s="28">
        <v>46315</v>
      </c>
      <c r="K4753" t="s">
        <v>4458</v>
      </c>
    </row>
    <row r="4754" spans="1:11" hidden="1">
      <c r="A4754" s="28">
        <v>46237</v>
      </c>
      <c r="B4754" t="s">
        <v>190</v>
      </c>
      <c r="C4754" t="s">
        <v>4494</v>
      </c>
      <c r="D4754" t="s">
        <v>217</v>
      </c>
      <c r="E4754">
        <f>IF(LEFT(D4754,6)="CLIENT",IFERROR(VLOOKUP(C4754,Config_Carteiras!$A:$B,2,FALSE),1),"")</f>
        <v>1</v>
      </c>
      <c r="F4754" s="25">
        <v>571</v>
      </c>
      <c r="G4754" s="28">
        <f>IF(LEFT(D4754,6)="CLIENT",IF(E4754=0,WORKDAY(A4754-1,1,Dias_Sem_Compensacao!$A$2:$A$500),WORKDAY(A4754,E4754,Dias_Sem_Compensacao!$A$2:$A$500)),"")</f>
        <v>46238</v>
      </c>
      <c r="H4754" s="25">
        <v>0</v>
      </c>
      <c r="I4754" s="28">
        <v>46237</v>
      </c>
      <c r="J4754" t="s">
        <v>4495</v>
      </c>
      <c r="K4754" t="s">
        <v>4496</v>
      </c>
    </row>
    <row r="4755" spans="1:11" hidden="1">
      <c r="A4755" s="28">
        <v>46238</v>
      </c>
      <c r="B4755" t="s">
        <v>190</v>
      </c>
      <c r="C4755" t="s">
        <v>4494</v>
      </c>
      <c r="D4755" t="s">
        <v>217</v>
      </c>
      <c r="E4755">
        <f>IF(LEFT(D4755,6)="CLIENT",IFERROR(VLOOKUP(C4755,Config_Carteiras!$A:$B,2,FALSE),1),"")</f>
        <v>1</v>
      </c>
      <c r="F4755" s="25">
        <v>482</v>
      </c>
      <c r="G4755" s="28">
        <f>IF(LEFT(D4755,6)="CLIENT",IF(E4755=0,WORKDAY(A4755-1,1,Dias_Sem_Compensacao!$A$2:$A$500),WORKDAY(A4755,E4755,Dias_Sem_Compensacao!$A$2:$A$500)),"")</f>
        <v>46239</v>
      </c>
      <c r="H4755" s="25">
        <v>0</v>
      </c>
      <c r="I4755" s="28">
        <v>46238</v>
      </c>
      <c r="J4755" t="s">
        <v>4497</v>
      </c>
      <c r="K4755" t="s">
        <v>4498</v>
      </c>
    </row>
    <row r="4756" spans="1:11" hidden="1">
      <c r="A4756" s="28">
        <v>46239</v>
      </c>
      <c r="B4756" t="s">
        <v>190</v>
      </c>
      <c r="C4756" t="s">
        <v>4494</v>
      </c>
      <c r="D4756" t="s">
        <v>217</v>
      </c>
      <c r="E4756">
        <f>IF(LEFT(D4756,6)="CLIENT",IFERROR(VLOOKUP(C4756,Config_Carteiras!$A:$B,2,FALSE),1),"")</f>
        <v>1</v>
      </c>
      <c r="F4756" s="25">
        <v>702</v>
      </c>
      <c r="G4756" s="28">
        <f>IF(LEFT(D4756,6)="CLIENT",IF(E4756=0,WORKDAY(A4756-1,1,Dias_Sem_Compensacao!$A$2:$A$500),WORKDAY(A4756,E4756,Dias_Sem_Compensacao!$A$2:$A$500)),"")</f>
        <v>46240</v>
      </c>
      <c r="H4756" s="25">
        <v>0</v>
      </c>
      <c r="I4756" s="28">
        <v>46239</v>
      </c>
      <c r="J4756" t="s">
        <v>4495</v>
      </c>
      <c r="K4756" t="s">
        <v>4499</v>
      </c>
    </row>
    <row r="4757" spans="1:11" hidden="1">
      <c r="A4757" s="28">
        <v>46240</v>
      </c>
      <c r="B4757" t="s">
        <v>190</v>
      </c>
      <c r="C4757" t="s">
        <v>4494</v>
      </c>
      <c r="D4757" t="s">
        <v>217</v>
      </c>
      <c r="E4757">
        <f>IF(LEFT(D4757,6)="CLIENT",IFERROR(VLOOKUP(C4757,Config_Carteiras!$A:$B,2,FALSE),1),"")</f>
        <v>1</v>
      </c>
      <c r="F4757" s="25">
        <v>18972</v>
      </c>
      <c r="G4757" s="28">
        <f>IF(LEFT(D4757,6)="CLIENT",IF(E4757=0,WORKDAY(A4757-1,1,Dias_Sem_Compensacao!$A$2:$A$500),WORKDAY(A4757,E4757,Dias_Sem_Compensacao!$A$2:$A$500)),"")</f>
        <v>46241</v>
      </c>
      <c r="H4757" s="25">
        <v>0</v>
      </c>
      <c r="I4757" s="28">
        <v>46240</v>
      </c>
      <c r="J4757" t="s">
        <v>4500</v>
      </c>
      <c r="K4757" t="s">
        <v>4501</v>
      </c>
    </row>
    <row r="4758" spans="1:11" hidden="1">
      <c r="A4758" s="28">
        <v>46244</v>
      </c>
      <c r="B4758" t="s">
        <v>190</v>
      </c>
      <c r="C4758" t="s">
        <v>4494</v>
      </c>
      <c r="D4758" t="s">
        <v>217</v>
      </c>
      <c r="E4758">
        <f>IF(LEFT(D4758,6)="CLIENT",IFERROR(VLOOKUP(C4758,Config_Carteiras!$A:$B,2,FALSE),1),"")</f>
        <v>1</v>
      </c>
      <c r="F4758" s="25">
        <v>581.58000000000004</v>
      </c>
      <c r="G4758" s="28">
        <f>IF(LEFT(D4758,6)="CLIENT",IF(E4758=0,WORKDAY(A4758-1,1,Dias_Sem_Compensacao!$A$2:$A$500),WORKDAY(A4758,E4758,Dias_Sem_Compensacao!$A$2:$A$500)),"")</f>
        <v>46245</v>
      </c>
      <c r="H4758" s="25">
        <v>0</v>
      </c>
      <c r="I4758" s="28">
        <v>46244</v>
      </c>
      <c r="J4758" t="s">
        <v>4502</v>
      </c>
      <c r="K4758" t="s">
        <v>4503</v>
      </c>
    </row>
    <row r="4759" spans="1:11" hidden="1">
      <c r="A4759" s="28">
        <v>46245</v>
      </c>
      <c r="B4759" t="s">
        <v>190</v>
      </c>
      <c r="C4759" t="s">
        <v>4494</v>
      </c>
      <c r="D4759" t="s">
        <v>217</v>
      </c>
      <c r="E4759">
        <f>IF(LEFT(D4759,6)="CLIENT",IFERROR(VLOOKUP(C4759,Config_Carteiras!$A:$B,2,FALSE),1),"")</f>
        <v>1</v>
      </c>
      <c r="F4759" s="25">
        <v>19728</v>
      </c>
      <c r="G4759" s="28">
        <f>IF(LEFT(D4759,6)="CLIENT",IF(E4759=0,WORKDAY(A4759-1,1,Dias_Sem_Compensacao!$A$2:$A$500),WORKDAY(A4759,E4759,Dias_Sem_Compensacao!$A$2:$A$500)),"")</f>
        <v>46246</v>
      </c>
      <c r="H4759" s="25">
        <v>0</v>
      </c>
      <c r="I4759" s="28">
        <v>46245</v>
      </c>
      <c r="J4759" t="s">
        <v>4500</v>
      </c>
      <c r="K4759" t="s">
        <v>4504</v>
      </c>
    </row>
    <row r="4760" spans="1:11" hidden="1">
      <c r="A4760" s="28">
        <v>46245</v>
      </c>
      <c r="B4760" t="s">
        <v>190</v>
      </c>
      <c r="C4760" t="s">
        <v>4494</v>
      </c>
      <c r="D4760" t="s">
        <v>217</v>
      </c>
      <c r="E4760">
        <f>IF(LEFT(D4760,6)="CLIENT",IFERROR(VLOOKUP(C4760,Config_Carteiras!$A:$B,2,FALSE),1),"")</f>
        <v>1</v>
      </c>
      <c r="F4760" s="25">
        <v>483</v>
      </c>
      <c r="G4760" s="28">
        <f>IF(LEFT(D4760,6)="CLIENT",IF(E4760=0,WORKDAY(A4760-1,1,Dias_Sem_Compensacao!$A$2:$A$500),WORKDAY(A4760,E4760,Dias_Sem_Compensacao!$A$2:$A$500)),"")</f>
        <v>46246</v>
      </c>
      <c r="H4760" s="25">
        <v>0</v>
      </c>
      <c r="I4760" s="28">
        <v>46245</v>
      </c>
      <c r="J4760" t="s">
        <v>4497</v>
      </c>
      <c r="K4760" t="s">
        <v>4498</v>
      </c>
    </row>
    <row r="4761" spans="1:11" hidden="1">
      <c r="A4761" s="28">
        <v>46246</v>
      </c>
      <c r="B4761" t="s">
        <v>190</v>
      </c>
      <c r="C4761" t="s">
        <v>4494</v>
      </c>
      <c r="D4761" t="s">
        <v>217</v>
      </c>
      <c r="E4761">
        <f>IF(LEFT(D4761,6)="CLIENT",IFERROR(VLOOKUP(C4761,Config_Carteiras!$A:$B,2,FALSE),1),"")</f>
        <v>1</v>
      </c>
      <c r="F4761" s="25">
        <v>702</v>
      </c>
      <c r="G4761" s="28">
        <f>IF(LEFT(D4761,6)="CLIENT",IF(E4761=0,WORKDAY(A4761-1,1,Dias_Sem_Compensacao!$A$2:$A$500),WORKDAY(A4761,E4761,Dias_Sem_Compensacao!$A$2:$A$500)),"")</f>
        <v>46247</v>
      </c>
      <c r="H4761" s="25">
        <v>0</v>
      </c>
      <c r="I4761" s="28">
        <v>46246</v>
      </c>
      <c r="J4761" t="s">
        <v>4495</v>
      </c>
      <c r="K4761" t="s">
        <v>4499</v>
      </c>
    </row>
    <row r="4762" spans="1:11" hidden="1">
      <c r="A4762" s="28">
        <v>46248</v>
      </c>
      <c r="B4762" t="s">
        <v>190</v>
      </c>
      <c r="C4762" t="s">
        <v>4494</v>
      </c>
      <c r="D4762" t="s">
        <v>217</v>
      </c>
      <c r="E4762">
        <f>IF(LEFT(D4762,6)="CLIENT",IFERROR(VLOOKUP(C4762,Config_Carteiras!$A:$B,2,FALSE),1),"")</f>
        <v>1</v>
      </c>
      <c r="F4762" s="25">
        <v>2201</v>
      </c>
      <c r="G4762" s="28">
        <f>IF(LEFT(D4762,6)="CLIENT",IF(E4762=0,WORKDAY(A4762-1,1,Dias_Sem_Compensacao!$A$2:$A$500),WORKDAY(A4762,E4762,Dias_Sem_Compensacao!$A$2:$A$500)),"")</f>
        <v>46251</v>
      </c>
      <c r="H4762" s="25">
        <v>0</v>
      </c>
      <c r="I4762" s="28">
        <v>46248</v>
      </c>
      <c r="J4762" t="s">
        <v>3495</v>
      </c>
      <c r="K4762" t="s">
        <v>3496</v>
      </c>
    </row>
    <row r="4763" spans="1:11" hidden="1">
      <c r="A4763" s="28">
        <v>46252</v>
      </c>
      <c r="B4763" t="s">
        <v>190</v>
      </c>
      <c r="C4763" t="s">
        <v>4494</v>
      </c>
      <c r="D4763" t="s">
        <v>217</v>
      </c>
      <c r="E4763">
        <f>IF(LEFT(D4763,6)="CLIENT",IFERROR(VLOOKUP(C4763,Config_Carteiras!$A:$B,2,FALSE),1),"")</f>
        <v>1</v>
      </c>
      <c r="F4763" s="25">
        <v>394.1</v>
      </c>
      <c r="G4763" s="28">
        <f>IF(LEFT(D4763,6)="CLIENT",IF(E4763=0,WORKDAY(A4763-1,1,Dias_Sem_Compensacao!$A$2:$A$500),WORKDAY(A4763,E4763,Dias_Sem_Compensacao!$A$2:$A$500)),"")</f>
        <v>46253</v>
      </c>
      <c r="H4763" s="25">
        <v>0</v>
      </c>
      <c r="I4763" s="28">
        <v>46252</v>
      </c>
      <c r="J4763" t="s">
        <v>4505</v>
      </c>
      <c r="K4763" t="s">
        <v>4506</v>
      </c>
    </row>
    <row r="4764" spans="1:11" hidden="1">
      <c r="A4764" s="28">
        <v>46253</v>
      </c>
      <c r="B4764" t="s">
        <v>190</v>
      </c>
      <c r="C4764" t="s">
        <v>4494</v>
      </c>
      <c r="D4764" t="s">
        <v>217</v>
      </c>
      <c r="E4764">
        <f>IF(LEFT(D4764,6)="CLIENT",IFERROR(VLOOKUP(C4764,Config_Carteiras!$A:$B,2,FALSE),1),"")</f>
        <v>1</v>
      </c>
      <c r="F4764" s="25">
        <v>702</v>
      </c>
      <c r="G4764" s="28">
        <f>IF(LEFT(D4764,6)="CLIENT",IF(E4764=0,WORKDAY(A4764-1,1,Dias_Sem_Compensacao!$A$2:$A$500),WORKDAY(A4764,E4764,Dias_Sem_Compensacao!$A$2:$A$500)),"")</f>
        <v>46254</v>
      </c>
      <c r="H4764" s="25">
        <v>0</v>
      </c>
      <c r="I4764" s="28">
        <v>46253</v>
      </c>
      <c r="J4764" t="s">
        <v>4495</v>
      </c>
      <c r="K4764" t="s">
        <v>4499</v>
      </c>
    </row>
    <row r="4765" spans="1:11" hidden="1">
      <c r="A4765" s="28">
        <v>46255</v>
      </c>
      <c r="B4765" t="s">
        <v>190</v>
      </c>
      <c r="C4765" t="s">
        <v>4494</v>
      </c>
      <c r="D4765" t="s">
        <v>217</v>
      </c>
      <c r="E4765">
        <f>IF(LEFT(D4765,6)="CLIENT",IFERROR(VLOOKUP(C4765,Config_Carteiras!$A:$B,2,FALSE),1),"")</f>
        <v>1</v>
      </c>
      <c r="F4765" s="25">
        <v>13698</v>
      </c>
      <c r="G4765" s="28">
        <f>IF(LEFT(D4765,6)="CLIENT",IF(E4765=0,WORKDAY(A4765-1,1,Dias_Sem_Compensacao!$A$2:$A$500),WORKDAY(A4765,E4765,Dias_Sem_Compensacao!$A$2:$A$500)),"")</f>
        <v>46258</v>
      </c>
      <c r="H4765" s="25">
        <v>0</v>
      </c>
      <c r="I4765" s="28">
        <v>46255</v>
      </c>
      <c r="J4765" t="s">
        <v>4500</v>
      </c>
      <c r="K4765" t="s">
        <v>4507</v>
      </c>
    </row>
    <row r="4766" spans="1:11" hidden="1">
      <c r="A4766" s="28">
        <v>46255</v>
      </c>
      <c r="B4766" t="s">
        <v>190</v>
      </c>
      <c r="C4766" t="s">
        <v>4494</v>
      </c>
      <c r="D4766" t="s">
        <v>217</v>
      </c>
      <c r="E4766">
        <f>IF(LEFT(D4766,6)="CLIENT",IFERROR(VLOOKUP(C4766,Config_Carteiras!$A:$B,2,FALSE),1),"")</f>
        <v>1</v>
      </c>
      <c r="F4766" s="25">
        <v>2201</v>
      </c>
      <c r="G4766" s="28">
        <f>IF(LEFT(D4766,6)="CLIENT",IF(E4766=0,WORKDAY(A4766-1,1,Dias_Sem_Compensacao!$A$2:$A$500),WORKDAY(A4766,E4766,Dias_Sem_Compensacao!$A$2:$A$500)),"")</f>
        <v>46258</v>
      </c>
      <c r="H4766" s="25">
        <v>0</v>
      </c>
      <c r="I4766" s="28">
        <v>46255</v>
      </c>
      <c r="J4766" t="s">
        <v>3495</v>
      </c>
      <c r="K4766" t="s">
        <v>3496</v>
      </c>
    </row>
    <row r="4767" spans="1:11" hidden="1">
      <c r="A4767" s="28">
        <v>46260</v>
      </c>
      <c r="B4767" t="s">
        <v>190</v>
      </c>
      <c r="C4767" t="s">
        <v>4494</v>
      </c>
      <c r="D4767" t="s">
        <v>217</v>
      </c>
      <c r="E4767">
        <f>IF(LEFT(D4767,6)="CLIENT",IFERROR(VLOOKUP(C4767,Config_Carteiras!$A:$B,2,FALSE),1),"")</f>
        <v>1</v>
      </c>
      <c r="F4767" s="25">
        <v>710.6</v>
      </c>
      <c r="G4767" s="28">
        <f>IF(LEFT(D4767,6)="CLIENT",IF(E4767=0,WORKDAY(A4767-1,1,Dias_Sem_Compensacao!$A$2:$A$500),WORKDAY(A4767,E4767,Dias_Sem_Compensacao!$A$2:$A$500)),"")</f>
        <v>46261</v>
      </c>
      <c r="H4767" s="25">
        <v>0</v>
      </c>
      <c r="I4767" s="28">
        <v>46260</v>
      </c>
      <c r="J4767" t="s">
        <v>4508</v>
      </c>
      <c r="K4767" t="s">
        <v>4509</v>
      </c>
    </row>
    <row r="4768" spans="1:11" hidden="1">
      <c r="A4768" s="28">
        <v>46260</v>
      </c>
      <c r="B4768" t="s">
        <v>190</v>
      </c>
      <c r="C4768" t="s">
        <v>4494</v>
      </c>
      <c r="D4768" t="s">
        <v>217</v>
      </c>
      <c r="E4768">
        <f>IF(LEFT(D4768,6)="CLIENT",IFERROR(VLOOKUP(C4768,Config_Carteiras!$A:$B,2,FALSE),1),"")</f>
        <v>1</v>
      </c>
      <c r="F4768" s="25">
        <v>704</v>
      </c>
      <c r="G4768" s="28">
        <f>IF(LEFT(D4768,6)="CLIENT",IF(E4768=0,WORKDAY(A4768-1,1,Dias_Sem_Compensacao!$A$2:$A$500),WORKDAY(A4768,E4768,Dias_Sem_Compensacao!$A$2:$A$500)),"")</f>
        <v>46261</v>
      </c>
      <c r="H4768" s="25">
        <v>0</v>
      </c>
      <c r="I4768" s="28">
        <v>46260</v>
      </c>
      <c r="J4768" t="s">
        <v>4495</v>
      </c>
      <c r="K4768" t="s">
        <v>4499</v>
      </c>
    </row>
    <row r="4769" spans="1:11" hidden="1">
      <c r="A4769" s="28">
        <v>46310</v>
      </c>
      <c r="B4769" t="s">
        <v>4510</v>
      </c>
      <c r="C4769" t="s">
        <v>4511</v>
      </c>
      <c r="D4769" t="s">
        <v>3462</v>
      </c>
      <c r="E4769" t="str">
        <f>IF(LEFT(D4769,6)="CLIENT",IFERROR(VLOOKUP(C4769,Config_Carteiras!$A:$B,2,FALSE),1),"")</f>
        <v/>
      </c>
      <c r="F4769" s="25">
        <v>0</v>
      </c>
      <c r="G4769" s="28" t="str">
        <f>IF(LEFT(D4769,6)="CLIENT",IF(E4769=0,WORKDAY(A4769-1,1,Dias_Sem_Compensacao!$A$2:$A$500),WORKDAY(A4769,E4769,Dias_Sem_Compensacao!$A$2:$A$500)),"")</f>
        <v/>
      </c>
      <c r="H4769" s="25">
        <v>114.05</v>
      </c>
      <c r="I4769" s="28">
        <v>46310</v>
      </c>
      <c r="J4769" t="s">
        <v>4512</v>
      </c>
      <c r="K4769" t="s">
        <v>4513</v>
      </c>
    </row>
    <row r="4770" spans="1:11" hidden="1">
      <c r="A4770" s="28">
        <v>46310</v>
      </c>
      <c r="B4770" t="s">
        <v>4510</v>
      </c>
      <c r="C4770" t="s">
        <v>4511</v>
      </c>
      <c r="D4770" t="s">
        <v>3462</v>
      </c>
      <c r="E4770" t="str">
        <f>IF(LEFT(D4770,6)="CLIENT",IFERROR(VLOOKUP(C4770,Config_Carteiras!$A:$B,2,FALSE),1),"")</f>
        <v/>
      </c>
      <c r="F4770" s="25">
        <v>0</v>
      </c>
      <c r="G4770" s="28" t="str">
        <f>IF(LEFT(D4770,6)="CLIENT",IF(E4770=0,WORKDAY(A4770-1,1,Dias_Sem_Compensacao!$A$2:$A$500),WORKDAY(A4770,E4770,Dias_Sem_Compensacao!$A$2:$A$500)),"")</f>
        <v/>
      </c>
      <c r="H4770" s="25">
        <v>326.79000000000002</v>
      </c>
      <c r="I4770" s="28">
        <v>46310</v>
      </c>
      <c r="J4770" t="s">
        <v>4514</v>
      </c>
      <c r="K4770" t="s">
        <v>4515</v>
      </c>
    </row>
    <row r="4771" spans="1:11" hidden="1">
      <c r="A4771" s="28">
        <v>46310</v>
      </c>
      <c r="B4771" t="s">
        <v>4510</v>
      </c>
      <c r="C4771" t="s">
        <v>4511</v>
      </c>
      <c r="D4771" t="s">
        <v>3462</v>
      </c>
      <c r="E4771" t="str">
        <f>IF(LEFT(D4771,6)="CLIENT",IFERROR(VLOOKUP(C4771,Config_Carteiras!$A:$B,2,FALSE),1),"")</f>
        <v/>
      </c>
      <c r="F4771" s="25">
        <v>0</v>
      </c>
      <c r="G4771" s="28" t="str">
        <f>IF(LEFT(D4771,6)="CLIENT",IF(E4771=0,WORKDAY(A4771-1,1,Dias_Sem_Compensacao!$A$2:$A$500),WORKDAY(A4771,E4771,Dias_Sem_Compensacao!$A$2:$A$500)),"")</f>
        <v/>
      </c>
      <c r="H4771" s="25">
        <v>667.72</v>
      </c>
      <c r="I4771" s="28">
        <v>46310</v>
      </c>
      <c r="J4771" t="s">
        <v>4516</v>
      </c>
      <c r="K4771" t="s">
        <v>4517</v>
      </c>
    </row>
    <row r="4772" spans="1:11" hidden="1">
      <c r="A4772" s="28">
        <v>46310</v>
      </c>
      <c r="B4772" t="s">
        <v>4510</v>
      </c>
      <c r="C4772" t="s">
        <v>4511</v>
      </c>
      <c r="D4772" t="s">
        <v>3462</v>
      </c>
      <c r="E4772" t="str">
        <f>IF(LEFT(D4772,6)="CLIENT",IFERROR(VLOOKUP(C4772,Config_Carteiras!$A:$B,2,FALSE),1),"")</f>
        <v/>
      </c>
      <c r="F4772" s="25">
        <v>0</v>
      </c>
      <c r="G4772" s="28" t="str">
        <f>IF(LEFT(D4772,6)="CLIENT",IF(E4772=0,WORKDAY(A4772-1,1,Dias_Sem_Compensacao!$A$2:$A$500),WORKDAY(A4772,E4772,Dias_Sem_Compensacao!$A$2:$A$500)),"")</f>
        <v/>
      </c>
      <c r="H4772" s="25">
        <v>271.23</v>
      </c>
      <c r="I4772" s="28">
        <v>46310</v>
      </c>
      <c r="J4772" t="s">
        <v>4518</v>
      </c>
      <c r="K4772" t="s">
        <v>4519</v>
      </c>
    </row>
    <row r="4773" spans="1:11" hidden="1">
      <c r="A4773" s="28">
        <v>46310</v>
      </c>
      <c r="B4773" t="s">
        <v>4510</v>
      </c>
      <c r="C4773" t="s">
        <v>4511</v>
      </c>
      <c r="D4773" t="s">
        <v>3462</v>
      </c>
      <c r="E4773" t="str">
        <f>IF(LEFT(D4773,6)="CLIENT",IFERROR(VLOOKUP(C4773,Config_Carteiras!$A:$B,2,FALSE),1),"")</f>
        <v/>
      </c>
      <c r="F4773" s="25">
        <v>0</v>
      </c>
      <c r="G4773" s="28" t="str">
        <f>IF(LEFT(D4773,6)="CLIENT",IF(E4773=0,WORKDAY(A4773-1,1,Dias_Sem_Compensacao!$A$2:$A$500),WORKDAY(A4773,E4773,Dias_Sem_Compensacao!$A$2:$A$500)),"")</f>
        <v/>
      </c>
      <c r="H4773" s="25">
        <v>900</v>
      </c>
      <c r="I4773" s="28">
        <v>46310</v>
      </c>
      <c r="J4773" t="s">
        <v>4520</v>
      </c>
      <c r="K4773" t="s">
        <v>4521</v>
      </c>
    </row>
    <row r="4774" spans="1:11" hidden="1">
      <c r="A4774" s="28">
        <v>46310</v>
      </c>
      <c r="B4774" t="s">
        <v>4510</v>
      </c>
      <c r="C4774" t="s">
        <v>4511</v>
      </c>
      <c r="D4774" t="s">
        <v>3462</v>
      </c>
      <c r="E4774" t="str">
        <f>IF(LEFT(D4774,6)="CLIENT",IFERROR(VLOOKUP(C4774,Config_Carteiras!$A:$B,2,FALSE),1),"")</f>
        <v/>
      </c>
      <c r="F4774" s="25">
        <v>0</v>
      </c>
      <c r="G4774" s="28" t="str">
        <f>IF(LEFT(D4774,6)="CLIENT",IF(E4774=0,WORKDAY(A4774-1,1,Dias_Sem_Compensacao!$A$2:$A$500),WORKDAY(A4774,E4774,Dias_Sem_Compensacao!$A$2:$A$500)),"")</f>
        <v/>
      </c>
      <c r="H4774" s="25">
        <v>703.02</v>
      </c>
      <c r="I4774" s="28">
        <v>46310</v>
      </c>
      <c r="J4774" t="s">
        <v>4522</v>
      </c>
      <c r="K4774" t="s">
        <v>4523</v>
      </c>
    </row>
    <row r="4775" spans="1:11" hidden="1">
      <c r="A4775" s="28">
        <v>46310</v>
      </c>
      <c r="B4775" t="s">
        <v>4510</v>
      </c>
      <c r="C4775" t="s">
        <v>4511</v>
      </c>
      <c r="D4775" t="s">
        <v>3462</v>
      </c>
      <c r="E4775" t="str">
        <f>IF(LEFT(D4775,6)="CLIENT",IFERROR(VLOOKUP(C4775,Config_Carteiras!$A:$B,2,FALSE),1),"")</f>
        <v/>
      </c>
      <c r="F4775" s="25">
        <v>0</v>
      </c>
      <c r="G4775" s="28" t="str">
        <f>IF(LEFT(D4775,6)="CLIENT",IF(E4775=0,WORKDAY(A4775-1,1,Dias_Sem_Compensacao!$A$2:$A$500),WORKDAY(A4775,E4775,Dias_Sem_Compensacao!$A$2:$A$500)),"")</f>
        <v/>
      </c>
      <c r="H4775" s="25">
        <v>458.42</v>
      </c>
      <c r="I4775" s="28">
        <v>46310</v>
      </c>
      <c r="J4775" t="s">
        <v>4524</v>
      </c>
      <c r="K4775" t="s">
        <v>4525</v>
      </c>
    </row>
    <row r="4776" spans="1:11" hidden="1">
      <c r="A4776" s="28">
        <v>46310</v>
      </c>
      <c r="B4776" t="s">
        <v>4510</v>
      </c>
      <c r="C4776" t="s">
        <v>4511</v>
      </c>
      <c r="D4776" t="s">
        <v>3462</v>
      </c>
      <c r="E4776" t="str">
        <f>IF(LEFT(D4776,6)="CLIENT",IFERROR(VLOOKUP(C4776,Config_Carteiras!$A:$B,2,FALSE),1),"")</f>
        <v/>
      </c>
      <c r="F4776" s="25">
        <v>0</v>
      </c>
      <c r="G4776" s="28" t="str">
        <f>IF(LEFT(D4776,6)="CLIENT",IF(E4776=0,WORKDAY(A4776-1,1,Dias_Sem_Compensacao!$A$2:$A$500),WORKDAY(A4776,E4776,Dias_Sem_Compensacao!$A$2:$A$500)),"")</f>
        <v/>
      </c>
      <c r="H4776" s="25">
        <v>271.33</v>
      </c>
      <c r="I4776" s="28">
        <v>46310</v>
      </c>
      <c r="J4776" t="s">
        <v>4526</v>
      </c>
      <c r="K4776" t="s">
        <v>4527</v>
      </c>
    </row>
    <row r="4777" spans="1:11" hidden="1">
      <c r="A4777" s="28">
        <v>46310</v>
      </c>
      <c r="B4777" t="s">
        <v>4510</v>
      </c>
      <c r="C4777" t="s">
        <v>4511</v>
      </c>
      <c r="D4777" t="s">
        <v>3462</v>
      </c>
      <c r="E4777" t="str">
        <f>IF(LEFT(D4777,6)="CLIENT",IFERROR(VLOOKUP(C4777,Config_Carteiras!$A:$B,2,FALSE),1),"")</f>
        <v/>
      </c>
      <c r="F4777" s="25">
        <v>0</v>
      </c>
      <c r="G4777" s="28" t="str">
        <f>IF(LEFT(D4777,6)="CLIENT",IF(E4777=0,WORKDAY(A4777-1,1,Dias_Sem_Compensacao!$A$2:$A$500),WORKDAY(A4777,E4777,Dias_Sem_Compensacao!$A$2:$A$500)),"")</f>
        <v/>
      </c>
      <c r="H4777" s="25">
        <v>514.01</v>
      </c>
      <c r="I4777" s="28">
        <v>46310</v>
      </c>
      <c r="J4777" t="s">
        <v>4528</v>
      </c>
      <c r="K4777" t="s">
        <v>4529</v>
      </c>
    </row>
    <row r="4778" spans="1:11" hidden="1">
      <c r="A4778" s="28">
        <v>46310</v>
      </c>
      <c r="B4778" t="s">
        <v>4510</v>
      </c>
      <c r="C4778" t="s">
        <v>4511</v>
      </c>
      <c r="D4778" t="s">
        <v>3462</v>
      </c>
      <c r="E4778" t="str">
        <f>IF(LEFT(D4778,6)="CLIENT",IFERROR(VLOOKUP(C4778,Config_Carteiras!$A:$B,2,FALSE),1),"")</f>
        <v/>
      </c>
      <c r="F4778" s="25">
        <v>0</v>
      </c>
      <c r="G4778" s="28" t="str">
        <f>IF(LEFT(D4778,6)="CLIENT",IF(E4778=0,WORKDAY(A4778-1,1,Dias_Sem_Compensacao!$A$2:$A$500),WORKDAY(A4778,E4778,Dias_Sem_Compensacao!$A$2:$A$500)),"")</f>
        <v/>
      </c>
      <c r="H4778" s="25">
        <v>9.98</v>
      </c>
      <c r="I4778" s="28">
        <v>46310</v>
      </c>
      <c r="J4778" t="s">
        <v>4530</v>
      </c>
      <c r="K4778" t="s">
        <v>4531</v>
      </c>
    </row>
    <row r="4779" spans="1:11" hidden="1">
      <c r="A4779" s="28">
        <v>46310</v>
      </c>
      <c r="B4779" t="s">
        <v>4510</v>
      </c>
      <c r="C4779" t="s">
        <v>4511</v>
      </c>
      <c r="D4779" t="s">
        <v>3462</v>
      </c>
      <c r="E4779" t="str">
        <f>IF(LEFT(D4779,6)="CLIENT",IFERROR(VLOOKUP(C4779,Config_Carteiras!$A:$B,2,FALSE),1),"")</f>
        <v/>
      </c>
      <c r="F4779" s="25">
        <v>0</v>
      </c>
      <c r="G4779" s="28" t="str">
        <f>IF(LEFT(D4779,6)="CLIENT",IF(E4779=0,WORKDAY(A4779-1,1,Dias_Sem_Compensacao!$A$2:$A$500),WORKDAY(A4779,E4779,Dias_Sem_Compensacao!$A$2:$A$500)),"")</f>
        <v/>
      </c>
      <c r="H4779" s="25">
        <v>3467</v>
      </c>
      <c r="I4779" s="28">
        <v>46310</v>
      </c>
      <c r="J4779" t="s">
        <v>3488</v>
      </c>
      <c r="K4779" t="s">
        <v>4532</v>
      </c>
    </row>
    <row r="4780" spans="1:11" hidden="1">
      <c r="A4780" s="28">
        <v>46310</v>
      </c>
      <c r="B4780" t="s">
        <v>4510</v>
      </c>
      <c r="C4780" t="s">
        <v>4511</v>
      </c>
      <c r="D4780" t="s">
        <v>3462</v>
      </c>
      <c r="E4780" t="str">
        <f>IF(LEFT(D4780,6)="CLIENT",IFERROR(VLOOKUP(C4780,Config_Carteiras!$A:$B,2,FALSE),1),"")</f>
        <v/>
      </c>
      <c r="F4780" s="25">
        <v>0</v>
      </c>
      <c r="G4780" s="28" t="str">
        <f>IF(LEFT(D4780,6)="CLIENT",IF(E4780=0,WORKDAY(A4780-1,1,Dias_Sem_Compensacao!$A$2:$A$500),WORKDAY(A4780,E4780,Dias_Sem_Compensacao!$A$2:$A$500)),"")</f>
        <v/>
      </c>
      <c r="H4780" s="25">
        <v>274.99</v>
      </c>
      <c r="I4780" s="28">
        <v>46310</v>
      </c>
      <c r="J4780" t="s">
        <v>4533</v>
      </c>
      <c r="K4780" t="s">
        <v>4534</v>
      </c>
    </row>
    <row r="4781" spans="1:11" hidden="1">
      <c r="A4781" s="28">
        <v>46310</v>
      </c>
      <c r="B4781" t="s">
        <v>4510</v>
      </c>
      <c r="C4781" t="s">
        <v>4511</v>
      </c>
      <c r="D4781" t="s">
        <v>3462</v>
      </c>
      <c r="E4781" t="str">
        <f>IF(LEFT(D4781,6)="CLIENT",IFERROR(VLOOKUP(C4781,Config_Carteiras!$A:$B,2,FALSE),1),"")</f>
        <v/>
      </c>
      <c r="F4781" s="25">
        <v>0</v>
      </c>
      <c r="G4781" s="28" t="str">
        <f>IF(LEFT(D4781,6)="CLIENT",IF(E4781=0,WORKDAY(A4781-1,1,Dias_Sem_Compensacao!$A$2:$A$500),WORKDAY(A4781,E4781,Dias_Sem_Compensacao!$A$2:$A$500)),"")</f>
        <v/>
      </c>
      <c r="H4781" s="25">
        <v>1470</v>
      </c>
      <c r="I4781" s="28">
        <v>46310</v>
      </c>
      <c r="J4781" t="s">
        <v>4535</v>
      </c>
      <c r="K4781" t="s">
        <v>4536</v>
      </c>
    </row>
    <row r="4782" spans="1:11" hidden="1">
      <c r="A4782" s="28">
        <v>46310</v>
      </c>
      <c r="B4782" t="s">
        <v>4510</v>
      </c>
      <c r="C4782" t="s">
        <v>4511</v>
      </c>
      <c r="D4782" t="s">
        <v>3462</v>
      </c>
      <c r="E4782" t="str">
        <f>IF(LEFT(D4782,6)="CLIENT",IFERROR(VLOOKUP(C4782,Config_Carteiras!$A:$B,2,FALSE),1),"")</f>
        <v/>
      </c>
      <c r="F4782" s="25">
        <v>0</v>
      </c>
      <c r="G4782" s="28" t="str">
        <f>IF(LEFT(D4782,6)="CLIENT",IF(E4782=0,WORKDAY(A4782-1,1,Dias_Sem_Compensacao!$A$2:$A$500),WORKDAY(A4782,E4782,Dias_Sem_Compensacao!$A$2:$A$500)),"")</f>
        <v/>
      </c>
      <c r="H4782" s="25">
        <v>23.08</v>
      </c>
      <c r="I4782" s="28">
        <v>46310</v>
      </c>
      <c r="J4782" t="s">
        <v>4537</v>
      </c>
      <c r="K4782" t="s">
        <v>4538</v>
      </c>
    </row>
    <row r="4783" spans="1:11" hidden="1">
      <c r="A4783" s="28">
        <v>46310</v>
      </c>
      <c r="B4783" t="s">
        <v>4510</v>
      </c>
      <c r="C4783" t="s">
        <v>4511</v>
      </c>
      <c r="D4783" t="s">
        <v>3462</v>
      </c>
      <c r="E4783" t="str">
        <f>IF(LEFT(D4783,6)="CLIENT",IFERROR(VLOOKUP(C4783,Config_Carteiras!$A:$B,2,FALSE),1),"")</f>
        <v/>
      </c>
      <c r="F4783" s="25">
        <v>0</v>
      </c>
      <c r="G4783" s="28" t="str">
        <f>IF(LEFT(D4783,6)="CLIENT",IF(E4783=0,WORKDAY(A4783-1,1,Dias_Sem_Compensacao!$A$2:$A$500),WORKDAY(A4783,E4783,Dias_Sem_Compensacao!$A$2:$A$500)),"")</f>
        <v/>
      </c>
      <c r="H4783" s="25">
        <v>52.51</v>
      </c>
      <c r="I4783" s="28">
        <v>46310</v>
      </c>
      <c r="J4783" t="s">
        <v>4539</v>
      </c>
      <c r="K4783" t="s">
        <v>4540</v>
      </c>
    </row>
    <row r="4784" spans="1:11" hidden="1">
      <c r="A4784" s="28">
        <v>46310</v>
      </c>
      <c r="B4784" t="s">
        <v>4510</v>
      </c>
      <c r="C4784" t="s">
        <v>4511</v>
      </c>
      <c r="D4784" t="s">
        <v>3462</v>
      </c>
      <c r="E4784" t="str">
        <f>IF(LEFT(D4784,6)="CLIENT",IFERROR(VLOOKUP(C4784,Config_Carteiras!$A:$B,2,FALSE),1),"")</f>
        <v/>
      </c>
      <c r="F4784" s="25">
        <v>0</v>
      </c>
      <c r="G4784" s="28" t="str">
        <f>IF(LEFT(D4784,6)="CLIENT",IF(E4784=0,WORKDAY(A4784-1,1,Dias_Sem_Compensacao!$A$2:$A$500),WORKDAY(A4784,E4784,Dias_Sem_Compensacao!$A$2:$A$500)),"")</f>
        <v/>
      </c>
      <c r="H4784" s="25">
        <v>3471.27</v>
      </c>
      <c r="I4784" s="28">
        <v>46310</v>
      </c>
      <c r="J4784" t="s">
        <v>3463</v>
      </c>
      <c r="K4784" t="s">
        <v>4541</v>
      </c>
    </row>
    <row r="4785" spans="1:11" hidden="1">
      <c r="A4785" s="28">
        <v>46310</v>
      </c>
      <c r="B4785" t="s">
        <v>4510</v>
      </c>
      <c r="C4785" t="s">
        <v>4511</v>
      </c>
      <c r="D4785" t="s">
        <v>3462</v>
      </c>
      <c r="E4785" t="str">
        <f>IF(LEFT(D4785,6)="CLIENT",IFERROR(VLOOKUP(C4785,Config_Carteiras!$A:$B,2,FALSE),1),"")</f>
        <v/>
      </c>
      <c r="F4785" s="25">
        <v>0</v>
      </c>
      <c r="G4785" s="28" t="str">
        <f>IF(LEFT(D4785,6)="CLIENT",IF(E4785=0,WORKDAY(A4785-1,1,Dias_Sem_Compensacao!$A$2:$A$500),WORKDAY(A4785,E4785,Dias_Sem_Compensacao!$A$2:$A$500)),"")</f>
        <v/>
      </c>
      <c r="H4785" s="25">
        <v>3707.62</v>
      </c>
      <c r="I4785" s="28">
        <v>46310</v>
      </c>
      <c r="K4785" t="s">
        <v>4542</v>
      </c>
    </row>
    <row r="4786" spans="1:11" hidden="1">
      <c r="A4786" s="28">
        <v>46310</v>
      </c>
      <c r="B4786" t="s">
        <v>4510</v>
      </c>
      <c r="C4786" t="s">
        <v>4511</v>
      </c>
      <c r="D4786" t="s">
        <v>3462</v>
      </c>
      <c r="E4786" t="str">
        <f>IF(LEFT(D4786,6)="CLIENT",IFERROR(VLOOKUP(C4786,Config_Carteiras!$A:$B,2,FALSE),1),"")</f>
        <v/>
      </c>
      <c r="F4786" s="25">
        <v>0</v>
      </c>
      <c r="G4786" s="28" t="str">
        <f>IF(LEFT(D4786,6)="CLIENT",IF(E4786=0,WORKDAY(A4786-1,1,Dias_Sem_Compensacao!$A$2:$A$500),WORKDAY(A4786,E4786,Dias_Sem_Compensacao!$A$2:$A$500)),"")</f>
        <v/>
      </c>
      <c r="H4786" s="25">
        <v>279.66000000000003</v>
      </c>
      <c r="I4786" s="28">
        <v>46310</v>
      </c>
      <c r="J4786" t="s">
        <v>4543</v>
      </c>
      <c r="K4786" t="s">
        <v>4544</v>
      </c>
    </row>
    <row r="4787" spans="1:11" hidden="1">
      <c r="A4787" s="28">
        <v>46310</v>
      </c>
      <c r="B4787" t="s">
        <v>4510</v>
      </c>
      <c r="C4787" t="s">
        <v>4511</v>
      </c>
      <c r="D4787" t="s">
        <v>3462</v>
      </c>
      <c r="E4787" t="str">
        <f>IF(LEFT(D4787,6)="CLIENT",IFERROR(VLOOKUP(C4787,Config_Carteiras!$A:$B,2,FALSE),1),"")</f>
        <v/>
      </c>
      <c r="F4787" s="25">
        <v>0</v>
      </c>
      <c r="G4787" s="28" t="str">
        <f>IF(LEFT(D4787,6)="CLIENT",IF(E4787=0,WORKDAY(A4787-1,1,Dias_Sem_Compensacao!$A$2:$A$500),WORKDAY(A4787,E4787,Dias_Sem_Compensacao!$A$2:$A$500)),"")</f>
        <v/>
      </c>
      <c r="H4787" s="25">
        <v>375</v>
      </c>
      <c r="I4787" s="28">
        <v>46310</v>
      </c>
      <c r="J4787" t="s">
        <v>3628</v>
      </c>
      <c r="K4787" t="s">
        <v>4545</v>
      </c>
    </row>
    <row r="4788" spans="1:11" hidden="1">
      <c r="A4788" s="28">
        <v>46310</v>
      </c>
      <c r="B4788" t="s">
        <v>4510</v>
      </c>
      <c r="C4788" t="s">
        <v>4511</v>
      </c>
      <c r="D4788" t="s">
        <v>3462</v>
      </c>
      <c r="E4788" t="str">
        <f>IF(LEFT(D4788,6)="CLIENT",IFERROR(VLOOKUP(C4788,Config_Carteiras!$A:$B,2,FALSE),1),"")</f>
        <v/>
      </c>
      <c r="F4788" s="25">
        <v>0</v>
      </c>
      <c r="G4788" s="28" t="str">
        <f>IF(LEFT(D4788,6)="CLIENT",IF(E4788=0,WORKDAY(A4788-1,1,Dias_Sem_Compensacao!$A$2:$A$500),WORKDAY(A4788,E4788,Dias_Sem_Compensacao!$A$2:$A$500)),"")</f>
        <v/>
      </c>
      <c r="H4788" s="25">
        <v>635</v>
      </c>
      <c r="I4788" s="28">
        <v>46310</v>
      </c>
      <c r="K4788" t="s">
        <v>4546</v>
      </c>
    </row>
    <row r="4789" spans="1:11" hidden="1">
      <c r="A4789" s="28">
        <v>46311</v>
      </c>
      <c r="B4789" t="s">
        <v>4510</v>
      </c>
      <c r="C4789" t="s">
        <v>4511</v>
      </c>
      <c r="D4789" t="s">
        <v>3462</v>
      </c>
      <c r="E4789" t="str">
        <f>IF(LEFT(D4789,6)="CLIENT",IFERROR(VLOOKUP(C4789,Config_Carteiras!$A:$B,2,FALSE),1),"")</f>
        <v/>
      </c>
      <c r="F4789" s="25">
        <v>0</v>
      </c>
      <c r="G4789" s="28" t="str">
        <f>IF(LEFT(D4789,6)="CLIENT",IF(E4789=0,WORKDAY(A4789-1,1,Dias_Sem_Compensacao!$A$2:$A$500),WORKDAY(A4789,E4789,Dias_Sem_Compensacao!$A$2:$A$500)),"")</f>
        <v/>
      </c>
      <c r="H4789" s="25">
        <v>2316.8000000000002</v>
      </c>
      <c r="I4789" s="28">
        <v>46311</v>
      </c>
      <c r="J4789" t="s">
        <v>3488</v>
      </c>
      <c r="K4789" t="s">
        <v>4547</v>
      </c>
    </row>
    <row r="4790" spans="1:11" hidden="1">
      <c r="A4790" s="28">
        <v>46341</v>
      </c>
      <c r="B4790" t="s">
        <v>4510</v>
      </c>
      <c r="C4790" t="s">
        <v>4511</v>
      </c>
      <c r="D4790" t="s">
        <v>3462</v>
      </c>
      <c r="E4790" t="str">
        <f>IF(LEFT(D4790,6)="CLIENT",IFERROR(VLOOKUP(C4790,Config_Carteiras!$A:$B,2,FALSE),1),"")</f>
        <v/>
      </c>
      <c r="F4790" s="25">
        <v>0</v>
      </c>
      <c r="G4790" s="28" t="str">
        <f>IF(LEFT(D4790,6)="CLIENT",IF(E4790=0,WORKDAY(A4790-1,1,Dias_Sem_Compensacao!$A$2:$A$500),WORKDAY(A4790,E4790,Dias_Sem_Compensacao!$A$2:$A$500)),"")</f>
        <v/>
      </c>
      <c r="H4790" s="25">
        <v>271.23</v>
      </c>
      <c r="I4790" s="28">
        <v>46341</v>
      </c>
      <c r="J4790" t="s">
        <v>4518</v>
      </c>
      <c r="K4790" t="s">
        <v>4519</v>
      </c>
    </row>
    <row r="4791" spans="1:11" hidden="1">
      <c r="A4791" s="28">
        <v>46341</v>
      </c>
      <c r="B4791" t="s">
        <v>4510</v>
      </c>
      <c r="C4791" t="s">
        <v>4511</v>
      </c>
      <c r="D4791" t="s">
        <v>3462</v>
      </c>
      <c r="E4791" t="str">
        <f>IF(LEFT(D4791,6)="CLIENT",IFERROR(VLOOKUP(C4791,Config_Carteiras!$A:$B,2,FALSE),1),"")</f>
        <v/>
      </c>
      <c r="F4791" s="25">
        <v>0</v>
      </c>
      <c r="G4791" s="28" t="str">
        <f>IF(LEFT(D4791,6)="CLIENT",IF(E4791=0,WORKDAY(A4791-1,1,Dias_Sem_Compensacao!$A$2:$A$500),WORKDAY(A4791,E4791,Dias_Sem_Compensacao!$A$2:$A$500)),"")</f>
        <v/>
      </c>
      <c r="H4791" s="25">
        <v>271.33999999999997</v>
      </c>
      <c r="I4791" s="28">
        <v>46341</v>
      </c>
      <c r="J4791" t="s">
        <v>4526</v>
      </c>
      <c r="K4791" t="s">
        <v>4527</v>
      </c>
    </row>
    <row r="4792" spans="1:11" hidden="1">
      <c r="A4792" s="28">
        <v>46341</v>
      </c>
      <c r="B4792" t="s">
        <v>4510</v>
      </c>
      <c r="C4792" t="s">
        <v>4511</v>
      </c>
      <c r="D4792" t="s">
        <v>3462</v>
      </c>
      <c r="E4792" t="str">
        <f>IF(LEFT(D4792,6)="CLIENT",IFERROR(VLOOKUP(C4792,Config_Carteiras!$A:$B,2,FALSE),1),"")</f>
        <v/>
      </c>
      <c r="F4792" s="25">
        <v>0</v>
      </c>
      <c r="G4792" s="28" t="str">
        <f>IF(LEFT(D4792,6)="CLIENT",IF(E4792=0,WORKDAY(A4792-1,1,Dias_Sem_Compensacao!$A$2:$A$500),WORKDAY(A4792,E4792,Dias_Sem_Compensacao!$A$2:$A$500)),"")</f>
        <v/>
      </c>
      <c r="H4792" s="25">
        <v>9.99</v>
      </c>
      <c r="I4792" s="28">
        <v>46341</v>
      </c>
      <c r="J4792" t="s">
        <v>4530</v>
      </c>
      <c r="K4792" t="s">
        <v>4531</v>
      </c>
    </row>
    <row r="4793" spans="1:11" hidden="1">
      <c r="A4793" s="28">
        <v>46341</v>
      </c>
      <c r="B4793" t="s">
        <v>4510</v>
      </c>
      <c r="C4793" t="s">
        <v>4511</v>
      </c>
      <c r="D4793" t="s">
        <v>3462</v>
      </c>
      <c r="E4793" t="str">
        <f>IF(LEFT(D4793,6)="CLIENT",IFERROR(VLOOKUP(C4793,Config_Carteiras!$A:$B,2,FALSE),1),"")</f>
        <v/>
      </c>
      <c r="F4793" s="25">
        <v>0</v>
      </c>
      <c r="G4793" s="28" t="str">
        <f>IF(LEFT(D4793,6)="CLIENT",IF(E4793=0,WORKDAY(A4793-1,1,Dias_Sem_Compensacao!$A$2:$A$500),WORKDAY(A4793,E4793,Dias_Sem_Compensacao!$A$2:$A$500)),"")</f>
        <v/>
      </c>
      <c r="H4793" s="25">
        <v>3467</v>
      </c>
      <c r="I4793" s="28">
        <v>46341</v>
      </c>
      <c r="J4793" t="s">
        <v>3488</v>
      </c>
      <c r="K4793" t="s">
        <v>4532</v>
      </c>
    </row>
    <row r="4794" spans="1:11" hidden="1">
      <c r="A4794" s="28">
        <v>46341</v>
      </c>
      <c r="B4794" t="s">
        <v>4510</v>
      </c>
      <c r="C4794" t="s">
        <v>4511</v>
      </c>
      <c r="D4794" t="s">
        <v>3462</v>
      </c>
      <c r="E4794" t="str">
        <f>IF(LEFT(D4794,6)="CLIENT",IFERROR(VLOOKUP(C4794,Config_Carteiras!$A:$B,2,FALSE),1),"")</f>
        <v/>
      </c>
      <c r="F4794" s="25">
        <v>0</v>
      </c>
      <c r="G4794" s="28" t="str">
        <f>IF(LEFT(D4794,6)="CLIENT",IF(E4794=0,WORKDAY(A4794-1,1,Dias_Sem_Compensacao!$A$2:$A$500),WORKDAY(A4794,E4794,Dias_Sem_Compensacao!$A$2:$A$500)),"")</f>
        <v/>
      </c>
      <c r="H4794" s="25">
        <v>274.99</v>
      </c>
      <c r="I4794" s="28">
        <v>46341</v>
      </c>
      <c r="J4794" t="s">
        <v>4533</v>
      </c>
      <c r="K4794" t="s">
        <v>4534</v>
      </c>
    </row>
    <row r="4795" spans="1:11" hidden="1">
      <c r="A4795" s="28">
        <v>46341</v>
      </c>
      <c r="B4795" t="s">
        <v>4510</v>
      </c>
      <c r="C4795" t="s">
        <v>4511</v>
      </c>
      <c r="D4795" t="s">
        <v>3462</v>
      </c>
      <c r="E4795" t="str">
        <f>IF(LEFT(D4795,6)="CLIENT",IFERROR(VLOOKUP(C4795,Config_Carteiras!$A:$B,2,FALSE),1),"")</f>
        <v/>
      </c>
      <c r="F4795" s="25">
        <v>0</v>
      </c>
      <c r="G4795" s="28" t="str">
        <f>IF(LEFT(D4795,6)="CLIENT",IF(E4795=0,WORKDAY(A4795-1,1,Dias_Sem_Compensacao!$A$2:$A$500),WORKDAY(A4795,E4795,Dias_Sem_Compensacao!$A$2:$A$500)),"")</f>
        <v/>
      </c>
      <c r="H4795" s="25">
        <v>23.09</v>
      </c>
      <c r="I4795" s="28">
        <v>46341</v>
      </c>
      <c r="J4795" t="s">
        <v>4537</v>
      </c>
      <c r="K4795" t="s">
        <v>4538</v>
      </c>
    </row>
    <row r="4796" spans="1:11" hidden="1">
      <c r="A4796" s="28">
        <v>46371</v>
      </c>
      <c r="B4796" t="s">
        <v>4510</v>
      </c>
      <c r="C4796" t="s">
        <v>4511</v>
      </c>
      <c r="D4796" t="s">
        <v>3462</v>
      </c>
      <c r="E4796" t="str">
        <f>IF(LEFT(D4796,6)="CLIENT",IFERROR(VLOOKUP(C4796,Config_Carteiras!$A:$B,2,FALSE),1),"")</f>
        <v/>
      </c>
      <c r="F4796" s="25">
        <v>0</v>
      </c>
      <c r="G4796" s="28" t="str">
        <f>IF(LEFT(D4796,6)="CLIENT",IF(E4796=0,WORKDAY(A4796-1,1,Dias_Sem_Compensacao!$A$2:$A$500),WORKDAY(A4796,E4796,Dias_Sem_Compensacao!$A$2:$A$500)),"")</f>
        <v/>
      </c>
      <c r="H4796" s="25">
        <v>271.23</v>
      </c>
      <c r="I4796" s="28">
        <v>46371</v>
      </c>
      <c r="J4796" t="s">
        <v>4518</v>
      </c>
      <c r="K4796" t="s">
        <v>4519</v>
      </c>
    </row>
    <row r="4797" spans="1:11" hidden="1">
      <c r="A4797" s="28">
        <v>46371</v>
      </c>
      <c r="B4797" t="s">
        <v>4510</v>
      </c>
      <c r="C4797" t="s">
        <v>4511</v>
      </c>
      <c r="D4797" t="s">
        <v>3462</v>
      </c>
      <c r="E4797" t="str">
        <f>IF(LEFT(D4797,6)="CLIENT",IFERROR(VLOOKUP(C4797,Config_Carteiras!$A:$B,2,FALSE),1),"")</f>
        <v/>
      </c>
      <c r="F4797" s="25">
        <v>0</v>
      </c>
      <c r="G4797" s="28" t="str">
        <f>IF(LEFT(D4797,6)="CLIENT",IF(E4797=0,WORKDAY(A4797-1,1,Dias_Sem_Compensacao!$A$2:$A$500),WORKDAY(A4797,E4797,Dias_Sem_Compensacao!$A$2:$A$500)),"")</f>
        <v/>
      </c>
      <c r="H4797" s="25">
        <v>3466</v>
      </c>
      <c r="I4797" s="28">
        <v>46371</v>
      </c>
      <c r="J4797" t="s">
        <v>3488</v>
      </c>
      <c r="K4797" t="s">
        <v>4532</v>
      </c>
    </row>
    <row r="4798" spans="1:11" hidden="1">
      <c r="A4798" s="28">
        <v>46371</v>
      </c>
      <c r="B4798" t="s">
        <v>4510</v>
      </c>
      <c r="C4798" t="s">
        <v>4511</v>
      </c>
      <c r="D4798" t="s">
        <v>3462</v>
      </c>
      <c r="E4798" t="str">
        <f>IF(LEFT(D4798,6)="CLIENT",IFERROR(VLOOKUP(C4798,Config_Carteiras!$A:$B,2,FALSE),1),"")</f>
        <v/>
      </c>
      <c r="F4798" s="25">
        <v>0</v>
      </c>
      <c r="G4798" s="28" t="str">
        <f>IF(LEFT(D4798,6)="CLIENT",IF(E4798=0,WORKDAY(A4798-1,1,Dias_Sem_Compensacao!$A$2:$A$500),WORKDAY(A4798,E4798,Dias_Sem_Compensacao!$A$2:$A$500)),"")</f>
        <v/>
      </c>
      <c r="H4798" s="25">
        <v>274.99</v>
      </c>
      <c r="I4798" s="28">
        <v>46371</v>
      </c>
      <c r="J4798" t="s">
        <v>4533</v>
      </c>
      <c r="K4798" t="s">
        <v>4534</v>
      </c>
    </row>
    <row r="4799" spans="1:11" hidden="1">
      <c r="A4799" s="28">
        <v>46315</v>
      </c>
      <c r="B4799" t="s">
        <v>4548</v>
      </c>
      <c r="C4799" t="s">
        <v>4546</v>
      </c>
      <c r="D4799" t="s">
        <v>3462</v>
      </c>
      <c r="E4799" t="str">
        <f>IF(LEFT(D4799,6)="CLIENT",IFERROR(VLOOKUP(C4799,Config_Carteiras!$A:$B,2,FALSE),1),"")</f>
        <v/>
      </c>
      <c r="F4799" s="25">
        <v>0</v>
      </c>
      <c r="G4799" s="28" t="str">
        <f>IF(LEFT(D4799,6)="CLIENT",IF(E4799=0,WORKDAY(A4799-1,1,Dias_Sem_Compensacao!$A$2:$A$500),WORKDAY(A4799,E4799,Dias_Sem_Compensacao!$A$2:$A$500)),"")</f>
        <v/>
      </c>
      <c r="H4799" s="25">
        <v>1571.09</v>
      </c>
      <c r="I4799" s="28">
        <v>46315</v>
      </c>
      <c r="J4799" t="s">
        <v>4549</v>
      </c>
      <c r="K4799" t="s">
        <v>4550</v>
      </c>
    </row>
    <row r="4800" spans="1:11" hidden="1">
      <c r="A4800" s="28">
        <v>46323</v>
      </c>
      <c r="B4800" t="s">
        <v>4548</v>
      </c>
      <c r="C4800" t="s">
        <v>4546</v>
      </c>
      <c r="D4800" t="s">
        <v>3462</v>
      </c>
      <c r="E4800" t="str">
        <f>IF(LEFT(D4800,6)="CLIENT",IFERROR(VLOOKUP(C4800,Config_Carteiras!$A:$B,2,FALSE),1),"")</f>
        <v/>
      </c>
      <c r="F4800" s="25">
        <v>0</v>
      </c>
      <c r="G4800" s="28" t="str">
        <f>IF(LEFT(D4800,6)="CLIENT",IF(E4800=0,WORKDAY(A4800-1,1,Dias_Sem_Compensacao!$A$2:$A$500),WORKDAY(A4800,E4800,Dias_Sem_Compensacao!$A$2:$A$500)),"")</f>
        <v/>
      </c>
      <c r="H4800" s="25">
        <v>2529.64</v>
      </c>
      <c r="I4800" s="28">
        <v>46323</v>
      </c>
      <c r="J4800" t="s">
        <v>4551</v>
      </c>
      <c r="K4800" t="s">
        <v>4552</v>
      </c>
    </row>
    <row r="4801" spans="1:11" hidden="1">
      <c r="A4801" s="28">
        <v>46346</v>
      </c>
      <c r="B4801" t="s">
        <v>4548</v>
      </c>
      <c r="C4801" t="s">
        <v>4546</v>
      </c>
      <c r="D4801" t="s">
        <v>3462</v>
      </c>
      <c r="E4801" t="str">
        <f>IF(LEFT(D4801,6)="CLIENT",IFERROR(VLOOKUP(C4801,Config_Carteiras!$A:$B,2,FALSE),1),"")</f>
        <v/>
      </c>
      <c r="F4801" s="25">
        <v>0</v>
      </c>
      <c r="G4801" s="28" t="str">
        <f>IF(LEFT(D4801,6)="CLIENT",IF(E4801=0,WORKDAY(A4801-1,1,Dias_Sem_Compensacao!$A$2:$A$500),WORKDAY(A4801,E4801,Dias_Sem_Compensacao!$A$2:$A$500)),"")</f>
        <v/>
      </c>
      <c r="H4801" s="25">
        <v>1571.09</v>
      </c>
      <c r="I4801" s="28">
        <v>46346</v>
      </c>
      <c r="J4801" t="s">
        <v>4549</v>
      </c>
      <c r="K4801" t="s">
        <v>4550</v>
      </c>
    </row>
    <row r="4802" spans="1:11" hidden="1">
      <c r="A4802" s="28">
        <v>46354</v>
      </c>
      <c r="B4802" t="s">
        <v>4548</v>
      </c>
      <c r="C4802" t="s">
        <v>4546</v>
      </c>
      <c r="D4802" t="s">
        <v>3462</v>
      </c>
      <c r="E4802" t="str">
        <f>IF(LEFT(D4802,6)="CLIENT",IFERROR(VLOOKUP(C4802,Config_Carteiras!$A:$B,2,FALSE),1),"")</f>
        <v/>
      </c>
      <c r="F4802" s="25">
        <v>0</v>
      </c>
      <c r="G4802" s="28" t="str">
        <f>IF(LEFT(D4802,6)="CLIENT",IF(E4802=0,WORKDAY(A4802-1,1,Dias_Sem_Compensacao!$A$2:$A$500),WORKDAY(A4802,E4802,Dias_Sem_Compensacao!$A$2:$A$500)),"")</f>
        <v/>
      </c>
      <c r="H4802" s="25">
        <v>2529.64</v>
      </c>
      <c r="I4802" s="28">
        <v>46354</v>
      </c>
      <c r="J4802" t="s">
        <v>4551</v>
      </c>
      <c r="K4802" t="s">
        <v>4552</v>
      </c>
    </row>
    <row r="4803" spans="1:11" hidden="1">
      <c r="A4803" s="28">
        <v>46377</v>
      </c>
      <c r="B4803" t="s">
        <v>4548</v>
      </c>
      <c r="C4803" t="s">
        <v>4546</v>
      </c>
      <c r="D4803" t="s">
        <v>3462</v>
      </c>
      <c r="E4803" t="str">
        <f>IF(LEFT(D4803,6)="CLIENT",IFERROR(VLOOKUP(C4803,Config_Carteiras!$A:$B,2,FALSE),1),"")</f>
        <v/>
      </c>
      <c r="F4803" s="25">
        <v>0</v>
      </c>
      <c r="G4803" s="28" t="str">
        <f>IF(LEFT(D4803,6)="CLIENT",IF(E4803=0,WORKDAY(A4803-1,1,Dias_Sem_Compensacao!$A$2:$A$500),WORKDAY(A4803,E4803,Dias_Sem_Compensacao!$A$2:$A$500)),"")</f>
        <v/>
      </c>
      <c r="H4803" s="25">
        <v>1571.09</v>
      </c>
      <c r="I4803" s="28">
        <v>46377</v>
      </c>
      <c r="J4803" t="s">
        <v>4549</v>
      </c>
      <c r="K4803" t="s">
        <v>4550</v>
      </c>
    </row>
    <row r="4804" spans="1:11" hidden="1">
      <c r="A4804" s="28">
        <v>46384</v>
      </c>
      <c r="B4804" t="s">
        <v>4548</v>
      </c>
      <c r="C4804" t="s">
        <v>4546</v>
      </c>
      <c r="D4804" t="s">
        <v>3462</v>
      </c>
      <c r="E4804" t="str">
        <f>IF(LEFT(D4804,6)="CLIENT",IFERROR(VLOOKUP(C4804,Config_Carteiras!$A:$B,2,FALSE),1),"")</f>
        <v/>
      </c>
      <c r="F4804" s="25">
        <v>0</v>
      </c>
      <c r="G4804" s="28" t="str">
        <f>IF(LEFT(D4804,6)="CLIENT",IF(E4804=0,WORKDAY(A4804-1,1,Dias_Sem_Compensacao!$A$2:$A$500),WORKDAY(A4804,E4804,Dias_Sem_Compensacao!$A$2:$A$500)),"")</f>
        <v/>
      </c>
      <c r="H4804" s="25">
        <v>2529.33</v>
      </c>
      <c r="I4804" s="28">
        <v>46384</v>
      </c>
      <c r="J4804" t="s">
        <v>4551</v>
      </c>
      <c r="K4804" t="s">
        <v>4552</v>
      </c>
    </row>
  </sheetData>
  <autoFilter ref="A1:K4804" xr:uid="{00000000-0009-0000-0000-000004000000}">
    <filterColumn colId="10">
      <filters>
        <filter val="103779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Previsão Financeira</vt:lpstr>
      <vt:lpstr>Planilha1</vt:lpstr>
      <vt:lpstr>Config_Carteiras</vt:lpstr>
      <vt:lpstr>Dias_Sem_Compensacao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Soberana Alimentos</cp:lastModifiedBy>
  <dcterms:created xsi:type="dcterms:W3CDTF">2026-09-28T10:58:02Z</dcterms:created>
  <dcterms:modified xsi:type="dcterms:W3CDTF">2026-09-29T12:24:59Z</dcterms:modified>
</cp:coreProperties>
</file>